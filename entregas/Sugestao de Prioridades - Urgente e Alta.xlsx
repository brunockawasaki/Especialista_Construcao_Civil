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grupogadens-my.sharepoint.com/personal/bruno_kawasaki_grupogadens_com_br/Documents/1. Bruno Kawasaki/Projeto teste/"/>
    </mc:Choice>
  </mc:AlternateContent>
  <xr:revisionPtr revIDLastSave="0" documentId="11_E7A908AB0506B07C202F94FBCB6570FE6D9BC031" xr6:coauthVersionLast="47" xr6:coauthVersionMax="47" xr10:uidLastSave="{00000000-0000-0000-0000-000000000000}"/>
  <bookViews>
    <workbookView xWindow="1536" yWindow="1536" windowWidth="17280" windowHeight="8880" xr2:uid="{00000000-000D-0000-FFFF-FFFF00000000}"/>
  </bookViews>
  <sheets>
    <sheet name="Leia-me" sheetId="1" r:id="rId1"/>
    <sheet name="Resumo" sheetId="2" r:id="rId2"/>
    <sheet name="Urgente" sheetId="3" r:id="rId3"/>
    <sheet name="Alta" sheetId="4" r:id="rId4"/>
    <sheet name="Todas" sheetId="5" r:id="rId5"/>
    <sheet name="Parametros" sheetId="6" r:id="rId6"/>
  </sheets>
  <definedNames>
    <definedName name="_xlnm._FilterDatabase" localSheetId="3" hidden="1">Alta!$A$4:$R$170</definedName>
    <definedName name="_xlnm._FilterDatabase" localSheetId="4" hidden="1">Todas!$A$4:$Z$983</definedName>
    <definedName name="_xlnm._FilterDatabase" localSheetId="2" hidden="1">Urgente!$A$4:$R$60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6" l="1"/>
  <c r="F42" i="6" s="1"/>
  <c r="S883" i="5" s="1"/>
  <c r="E41" i="6"/>
  <c r="F41" i="6" s="1"/>
  <c r="E40" i="6"/>
  <c r="F40" i="6" s="1"/>
  <c r="E39" i="6"/>
  <c r="F39" i="6" s="1"/>
  <c r="E38" i="6"/>
  <c r="F38" i="6" s="1"/>
  <c r="E37" i="6"/>
  <c r="F37" i="6" s="1"/>
  <c r="E36" i="6"/>
  <c r="F36" i="6" s="1"/>
  <c r="E35" i="6"/>
  <c r="F35" i="6" s="1"/>
  <c r="E34" i="6"/>
  <c r="F34" i="6" s="1"/>
  <c r="E33" i="6"/>
  <c r="F33" i="6" s="1"/>
  <c r="B9" i="6"/>
  <c r="C9" i="6" s="1"/>
  <c r="T983" i="5"/>
  <c r="R983" i="5"/>
  <c r="T982" i="5"/>
  <c r="R982" i="5"/>
  <c r="T981" i="5"/>
  <c r="R981" i="5"/>
  <c r="T980" i="5"/>
  <c r="R980" i="5"/>
  <c r="T979" i="5"/>
  <c r="R979" i="5"/>
  <c r="T978" i="5"/>
  <c r="R978" i="5"/>
  <c r="T977" i="5"/>
  <c r="R977" i="5"/>
  <c r="T976" i="5"/>
  <c r="R976" i="5"/>
  <c r="T975" i="5"/>
  <c r="R975" i="5"/>
  <c r="T974" i="5"/>
  <c r="R974" i="5"/>
  <c r="T973" i="5"/>
  <c r="R973" i="5"/>
  <c r="T972" i="5"/>
  <c r="R972" i="5"/>
  <c r="T971" i="5"/>
  <c r="R971" i="5"/>
  <c r="T970" i="5"/>
  <c r="R970" i="5"/>
  <c r="T969" i="5"/>
  <c r="R969" i="5"/>
  <c r="T968" i="5"/>
  <c r="R968" i="5"/>
  <c r="T967" i="5"/>
  <c r="R967" i="5"/>
  <c r="T966" i="5"/>
  <c r="R966" i="5"/>
  <c r="T965" i="5"/>
  <c r="R965" i="5"/>
  <c r="T964" i="5"/>
  <c r="R964" i="5"/>
  <c r="T963" i="5"/>
  <c r="R963" i="5"/>
  <c r="T962" i="5"/>
  <c r="R962" i="5"/>
  <c r="T961" i="5"/>
  <c r="R961" i="5"/>
  <c r="T960" i="5"/>
  <c r="R960" i="5"/>
  <c r="T959" i="5"/>
  <c r="R959" i="5"/>
  <c r="T958" i="5"/>
  <c r="R958" i="5"/>
  <c r="T957" i="5"/>
  <c r="R957" i="5"/>
  <c r="T956" i="5"/>
  <c r="R956" i="5"/>
  <c r="T955" i="5"/>
  <c r="R955" i="5"/>
  <c r="T954" i="5"/>
  <c r="R954" i="5"/>
  <c r="T953" i="5"/>
  <c r="R953" i="5"/>
  <c r="T952" i="5"/>
  <c r="R952" i="5"/>
  <c r="T951" i="5"/>
  <c r="R951" i="5"/>
  <c r="T950" i="5"/>
  <c r="R950" i="5"/>
  <c r="T949" i="5"/>
  <c r="R949" i="5"/>
  <c r="T948" i="5"/>
  <c r="R948" i="5"/>
  <c r="T947" i="5"/>
  <c r="R947" i="5"/>
  <c r="T946" i="5"/>
  <c r="R946" i="5"/>
  <c r="T945" i="5"/>
  <c r="R945" i="5"/>
  <c r="T944" i="5"/>
  <c r="R944" i="5"/>
  <c r="T943" i="5"/>
  <c r="R943" i="5"/>
  <c r="T942" i="5"/>
  <c r="R942" i="5"/>
  <c r="T941" i="5"/>
  <c r="R941" i="5"/>
  <c r="T940" i="5"/>
  <c r="R940" i="5"/>
  <c r="T939" i="5"/>
  <c r="R939" i="5"/>
  <c r="T938" i="5"/>
  <c r="R938" i="5"/>
  <c r="T937" i="5"/>
  <c r="R937" i="5"/>
  <c r="T936" i="5"/>
  <c r="R936" i="5"/>
  <c r="T935" i="5"/>
  <c r="R935" i="5"/>
  <c r="T934" i="5"/>
  <c r="R934" i="5"/>
  <c r="T933" i="5"/>
  <c r="R933" i="5"/>
  <c r="T932" i="5"/>
  <c r="R932" i="5"/>
  <c r="T931" i="5"/>
  <c r="R931" i="5"/>
  <c r="T930" i="5"/>
  <c r="R930" i="5"/>
  <c r="T929" i="5"/>
  <c r="R929" i="5"/>
  <c r="T928" i="5"/>
  <c r="R928" i="5"/>
  <c r="T927" i="5"/>
  <c r="R927" i="5"/>
  <c r="T926" i="5"/>
  <c r="R926" i="5"/>
  <c r="T925" i="5"/>
  <c r="R925" i="5"/>
  <c r="T924" i="5"/>
  <c r="R924" i="5"/>
  <c r="T923" i="5"/>
  <c r="R923" i="5"/>
  <c r="T922" i="5"/>
  <c r="R922" i="5"/>
  <c r="T921" i="5"/>
  <c r="R921" i="5"/>
  <c r="T920" i="5"/>
  <c r="R920" i="5"/>
  <c r="T919" i="5"/>
  <c r="R919" i="5"/>
  <c r="T918" i="5"/>
  <c r="R918" i="5"/>
  <c r="T917" i="5"/>
  <c r="R917" i="5"/>
  <c r="T916" i="5"/>
  <c r="R916" i="5"/>
  <c r="T915" i="5"/>
  <c r="R915" i="5"/>
  <c r="T914" i="5"/>
  <c r="R914" i="5"/>
  <c r="T913" i="5"/>
  <c r="R913" i="5"/>
  <c r="T912" i="5"/>
  <c r="R912" i="5"/>
  <c r="T911" i="5"/>
  <c r="R911" i="5"/>
  <c r="T910" i="5"/>
  <c r="R910" i="5"/>
  <c r="T909" i="5"/>
  <c r="R909" i="5"/>
  <c r="T908" i="5"/>
  <c r="R908" i="5"/>
  <c r="T907" i="5"/>
  <c r="R907" i="5"/>
  <c r="T906" i="5"/>
  <c r="R906" i="5"/>
  <c r="T905" i="5"/>
  <c r="R905" i="5"/>
  <c r="T904" i="5"/>
  <c r="R904" i="5"/>
  <c r="T903" i="5"/>
  <c r="R903" i="5"/>
  <c r="T902" i="5"/>
  <c r="R902" i="5"/>
  <c r="T901" i="5"/>
  <c r="R901" i="5"/>
  <c r="T900" i="5"/>
  <c r="R900" i="5"/>
  <c r="T899" i="5"/>
  <c r="R899" i="5"/>
  <c r="T898" i="5"/>
  <c r="R898" i="5"/>
  <c r="T897" i="5"/>
  <c r="R897" i="5"/>
  <c r="T896" i="5"/>
  <c r="R896" i="5"/>
  <c r="T895" i="5"/>
  <c r="R895" i="5"/>
  <c r="T894" i="5"/>
  <c r="R894" i="5"/>
  <c r="T893" i="5"/>
  <c r="R893" i="5"/>
  <c r="T892" i="5"/>
  <c r="R892" i="5"/>
  <c r="T891" i="5"/>
  <c r="R891" i="5"/>
  <c r="T890" i="5"/>
  <c r="R890" i="5"/>
  <c r="T889" i="5"/>
  <c r="R889" i="5"/>
  <c r="T888" i="5"/>
  <c r="R888" i="5"/>
  <c r="T887" i="5"/>
  <c r="R887" i="5"/>
  <c r="T886" i="5"/>
  <c r="R886" i="5"/>
  <c r="T885" i="5"/>
  <c r="R885" i="5"/>
  <c r="T884" i="5"/>
  <c r="R884" i="5"/>
  <c r="T883" i="5"/>
  <c r="R883" i="5"/>
  <c r="U883" i="5" s="1"/>
  <c r="V883" i="5" s="1"/>
  <c r="W883" i="5" s="1"/>
  <c r="T882" i="5"/>
  <c r="R882" i="5"/>
  <c r="T881" i="5"/>
  <c r="R881" i="5"/>
  <c r="T880" i="5"/>
  <c r="R880" i="5"/>
  <c r="T879" i="5"/>
  <c r="R879" i="5"/>
  <c r="T878" i="5"/>
  <c r="R878" i="5"/>
  <c r="T877" i="5"/>
  <c r="R877" i="5"/>
  <c r="T876" i="5"/>
  <c r="R876" i="5"/>
  <c r="T875" i="5"/>
  <c r="R875" i="5"/>
  <c r="T874" i="5"/>
  <c r="R874" i="5"/>
  <c r="T873" i="5"/>
  <c r="R873" i="5"/>
  <c r="T872" i="5"/>
  <c r="R872" i="5"/>
  <c r="T871" i="5"/>
  <c r="R871" i="5"/>
  <c r="T870" i="5"/>
  <c r="R870" i="5"/>
  <c r="T869" i="5"/>
  <c r="R869" i="5"/>
  <c r="T868" i="5"/>
  <c r="R868" i="5"/>
  <c r="T867" i="5"/>
  <c r="R867" i="5"/>
  <c r="T866" i="5"/>
  <c r="R866" i="5"/>
  <c r="T865" i="5"/>
  <c r="R865" i="5"/>
  <c r="T864" i="5"/>
  <c r="R864" i="5"/>
  <c r="T863" i="5"/>
  <c r="R863" i="5"/>
  <c r="T862" i="5"/>
  <c r="R862" i="5"/>
  <c r="T861" i="5"/>
  <c r="R861" i="5"/>
  <c r="T860" i="5"/>
  <c r="R860" i="5"/>
  <c r="T859" i="5"/>
  <c r="R859" i="5"/>
  <c r="T858" i="5"/>
  <c r="R858" i="5"/>
  <c r="T857" i="5"/>
  <c r="R857" i="5"/>
  <c r="T856" i="5"/>
  <c r="R856" i="5"/>
  <c r="T855" i="5"/>
  <c r="R855" i="5"/>
  <c r="T854" i="5"/>
  <c r="R854" i="5"/>
  <c r="T853" i="5"/>
  <c r="R853" i="5"/>
  <c r="T852" i="5"/>
  <c r="R852" i="5"/>
  <c r="T851" i="5"/>
  <c r="R851" i="5"/>
  <c r="T850" i="5"/>
  <c r="R850" i="5"/>
  <c r="T849" i="5"/>
  <c r="R849" i="5"/>
  <c r="T848" i="5"/>
  <c r="R848" i="5"/>
  <c r="T847" i="5"/>
  <c r="R847" i="5"/>
  <c r="T846" i="5"/>
  <c r="R846" i="5"/>
  <c r="T845" i="5"/>
  <c r="R845" i="5"/>
  <c r="T844" i="5"/>
  <c r="R844" i="5"/>
  <c r="T843" i="5"/>
  <c r="R843" i="5"/>
  <c r="T842" i="5"/>
  <c r="R842" i="5"/>
  <c r="T841" i="5"/>
  <c r="R841" i="5"/>
  <c r="T840" i="5"/>
  <c r="R840" i="5"/>
  <c r="T839" i="5"/>
  <c r="R839" i="5"/>
  <c r="T838" i="5"/>
  <c r="R838" i="5"/>
  <c r="T837" i="5"/>
  <c r="R837" i="5"/>
  <c r="T836" i="5"/>
  <c r="R836" i="5"/>
  <c r="T835" i="5"/>
  <c r="R835" i="5"/>
  <c r="T834" i="5"/>
  <c r="R834" i="5"/>
  <c r="T833" i="5"/>
  <c r="R833" i="5"/>
  <c r="T832" i="5"/>
  <c r="R832" i="5"/>
  <c r="T831" i="5"/>
  <c r="R831" i="5"/>
  <c r="T830" i="5"/>
  <c r="R830" i="5"/>
  <c r="T829" i="5"/>
  <c r="R829" i="5"/>
  <c r="T828" i="5"/>
  <c r="R828" i="5"/>
  <c r="T827" i="5"/>
  <c r="R827" i="5"/>
  <c r="T826" i="5"/>
  <c r="R826" i="5"/>
  <c r="T825" i="5"/>
  <c r="R825" i="5"/>
  <c r="T824" i="5"/>
  <c r="R824" i="5"/>
  <c r="T823" i="5"/>
  <c r="R823" i="5"/>
  <c r="T822" i="5"/>
  <c r="R822" i="5"/>
  <c r="T821" i="5"/>
  <c r="R821" i="5"/>
  <c r="T820" i="5"/>
  <c r="R820" i="5"/>
  <c r="T819" i="5"/>
  <c r="R819" i="5"/>
  <c r="T818" i="5"/>
  <c r="R818" i="5"/>
  <c r="T817" i="5"/>
  <c r="R817" i="5"/>
  <c r="T816" i="5"/>
  <c r="R816" i="5"/>
  <c r="T815" i="5"/>
  <c r="R815" i="5"/>
  <c r="T814" i="5"/>
  <c r="R814" i="5"/>
  <c r="T813" i="5"/>
  <c r="R813" i="5"/>
  <c r="T812" i="5"/>
  <c r="R812" i="5"/>
  <c r="T811" i="5"/>
  <c r="R811" i="5"/>
  <c r="T810" i="5"/>
  <c r="R810" i="5"/>
  <c r="T809" i="5"/>
  <c r="R809" i="5"/>
  <c r="T808" i="5"/>
  <c r="R808" i="5"/>
  <c r="T807" i="5"/>
  <c r="R807" i="5"/>
  <c r="T806" i="5"/>
  <c r="R806" i="5"/>
  <c r="T805" i="5"/>
  <c r="R805" i="5"/>
  <c r="T804" i="5"/>
  <c r="R804" i="5"/>
  <c r="T803" i="5"/>
  <c r="R803" i="5"/>
  <c r="T802" i="5"/>
  <c r="R802" i="5"/>
  <c r="T801" i="5"/>
  <c r="R801" i="5"/>
  <c r="T800" i="5"/>
  <c r="R800" i="5"/>
  <c r="T799" i="5"/>
  <c r="R799" i="5"/>
  <c r="T798" i="5"/>
  <c r="R798" i="5"/>
  <c r="T797" i="5"/>
  <c r="R797" i="5"/>
  <c r="T796" i="5"/>
  <c r="R796" i="5"/>
  <c r="T795" i="5"/>
  <c r="R795" i="5"/>
  <c r="T794" i="5"/>
  <c r="R794" i="5"/>
  <c r="T793" i="5"/>
  <c r="R793" i="5"/>
  <c r="T792" i="5"/>
  <c r="R792" i="5"/>
  <c r="T791" i="5"/>
  <c r="R791" i="5"/>
  <c r="T790" i="5"/>
  <c r="R790" i="5"/>
  <c r="T789" i="5"/>
  <c r="R789" i="5"/>
  <c r="T788" i="5"/>
  <c r="R788" i="5"/>
  <c r="T787" i="5"/>
  <c r="R787" i="5"/>
  <c r="T786" i="5"/>
  <c r="R786" i="5"/>
  <c r="T785" i="5"/>
  <c r="R785" i="5"/>
  <c r="T784" i="5"/>
  <c r="R784" i="5"/>
  <c r="T783" i="5"/>
  <c r="R783" i="5"/>
  <c r="T782" i="5"/>
  <c r="R782" i="5"/>
  <c r="T781" i="5"/>
  <c r="R781" i="5"/>
  <c r="T780" i="5"/>
  <c r="R780" i="5"/>
  <c r="T779" i="5"/>
  <c r="R779" i="5"/>
  <c r="T778" i="5"/>
  <c r="R778" i="5"/>
  <c r="T777" i="5"/>
  <c r="R777" i="5"/>
  <c r="T776" i="5"/>
  <c r="R776" i="5"/>
  <c r="T775" i="5"/>
  <c r="R775" i="5"/>
  <c r="T774" i="5"/>
  <c r="R774" i="5"/>
  <c r="T773" i="5"/>
  <c r="R773" i="5"/>
  <c r="T772" i="5"/>
  <c r="R772" i="5"/>
  <c r="T771" i="5"/>
  <c r="R771" i="5"/>
  <c r="T770" i="5"/>
  <c r="R770" i="5"/>
  <c r="T769" i="5"/>
  <c r="R769" i="5"/>
  <c r="T768" i="5"/>
  <c r="R768" i="5"/>
  <c r="T767" i="5"/>
  <c r="R767" i="5"/>
  <c r="T766" i="5"/>
  <c r="R766" i="5"/>
  <c r="T765" i="5"/>
  <c r="R765" i="5"/>
  <c r="T764" i="5"/>
  <c r="R764" i="5"/>
  <c r="T763" i="5"/>
  <c r="R763" i="5"/>
  <c r="T762" i="5"/>
  <c r="R762" i="5"/>
  <c r="T761" i="5"/>
  <c r="R761" i="5"/>
  <c r="T760" i="5"/>
  <c r="R760" i="5"/>
  <c r="T759" i="5"/>
  <c r="R759" i="5"/>
  <c r="T758" i="5"/>
  <c r="R758" i="5"/>
  <c r="T757" i="5"/>
  <c r="R757" i="5"/>
  <c r="T756" i="5"/>
  <c r="R756" i="5"/>
  <c r="T755" i="5"/>
  <c r="R755" i="5"/>
  <c r="T754" i="5"/>
  <c r="R754" i="5"/>
  <c r="T753" i="5"/>
  <c r="R753" i="5"/>
  <c r="T752" i="5"/>
  <c r="R752" i="5"/>
  <c r="T751" i="5"/>
  <c r="R751" i="5"/>
  <c r="T750" i="5"/>
  <c r="R750" i="5"/>
  <c r="T749" i="5"/>
  <c r="R749" i="5"/>
  <c r="T748" i="5"/>
  <c r="R748" i="5"/>
  <c r="T747" i="5"/>
  <c r="R747" i="5"/>
  <c r="T746" i="5"/>
  <c r="R746" i="5"/>
  <c r="T745" i="5"/>
  <c r="R745" i="5"/>
  <c r="T744" i="5"/>
  <c r="R744" i="5"/>
  <c r="T743" i="5"/>
  <c r="R743" i="5"/>
  <c r="T742" i="5"/>
  <c r="R742" i="5"/>
  <c r="T741" i="5"/>
  <c r="R741" i="5"/>
  <c r="T740" i="5"/>
  <c r="R740" i="5"/>
  <c r="T739" i="5"/>
  <c r="R739" i="5"/>
  <c r="T738" i="5"/>
  <c r="R738" i="5"/>
  <c r="T737" i="5"/>
  <c r="R737" i="5"/>
  <c r="T736" i="5"/>
  <c r="R736" i="5"/>
  <c r="T735" i="5"/>
  <c r="R735" i="5"/>
  <c r="T734" i="5"/>
  <c r="R734" i="5"/>
  <c r="T733" i="5"/>
  <c r="R733" i="5"/>
  <c r="T732" i="5"/>
  <c r="R732" i="5"/>
  <c r="T731" i="5"/>
  <c r="R731" i="5"/>
  <c r="T730" i="5"/>
  <c r="R730" i="5"/>
  <c r="T729" i="5"/>
  <c r="R729" i="5"/>
  <c r="T728" i="5"/>
  <c r="R728" i="5"/>
  <c r="T727" i="5"/>
  <c r="R727" i="5"/>
  <c r="T726" i="5"/>
  <c r="R726" i="5"/>
  <c r="T725" i="5"/>
  <c r="R725" i="5"/>
  <c r="T724" i="5"/>
  <c r="R724" i="5"/>
  <c r="T723" i="5"/>
  <c r="R723" i="5"/>
  <c r="T722" i="5"/>
  <c r="R722" i="5"/>
  <c r="T721" i="5"/>
  <c r="R721" i="5"/>
  <c r="T720" i="5"/>
  <c r="R720" i="5"/>
  <c r="T719" i="5"/>
  <c r="R719" i="5"/>
  <c r="T718" i="5"/>
  <c r="R718" i="5"/>
  <c r="T717" i="5"/>
  <c r="R717" i="5"/>
  <c r="T716" i="5"/>
  <c r="R716" i="5"/>
  <c r="T715" i="5"/>
  <c r="R715" i="5"/>
  <c r="T714" i="5"/>
  <c r="R714" i="5"/>
  <c r="T713" i="5"/>
  <c r="R713" i="5"/>
  <c r="T712" i="5"/>
  <c r="R712" i="5"/>
  <c r="T711" i="5"/>
  <c r="R711" i="5"/>
  <c r="T710" i="5"/>
  <c r="R710" i="5"/>
  <c r="T709" i="5"/>
  <c r="R709" i="5"/>
  <c r="T708" i="5"/>
  <c r="R708" i="5"/>
  <c r="T707" i="5"/>
  <c r="R707" i="5"/>
  <c r="T706" i="5"/>
  <c r="R706" i="5"/>
  <c r="T705" i="5"/>
  <c r="R705" i="5"/>
  <c r="T704" i="5"/>
  <c r="R704" i="5"/>
  <c r="T703" i="5"/>
  <c r="R703" i="5"/>
  <c r="T702" i="5"/>
  <c r="R702" i="5"/>
  <c r="T701" i="5"/>
  <c r="R701" i="5"/>
  <c r="T700" i="5"/>
  <c r="R700" i="5"/>
  <c r="T699" i="5"/>
  <c r="R699" i="5"/>
  <c r="T698" i="5"/>
  <c r="R698" i="5"/>
  <c r="T697" i="5"/>
  <c r="R697" i="5"/>
  <c r="T696" i="5"/>
  <c r="R696" i="5"/>
  <c r="T695" i="5"/>
  <c r="R695" i="5"/>
  <c r="T694" i="5"/>
  <c r="R694" i="5"/>
  <c r="T693" i="5"/>
  <c r="R693" i="5"/>
  <c r="T692" i="5"/>
  <c r="R692" i="5"/>
  <c r="T691" i="5"/>
  <c r="R691" i="5"/>
  <c r="T690" i="5"/>
  <c r="R690" i="5"/>
  <c r="T689" i="5"/>
  <c r="R689" i="5"/>
  <c r="T688" i="5"/>
  <c r="R688" i="5"/>
  <c r="T687" i="5"/>
  <c r="R687" i="5"/>
  <c r="T686" i="5"/>
  <c r="R686" i="5"/>
  <c r="T685" i="5"/>
  <c r="R685" i="5"/>
  <c r="T684" i="5"/>
  <c r="R684" i="5"/>
  <c r="T683" i="5"/>
  <c r="R683" i="5"/>
  <c r="T682" i="5"/>
  <c r="R682" i="5"/>
  <c r="T681" i="5"/>
  <c r="R681" i="5"/>
  <c r="T680" i="5"/>
  <c r="R680" i="5"/>
  <c r="T679" i="5"/>
  <c r="R679" i="5"/>
  <c r="T678" i="5"/>
  <c r="R678" i="5"/>
  <c r="T677" i="5"/>
  <c r="R677" i="5"/>
  <c r="T676" i="5"/>
  <c r="R676" i="5"/>
  <c r="T675" i="5"/>
  <c r="R675" i="5"/>
  <c r="T674" i="5"/>
  <c r="R674" i="5"/>
  <c r="T673" i="5"/>
  <c r="R673" i="5"/>
  <c r="T672" i="5"/>
  <c r="R672" i="5"/>
  <c r="T671" i="5"/>
  <c r="R671" i="5"/>
  <c r="T670" i="5"/>
  <c r="R670" i="5"/>
  <c r="T669" i="5"/>
  <c r="R669" i="5"/>
  <c r="T668" i="5"/>
  <c r="R668" i="5"/>
  <c r="T667" i="5"/>
  <c r="R667" i="5"/>
  <c r="T666" i="5"/>
  <c r="R666" i="5"/>
  <c r="T665" i="5"/>
  <c r="R665" i="5"/>
  <c r="T664" i="5"/>
  <c r="R664" i="5"/>
  <c r="T663" i="5"/>
  <c r="R663" i="5"/>
  <c r="T662" i="5"/>
  <c r="R662" i="5"/>
  <c r="T661" i="5"/>
  <c r="R661" i="5"/>
  <c r="T660" i="5"/>
  <c r="R660" i="5"/>
  <c r="T659" i="5"/>
  <c r="R659" i="5"/>
  <c r="T658" i="5"/>
  <c r="R658" i="5"/>
  <c r="T657" i="5"/>
  <c r="R657" i="5"/>
  <c r="T656" i="5"/>
  <c r="R656" i="5"/>
  <c r="T655" i="5"/>
  <c r="R655" i="5"/>
  <c r="T654" i="5"/>
  <c r="R654" i="5"/>
  <c r="T653" i="5"/>
  <c r="R653" i="5"/>
  <c r="T652" i="5"/>
  <c r="R652" i="5"/>
  <c r="T651" i="5"/>
  <c r="R651" i="5"/>
  <c r="T650" i="5"/>
  <c r="R650" i="5"/>
  <c r="T649" i="5"/>
  <c r="R649" i="5"/>
  <c r="T648" i="5"/>
  <c r="R648" i="5"/>
  <c r="T647" i="5"/>
  <c r="R647" i="5"/>
  <c r="T646" i="5"/>
  <c r="R646" i="5"/>
  <c r="T645" i="5"/>
  <c r="R645" i="5"/>
  <c r="T644" i="5"/>
  <c r="R644" i="5"/>
  <c r="T643" i="5"/>
  <c r="R643" i="5"/>
  <c r="T642" i="5"/>
  <c r="R642" i="5"/>
  <c r="T641" i="5"/>
  <c r="R641" i="5"/>
  <c r="T640" i="5"/>
  <c r="R640" i="5"/>
  <c r="T639" i="5"/>
  <c r="R639" i="5"/>
  <c r="T638" i="5"/>
  <c r="R638" i="5"/>
  <c r="T637" i="5"/>
  <c r="R637" i="5"/>
  <c r="T636" i="5"/>
  <c r="R636" i="5"/>
  <c r="T635" i="5"/>
  <c r="R635" i="5"/>
  <c r="T634" i="5"/>
  <c r="R634" i="5"/>
  <c r="T633" i="5"/>
  <c r="R633" i="5"/>
  <c r="T632" i="5"/>
  <c r="R632" i="5"/>
  <c r="T631" i="5"/>
  <c r="R631" i="5"/>
  <c r="T630" i="5"/>
  <c r="R630" i="5"/>
  <c r="T629" i="5"/>
  <c r="R629" i="5"/>
  <c r="T628" i="5"/>
  <c r="R628" i="5"/>
  <c r="T627" i="5"/>
  <c r="R627" i="5"/>
  <c r="T626" i="5"/>
  <c r="R626" i="5"/>
  <c r="T625" i="5"/>
  <c r="R625" i="5"/>
  <c r="T624" i="5"/>
  <c r="R624" i="5"/>
  <c r="T623" i="5"/>
  <c r="R623" i="5"/>
  <c r="T622" i="5"/>
  <c r="R622" i="5"/>
  <c r="T621" i="5"/>
  <c r="R621" i="5"/>
  <c r="T620" i="5"/>
  <c r="R620" i="5"/>
  <c r="T619" i="5"/>
  <c r="R619" i="5"/>
  <c r="T618" i="5"/>
  <c r="R618" i="5"/>
  <c r="T617" i="5"/>
  <c r="R617" i="5"/>
  <c r="T616" i="5"/>
  <c r="R616" i="5"/>
  <c r="T615" i="5"/>
  <c r="R615" i="5"/>
  <c r="T614" i="5"/>
  <c r="R614" i="5"/>
  <c r="T613" i="5"/>
  <c r="R613" i="5"/>
  <c r="T612" i="5"/>
  <c r="R612" i="5"/>
  <c r="T611" i="5"/>
  <c r="R611" i="5"/>
  <c r="T610" i="5"/>
  <c r="R610" i="5"/>
  <c r="T609" i="5"/>
  <c r="R609" i="5"/>
  <c r="T608" i="5"/>
  <c r="R608" i="5"/>
  <c r="T607" i="5"/>
  <c r="R607" i="5"/>
  <c r="T606" i="5"/>
  <c r="R606" i="5"/>
  <c r="T605" i="5"/>
  <c r="R605" i="5"/>
  <c r="T604" i="5"/>
  <c r="R604" i="5"/>
  <c r="T603" i="5"/>
  <c r="R603" i="5"/>
  <c r="T602" i="5"/>
  <c r="R602" i="5"/>
  <c r="T601" i="5"/>
  <c r="R601" i="5"/>
  <c r="T600" i="5"/>
  <c r="R600" i="5"/>
  <c r="T599" i="5"/>
  <c r="R599" i="5"/>
  <c r="T598" i="5"/>
  <c r="R598" i="5"/>
  <c r="T597" i="5"/>
  <c r="R597" i="5"/>
  <c r="T596" i="5"/>
  <c r="R596" i="5"/>
  <c r="T595" i="5"/>
  <c r="R595" i="5"/>
  <c r="T594" i="5"/>
  <c r="R594" i="5"/>
  <c r="T593" i="5"/>
  <c r="R593" i="5"/>
  <c r="T592" i="5"/>
  <c r="R592" i="5"/>
  <c r="T591" i="5"/>
  <c r="R591" i="5"/>
  <c r="T590" i="5"/>
  <c r="R590" i="5"/>
  <c r="T589" i="5"/>
  <c r="R589" i="5"/>
  <c r="T588" i="5"/>
  <c r="R588" i="5"/>
  <c r="T587" i="5"/>
  <c r="R587" i="5"/>
  <c r="T586" i="5"/>
  <c r="R586" i="5"/>
  <c r="T585" i="5"/>
  <c r="R585" i="5"/>
  <c r="T584" i="5"/>
  <c r="R584" i="5"/>
  <c r="T583" i="5"/>
  <c r="R583" i="5"/>
  <c r="T582" i="5"/>
  <c r="R582" i="5"/>
  <c r="T581" i="5"/>
  <c r="R581" i="5"/>
  <c r="T580" i="5"/>
  <c r="R580" i="5"/>
  <c r="T579" i="5"/>
  <c r="R579" i="5"/>
  <c r="T578" i="5"/>
  <c r="R578" i="5"/>
  <c r="T577" i="5"/>
  <c r="R577" i="5"/>
  <c r="T576" i="5"/>
  <c r="R576" i="5"/>
  <c r="T575" i="5"/>
  <c r="R575" i="5"/>
  <c r="T574" i="5"/>
  <c r="R574" i="5"/>
  <c r="T573" i="5"/>
  <c r="R573" i="5"/>
  <c r="T572" i="5"/>
  <c r="R572" i="5"/>
  <c r="T571" i="5"/>
  <c r="R571" i="5"/>
  <c r="T570" i="5"/>
  <c r="R570" i="5"/>
  <c r="T569" i="5"/>
  <c r="R569" i="5"/>
  <c r="T568" i="5"/>
  <c r="R568" i="5"/>
  <c r="T567" i="5"/>
  <c r="R567" i="5"/>
  <c r="T566" i="5"/>
  <c r="R566" i="5"/>
  <c r="T565" i="5"/>
  <c r="R565" i="5"/>
  <c r="T564" i="5"/>
  <c r="R564" i="5"/>
  <c r="T563" i="5"/>
  <c r="R563" i="5"/>
  <c r="T562" i="5"/>
  <c r="R562" i="5"/>
  <c r="T561" i="5"/>
  <c r="R561" i="5"/>
  <c r="T560" i="5"/>
  <c r="R560" i="5"/>
  <c r="T559" i="5"/>
  <c r="R559" i="5"/>
  <c r="T558" i="5"/>
  <c r="R558" i="5"/>
  <c r="T557" i="5"/>
  <c r="R557" i="5"/>
  <c r="T556" i="5"/>
  <c r="R556" i="5"/>
  <c r="T555" i="5"/>
  <c r="R555" i="5"/>
  <c r="T554" i="5"/>
  <c r="R554" i="5"/>
  <c r="T553" i="5"/>
  <c r="R553" i="5"/>
  <c r="T552" i="5"/>
  <c r="R552" i="5"/>
  <c r="T551" i="5"/>
  <c r="R551" i="5"/>
  <c r="T550" i="5"/>
  <c r="R550" i="5"/>
  <c r="T549" i="5"/>
  <c r="R549" i="5"/>
  <c r="T548" i="5"/>
  <c r="R548" i="5"/>
  <c r="T547" i="5"/>
  <c r="R547" i="5"/>
  <c r="T546" i="5"/>
  <c r="R546" i="5"/>
  <c r="T545" i="5"/>
  <c r="R545" i="5"/>
  <c r="T544" i="5"/>
  <c r="R544" i="5"/>
  <c r="T543" i="5"/>
  <c r="R543" i="5"/>
  <c r="T542" i="5"/>
  <c r="R542" i="5"/>
  <c r="T541" i="5"/>
  <c r="R541" i="5"/>
  <c r="T540" i="5"/>
  <c r="R540" i="5"/>
  <c r="T539" i="5"/>
  <c r="R539" i="5"/>
  <c r="T538" i="5"/>
  <c r="R538" i="5"/>
  <c r="T537" i="5"/>
  <c r="R537" i="5"/>
  <c r="T536" i="5"/>
  <c r="R536" i="5"/>
  <c r="T535" i="5"/>
  <c r="R535" i="5"/>
  <c r="T534" i="5"/>
  <c r="R534" i="5"/>
  <c r="T533" i="5"/>
  <c r="R533" i="5"/>
  <c r="T532" i="5"/>
  <c r="R532" i="5"/>
  <c r="T531" i="5"/>
  <c r="R531" i="5"/>
  <c r="T530" i="5"/>
  <c r="R530" i="5"/>
  <c r="T529" i="5"/>
  <c r="R529" i="5"/>
  <c r="T528" i="5"/>
  <c r="R528" i="5"/>
  <c r="T527" i="5"/>
  <c r="R527" i="5"/>
  <c r="T526" i="5"/>
  <c r="R526" i="5"/>
  <c r="T525" i="5"/>
  <c r="R525" i="5"/>
  <c r="T524" i="5"/>
  <c r="R524" i="5"/>
  <c r="T523" i="5"/>
  <c r="R523" i="5"/>
  <c r="T522" i="5"/>
  <c r="R522" i="5"/>
  <c r="T521" i="5"/>
  <c r="R521" i="5"/>
  <c r="T520" i="5"/>
  <c r="R520" i="5"/>
  <c r="T519" i="5"/>
  <c r="R519" i="5"/>
  <c r="T518" i="5"/>
  <c r="R518" i="5"/>
  <c r="T517" i="5"/>
  <c r="R517" i="5"/>
  <c r="T516" i="5"/>
  <c r="R516" i="5"/>
  <c r="T515" i="5"/>
  <c r="R515" i="5"/>
  <c r="T514" i="5"/>
  <c r="R514" i="5"/>
  <c r="T513" i="5"/>
  <c r="R513" i="5"/>
  <c r="T512" i="5"/>
  <c r="R512" i="5"/>
  <c r="T511" i="5"/>
  <c r="R511" i="5"/>
  <c r="T510" i="5"/>
  <c r="R510" i="5"/>
  <c r="T509" i="5"/>
  <c r="R509" i="5"/>
  <c r="T508" i="5"/>
  <c r="R508" i="5"/>
  <c r="T507" i="5"/>
  <c r="R507" i="5"/>
  <c r="T506" i="5"/>
  <c r="R506" i="5"/>
  <c r="T505" i="5"/>
  <c r="R505" i="5"/>
  <c r="T504" i="5"/>
  <c r="R504" i="5"/>
  <c r="T503" i="5"/>
  <c r="R503" i="5"/>
  <c r="T502" i="5"/>
  <c r="R502" i="5"/>
  <c r="T501" i="5"/>
  <c r="R501" i="5"/>
  <c r="T500" i="5"/>
  <c r="R500" i="5"/>
  <c r="T499" i="5"/>
  <c r="R499" i="5"/>
  <c r="T498" i="5"/>
  <c r="R498" i="5"/>
  <c r="T497" i="5"/>
  <c r="R497" i="5"/>
  <c r="T496" i="5"/>
  <c r="R496" i="5"/>
  <c r="T495" i="5"/>
  <c r="R495" i="5"/>
  <c r="T494" i="5"/>
  <c r="R494" i="5"/>
  <c r="T493" i="5"/>
  <c r="R493" i="5"/>
  <c r="T492" i="5"/>
  <c r="R492" i="5"/>
  <c r="T491" i="5"/>
  <c r="R491" i="5"/>
  <c r="T490" i="5"/>
  <c r="R490" i="5"/>
  <c r="T489" i="5"/>
  <c r="R489" i="5"/>
  <c r="T488" i="5"/>
  <c r="R488" i="5"/>
  <c r="T487" i="5"/>
  <c r="R487" i="5"/>
  <c r="T486" i="5"/>
  <c r="R486" i="5"/>
  <c r="T485" i="5"/>
  <c r="R485" i="5"/>
  <c r="T484" i="5"/>
  <c r="R484" i="5"/>
  <c r="T483" i="5"/>
  <c r="R483" i="5"/>
  <c r="T482" i="5"/>
  <c r="R482" i="5"/>
  <c r="T481" i="5"/>
  <c r="R481" i="5"/>
  <c r="T480" i="5"/>
  <c r="R480" i="5"/>
  <c r="T479" i="5"/>
  <c r="R479" i="5"/>
  <c r="T478" i="5"/>
  <c r="R478" i="5"/>
  <c r="T477" i="5"/>
  <c r="R477" i="5"/>
  <c r="T476" i="5"/>
  <c r="R476" i="5"/>
  <c r="T475" i="5"/>
  <c r="R475" i="5"/>
  <c r="T474" i="5"/>
  <c r="R474" i="5"/>
  <c r="T473" i="5"/>
  <c r="R473" i="5"/>
  <c r="T472" i="5"/>
  <c r="R472" i="5"/>
  <c r="T471" i="5"/>
  <c r="R471" i="5"/>
  <c r="T470" i="5"/>
  <c r="R470" i="5"/>
  <c r="T469" i="5"/>
  <c r="R469" i="5"/>
  <c r="T468" i="5"/>
  <c r="R468" i="5"/>
  <c r="T467" i="5"/>
  <c r="R467" i="5"/>
  <c r="T466" i="5"/>
  <c r="R466" i="5"/>
  <c r="T465" i="5"/>
  <c r="R465" i="5"/>
  <c r="T464" i="5"/>
  <c r="R464" i="5"/>
  <c r="T463" i="5"/>
  <c r="R463" i="5"/>
  <c r="T462" i="5"/>
  <c r="R462" i="5"/>
  <c r="T461" i="5"/>
  <c r="R461" i="5"/>
  <c r="T460" i="5"/>
  <c r="R460" i="5"/>
  <c r="T459" i="5"/>
  <c r="R459" i="5"/>
  <c r="T458" i="5"/>
  <c r="R458" i="5"/>
  <c r="T457" i="5"/>
  <c r="R457" i="5"/>
  <c r="T456" i="5"/>
  <c r="R456" i="5"/>
  <c r="T455" i="5"/>
  <c r="R455" i="5"/>
  <c r="T454" i="5"/>
  <c r="R454" i="5"/>
  <c r="T453" i="5"/>
  <c r="R453" i="5"/>
  <c r="T452" i="5"/>
  <c r="R452" i="5"/>
  <c r="T451" i="5"/>
  <c r="R451" i="5"/>
  <c r="T450" i="5"/>
  <c r="R450" i="5"/>
  <c r="T449" i="5"/>
  <c r="R449" i="5"/>
  <c r="T448" i="5"/>
  <c r="R448" i="5"/>
  <c r="T447" i="5"/>
  <c r="R447" i="5"/>
  <c r="T446" i="5"/>
  <c r="R446" i="5"/>
  <c r="T445" i="5"/>
  <c r="R445" i="5"/>
  <c r="T444" i="5"/>
  <c r="R444" i="5"/>
  <c r="T443" i="5"/>
  <c r="R443" i="5"/>
  <c r="T442" i="5"/>
  <c r="R442" i="5"/>
  <c r="T441" i="5"/>
  <c r="R441" i="5"/>
  <c r="T440" i="5"/>
  <c r="R440" i="5"/>
  <c r="T439" i="5"/>
  <c r="R439" i="5"/>
  <c r="T438" i="5"/>
  <c r="R438" i="5"/>
  <c r="T437" i="5"/>
  <c r="R437" i="5"/>
  <c r="T436" i="5"/>
  <c r="R436" i="5"/>
  <c r="T435" i="5"/>
  <c r="R435" i="5"/>
  <c r="T434" i="5"/>
  <c r="R434" i="5"/>
  <c r="T433" i="5"/>
  <c r="R433" i="5"/>
  <c r="T432" i="5"/>
  <c r="R432" i="5"/>
  <c r="T431" i="5"/>
  <c r="R431" i="5"/>
  <c r="T430" i="5"/>
  <c r="R430" i="5"/>
  <c r="T429" i="5"/>
  <c r="R429" i="5"/>
  <c r="T428" i="5"/>
  <c r="R428" i="5"/>
  <c r="T427" i="5"/>
  <c r="R427" i="5"/>
  <c r="T426" i="5"/>
  <c r="R426" i="5"/>
  <c r="T425" i="5"/>
  <c r="R425" i="5"/>
  <c r="T424" i="5"/>
  <c r="R424" i="5"/>
  <c r="T423" i="5"/>
  <c r="R423" i="5"/>
  <c r="T422" i="5"/>
  <c r="R422" i="5"/>
  <c r="T421" i="5"/>
  <c r="R421" i="5"/>
  <c r="T420" i="5"/>
  <c r="R420" i="5"/>
  <c r="T419" i="5"/>
  <c r="R419" i="5"/>
  <c r="T418" i="5"/>
  <c r="R418" i="5"/>
  <c r="T417" i="5"/>
  <c r="R417" i="5"/>
  <c r="T416" i="5"/>
  <c r="R416" i="5"/>
  <c r="T415" i="5"/>
  <c r="R415" i="5"/>
  <c r="T414" i="5"/>
  <c r="R414" i="5"/>
  <c r="T413" i="5"/>
  <c r="R413" i="5"/>
  <c r="T412" i="5"/>
  <c r="R412" i="5"/>
  <c r="T411" i="5"/>
  <c r="R411" i="5"/>
  <c r="T410" i="5"/>
  <c r="R410" i="5"/>
  <c r="T409" i="5"/>
  <c r="R409" i="5"/>
  <c r="T408" i="5"/>
  <c r="R408" i="5"/>
  <c r="T407" i="5"/>
  <c r="R407" i="5"/>
  <c r="T406" i="5"/>
  <c r="R406" i="5"/>
  <c r="T405" i="5"/>
  <c r="R405" i="5"/>
  <c r="T404" i="5"/>
  <c r="R404" i="5"/>
  <c r="T403" i="5"/>
  <c r="R403" i="5"/>
  <c r="T402" i="5"/>
  <c r="R402" i="5"/>
  <c r="T401" i="5"/>
  <c r="R401" i="5"/>
  <c r="T400" i="5"/>
  <c r="R400" i="5"/>
  <c r="T399" i="5"/>
  <c r="R399" i="5"/>
  <c r="T398" i="5"/>
  <c r="R398" i="5"/>
  <c r="T397" i="5"/>
  <c r="R397" i="5"/>
  <c r="T396" i="5"/>
  <c r="R396" i="5"/>
  <c r="T395" i="5"/>
  <c r="R395" i="5"/>
  <c r="T394" i="5"/>
  <c r="R394" i="5"/>
  <c r="T393" i="5"/>
  <c r="R393" i="5"/>
  <c r="T392" i="5"/>
  <c r="R392" i="5"/>
  <c r="T391" i="5"/>
  <c r="R391" i="5"/>
  <c r="T390" i="5"/>
  <c r="R390" i="5"/>
  <c r="T389" i="5"/>
  <c r="R389" i="5"/>
  <c r="T388" i="5"/>
  <c r="R388" i="5"/>
  <c r="T387" i="5"/>
  <c r="R387" i="5"/>
  <c r="T386" i="5"/>
  <c r="R386" i="5"/>
  <c r="T385" i="5"/>
  <c r="R385" i="5"/>
  <c r="T384" i="5"/>
  <c r="R384" i="5"/>
  <c r="T383" i="5"/>
  <c r="R383" i="5"/>
  <c r="T382" i="5"/>
  <c r="R382" i="5"/>
  <c r="T381" i="5"/>
  <c r="R381" i="5"/>
  <c r="T380" i="5"/>
  <c r="R380" i="5"/>
  <c r="T379" i="5"/>
  <c r="R379" i="5"/>
  <c r="T378" i="5"/>
  <c r="R378" i="5"/>
  <c r="T377" i="5"/>
  <c r="R377" i="5"/>
  <c r="T376" i="5"/>
  <c r="R376" i="5"/>
  <c r="T375" i="5"/>
  <c r="R375" i="5"/>
  <c r="T374" i="5"/>
  <c r="R374" i="5"/>
  <c r="T373" i="5"/>
  <c r="R373" i="5"/>
  <c r="T372" i="5"/>
  <c r="R372" i="5"/>
  <c r="T371" i="5"/>
  <c r="R371" i="5"/>
  <c r="T370" i="5"/>
  <c r="R370" i="5"/>
  <c r="T369" i="5"/>
  <c r="R369" i="5"/>
  <c r="T368" i="5"/>
  <c r="R368" i="5"/>
  <c r="T367" i="5"/>
  <c r="R367" i="5"/>
  <c r="T366" i="5"/>
  <c r="R366" i="5"/>
  <c r="T365" i="5"/>
  <c r="R365" i="5"/>
  <c r="T364" i="5"/>
  <c r="R364" i="5"/>
  <c r="T363" i="5"/>
  <c r="R363" i="5"/>
  <c r="T362" i="5"/>
  <c r="R362" i="5"/>
  <c r="T361" i="5"/>
  <c r="R361" i="5"/>
  <c r="T360" i="5"/>
  <c r="R360" i="5"/>
  <c r="T359" i="5"/>
  <c r="R359" i="5"/>
  <c r="T358" i="5"/>
  <c r="R358" i="5"/>
  <c r="T357" i="5"/>
  <c r="R357" i="5"/>
  <c r="T356" i="5"/>
  <c r="R356" i="5"/>
  <c r="T355" i="5"/>
  <c r="R355" i="5"/>
  <c r="T354" i="5"/>
  <c r="R354" i="5"/>
  <c r="T353" i="5"/>
  <c r="R353" i="5"/>
  <c r="T352" i="5"/>
  <c r="R352" i="5"/>
  <c r="T351" i="5"/>
  <c r="R351" i="5"/>
  <c r="T350" i="5"/>
  <c r="R350" i="5"/>
  <c r="T349" i="5"/>
  <c r="R349" i="5"/>
  <c r="T348" i="5"/>
  <c r="R348" i="5"/>
  <c r="T347" i="5"/>
  <c r="R347" i="5"/>
  <c r="T346" i="5"/>
  <c r="R346" i="5"/>
  <c r="T345" i="5"/>
  <c r="R345" i="5"/>
  <c r="T344" i="5"/>
  <c r="R344" i="5"/>
  <c r="T343" i="5"/>
  <c r="R343" i="5"/>
  <c r="T342" i="5"/>
  <c r="R342" i="5"/>
  <c r="T341" i="5"/>
  <c r="R341" i="5"/>
  <c r="T340" i="5"/>
  <c r="R340" i="5"/>
  <c r="T339" i="5"/>
  <c r="R339" i="5"/>
  <c r="T338" i="5"/>
  <c r="R338" i="5"/>
  <c r="T337" i="5"/>
  <c r="R337" i="5"/>
  <c r="T336" i="5"/>
  <c r="R336" i="5"/>
  <c r="T335" i="5"/>
  <c r="R335" i="5"/>
  <c r="T334" i="5"/>
  <c r="R334" i="5"/>
  <c r="T333" i="5"/>
  <c r="R333" i="5"/>
  <c r="T332" i="5"/>
  <c r="R332" i="5"/>
  <c r="T331" i="5"/>
  <c r="R331" i="5"/>
  <c r="T330" i="5"/>
  <c r="R330" i="5"/>
  <c r="T329" i="5"/>
  <c r="R329" i="5"/>
  <c r="T328" i="5"/>
  <c r="R328" i="5"/>
  <c r="T327" i="5"/>
  <c r="R327" i="5"/>
  <c r="T326" i="5"/>
  <c r="R326" i="5"/>
  <c r="T325" i="5"/>
  <c r="R325" i="5"/>
  <c r="T324" i="5"/>
  <c r="R324" i="5"/>
  <c r="T323" i="5"/>
  <c r="R323" i="5"/>
  <c r="T322" i="5"/>
  <c r="R322" i="5"/>
  <c r="T321" i="5"/>
  <c r="R321" i="5"/>
  <c r="T320" i="5"/>
  <c r="R320" i="5"/>
  <c r="T319" i="5"/>
  <c r="R319" i="5"/>
  <c r="T318" i="5"/>
  <c r="R318" i="5"/>
  <c r="T317" i="5"/>
  <c r="R317" i="5"/>
  <c r="T316" i="5"/>
  <c r="R316" i="5"/>
  <c r="T315" i="5"/>
  <c r="R315" i="5"/>
  <c r="T314" i="5"/>
  <c r="R314" i="5"/>
  <c r="T313" i="5"/>
  <c r="R313" i="5"/>
  <c r="T312" i="5"/>
  <c r="R312" i="5"/>
  <c r="T311" i="5"/>
  <c r="R311" i="5"/>
  <c r="T310" i="5"/>
  <c r="R310" i="5"/>
  <c r="T309" i="5"/>
  <c r="R309" i="5"/>
  <c r="T308" i="5"/>
  <c r="R308" i="5"/>
  <c r="T307" i="5"/>
  <c r="R307" i="5"/>
  <c r="T306" i="5"/>
  <c r="R306" i="5"/>
  <c r="T305" i="5"/>
  <c r="R305" i="5"/>
  <c r="T304" i="5"/>
  <c r="R304" i="5"/>
  <c r="T303" i="5"/>
  <c r="R303" i="5"/>
  <c r="T302" i="5"/>
  <c r="R302" i="5"/>
  <c r="T301" i="5"/>
  <c r="R301" i="5"/>
  <c r="T300" i="5"/>
  <c r="R300" i="5"/>
  <c r="T299" i="5"/>
  <c r="R299" i="5"/>
  <c r="T298" i="5"/>
  <c r="R298" i="5"/>
  <c r="T297" i="5"/>
  <c r="R297" i="5"/>
  <c r="T296" i="5"/>
  <c r="R296" i="5"/>
  <c r="T295" i="5"/>
  <c r="R295" i="5"/>
  <c r="T294" i="5"/>
  <c r="R294" i="5"/>
  <c r="T293" i="5"/>
  <c r="R293" i="5"/>
  <c r="T292" i="5"/>
  <c r="R292" i="5"/>
  <c r="T291" i="5"/>
  <c r="R291" i="5"/>
  <c r="T290" i="5"/>
  <c r="R290" i="5"/>
  <c r="T289" i="5"/>
  <c r="R289" i="5"/>
  <c r="T288" i="5"/>
  <c r="R288" i="5"/>
  <c r="T287" i="5"/>
  <c r="R287" i="5"/>
  <c r="T286" i="5"/>
  <c r="R286" i="5"/>
  <c r="T285" i="5"/>
  <c r="R285" i="5"/>
  <c r="T284" i="5"/>
  <c r="R284" i="5"/>
  <c r="T283" i="5"/>
  <c r="R283" i="5"/>
  <c r="T282" i="5"/>
  <c r="R282" i="5"/>
  <c r="T281" i="5"/>
  <c r="R281" i="5"/>
  <c r="T280" i="5"/>
  <c r="R280" i="5"/>
  <c r="T279" i="5"/>
  <c r="R279" i="5"/>
  <c r="T278" i="5"/>
  <c r="R278" i="5"/>
  <c r="T277" i="5"/>
  <c r="R277" i="5"/>
  <c r="T276" i="5"/>
  <c r="R276" i="5"/>
  <c r="T275" i="5"/>
  <c r="R275" i="5"/>
  <c r="T274" i="5"/>
  <c r="R274" i="5"/>
  <c r="T273" i="5"/>
  <c r="R273" i="5"/>
  <c r="T272" i="5"/>
  <c r="R272" i="5"/>
  <c r="T271" i="5"/>
  <c r="R271" i="5"/>
  <c r="T270" i="5"/>
  <c r="R270" i="5"/>
  <c r="T269" i="5"/>
  <c r="R269" i="5"/>
  <c r="T268" i="5"/>
  <c r="R268" i="5"/>
  <c r="T267" i="5"/>
  <c r="R267" i="5"/>
  <c r="T266" i="5"/>
  <c r="R266" i="5"/>
  <c r="T265" i="5"/>
  <c r="R265" i="5"/>
  <c r="T264" i="5"/>
  <c r="R264" i="5"/>
  <c r="T263" i="5"/>
  <c r="R263" i="5"/>
  <c r="T262" i="5"/>
  <c r="R262" i="5"/>
  <c r="T261" i="5"/>
  <c r="R261" i="5"/>
  <c r="T260" i="5"/>
  <c r="R260" i="5"/>
  <c r="T259" i="5"/>
  <c r="R259" i="5"/>
  <c r="T258" i="5"/>
  <c r="R258" i="5"/>
  <c r="T257" i="5"/>
  <c r="R257" i="5"/>
  <c r="T256" i="5"/>
  <c r="R256" i="5"/>
  <c r="T255" i="5"/>
  <c r="R255" i="5"/>
  <c r="T254" i="5"/>
  <c r="R254" i="5"/>
  <c r="T253" i="5"/>
  <c r="R253" i="5"/>
  <c r="T252" i="5"/>
  <c r="R252" i="5"/>
  <c r="T251" i="5"/>
  <c r="R251" i="5"/>
  <c r="T250" i="5"/>
  <c r="R250" i="5"/>
  <c r="T249" i="5"/>
  <c r="R249" i="5"/>
  <c r="T248" i="5"/>
  <c r="R248" i="5"/>
  <c r="T247" i="5"/>
  <c r="R247" i="5"/>
  <c r="T246" i="5"/>
  <c r="R246" i="5"/>
  <c r="T245" i="5"/>
  <c r="R245" i="5"/>
  <c r="T244" i="5"/>
  <c r="R244" i="5"/>
  <c r="T243" i="5"/>
  <c r="R243" i="5"/>
  <c r="T242" i="5"/>
  <c r="R242" i="5"/>
  <c r="T241" i="5"/>
  <c r="R241" i="5"/>
  <c r="T240" i="5"/>
  <c r="R240" i="5"/>
  <c r="T239" i="5"/>
  <c r="R239" i="5"/>
  <c r="T238" i="5"/>
  <c r="R238" i="5"/>
  <c r="T237" i="5"/>
  <c r="R237" i="5"/>
  <c r="T236" i="5"/>
  <c r="R236" i="5"/>
  <c r="T235" i="5"/>
  <c r="R235" i="5"/>
  <c r="T234" i="5"/>
  <c r="R234" i="5"/>
  <c r="T233" i="5"/>
  <c r="R233" i="5"/>
  <c r="T232" i="5"/>
  <c r="R232" i="5"/>
  <c r="T231" i="5"/>
  <c r="R231" i="5"/>
  <c r="T230" i="5"/>
  <c r="R230" i="5"/>
  <c r="T229" i="5"/>
  <c r="R229" i="5"/>
  <c r="T228" i="5"/>
  <c r="R228" i="5"/>
  <c r="T227" i="5"/>
  <c r="R227" i="5"/>
  <c r="T226" i="5"/>
  <c r="R226" i="5"/>
  <c r="T225" i="5"/>
  <c r="R225" i="5"/>
  <c r="T224" i="5"/>
  <c r="R224" i="5"/>
  <c r="T223" i="5"/>
  <c r="R223" i="5"/>
  <c r="T222" i="5"/>
  <c r="R222" i="5"/>
  <c r="T221" i="5"/>
  <c r="R221" i="5"/>
  <c r="T220" i="5"/>
  <c r="R220" i="5"/>
  <c r="T219" i="5"/>
  <c r="R219" i="5"/>
  <c r="T218" i="5"/>
  <c r="R218" i="5"/>
  <c r="T217" i="5"/>
  <c r="R217" i="5"/>
  <c r="T216" i="5"/>
  <c r="R216" i="5"/>
  <c r="T215" i="5"/>
  <c r="R215" i="5"/>
  <c r="T214" i="5"/>
  <c r="R214" i="5"/>
  <c r="T213" i="5"/>
  <c r="R213" i="5"/>
  <c r="T212" i="5"/>
  <c r="R212" i="5"/>
  <c r="T211" i="5"/>
  <c r="R211" i="5"/>
  <c r="T210" i="5"/>
  <c r="R210" i="5"/>
  <c r="T209" i="5"/>
  <c r="R209" i="5"/>
  <c r="T208" i="5"/>
  <c r="R208" i="5"/>
  <c r="T207" i="5"/>
  <c r="R207" i="5"/>
  <c r="T206" i="5"/>
  <c r="R206" i="5"/>
  <c r="T205" i="5"/>
  <c r="R205" i="5"/>
  <c r="T204" i="5"/>
  <c r="R204" i="5"/>
  <c r="T203" i="5"/>
  <c r="R203" i="5"/>
  <c r="T202" i="5"/>
  <c r="R202" i="5"/>
  <c r="T201" i="5"/>
  <c r="R201" i="5"/>
  <c r="T200" i="5"/>
  <c r="R200" i="5"/>
  <c r="T199" i="5"/>
  <c r="R199" i="5"/>
  <c r="T198" i="5"/>
  <c r="R198" i="5"/>
  <c r="T197" i="5"/>
  <c r="R197" i="5"/>
  <c r="T196" i="5"/>
  <c r="R196" i="5"/>
  <c r="T195" i="5"/>
  <c r="R195" i="5"/>
  <c r="T194" i="5"/>
  <c r="R194" i="5"/>
  <c r="T193" i="5"/>
  <c r="R193" i="5"/>
  <c r="T192" i="5"/>
  <c r="R192" i="5"/>
  <c r="T191" i="5"/>
  <c r="R191" i="5"/>
  <c r="T190" i="5"/>
  <c r="R190" i="5"/>
  <c r="T189" i="5"/>
  <c r="R189" i="5"/>
  <c r="T188" i="5"/>
  <c r="R188" i="5"/>
  <c r="T187" i="5"/>
  <c r="R187" i="5"/>
  <c r="T186" i="5"/>
  <c r="R186" i="5"/>
  <c r="T185" i="5"/>
  <c r="R185" i="5"/>
  <c r="T184" i="5"/>
  <c r="R184" i="5"/>
  <c r="T183" i="5"/>
  <c r="R183" i="5"/>
  <c r="T182" i="5"/>
  <c r="R182" i="5"/>
  <c r="T181" i="5"/>
  <c r="R181" i="5"/>
  <c r="T180" i="5"/>
  <c r="R180" i="5"/>
  <c r="T179" i="5"/>
  <c r="R179" i="5"/>
  <c r="T178" i="5"/>
  <c r="R178" i="5"/>
  <c r="T177" i="5"/>
  <c r="R177" i="5"/>
  <c r="T176" i="5"/>
  <c r="R176" i="5"/>
  <c r="T175" i="5"/>
  <c r="R175" i="5"/>
  <c r="T174" i="5"/>
  <c r="R174" i="5"/>
  <c r="T173" i="5"/>
  <c r="R173" i="5"/>
  <c r="T172" i="5"/>
  <c r="R172" i="5"/>
  <c r="T171" i="5"/>
  <c r="R171" i="5"/>
  <c r="T170" i="5"/>
  <c r="R170" i="5"/>
  <c r="T169" i="5"/>
  <c r="R169" i="5"/>
  <c r="T168" i="5"/>
  <c r="R168" i="5"/>
  <c r="T167" i="5"/>
  <c r="R167" i="5"/>
  <c r="T166" i="5"/>
  <c r="R166" i="5"/>
  <c r="T165" i="5"/>
  <c r="R165" i="5"/>
  <c r="T164" i="5"/>
  <c r="R164" i="5"/>
  <c r="T163" i="5"/>
  <c r="R163" i="5"/>
  <c r="T162" i="5"/>
  <c r="R162" i="5"/>
  <c r="T161" i="5"/>
  <c r="R161" i="5"/>
  <c r="T160" i="5"/>
  <c r="R160" i="5"/>
  <c r="T159" i="5"/>
  <c r="R159" i="5"/>
  <c r="T158" i="5"/>
  <c r="R158" i="5"/>
  <c r="T157" i="5"/>
  <c r="R157" i="5"/>
  <c r="T156" i="5"/>
  <c r="R156" i="5"/>
  <c r="T155" i="5"/>
  <c r="R155" i="5"/>
  <c r="T154" i="5"/>
  <c r="R154" i="5"/>
  <c r="T153" i="5"/>
  <c r="R153" i="5"/>
  <c r="T152" i="5"/>
  <c r="R152" i="5"/>
  <c r="T151" i="5"/>
  <c r="R151" i="5"/>
  <c r="T150" i="5"/>
  <c r="R150" i="5"/>
  <c r="T149" i="5"/>
  <c r="R149" i="5"/>
  <c r="T148" i="5"/>
  <c r="R148" i="5"/>
  <c r="T147" i="5"/>
  <c r="R147" i="5"/>
  <c r="T146" i="5"/>
  <c r="R146" i="5"/>
  <c r="T145" i="5"/>
  <c r="R145" i="5"/>
  <c r="T144" i="5"/>
  <c r="R144" i="5"/>
  <c r="T143" i="5"/>
  <c r="R143" i="5"/>
  <c r="T142" i="5"/>
  <c r="R142" i="5"/>
  <c r="T141" i="5"/>
  <c r="R141" i="5"/>
  <c r="T140" i="5"/>
  <c r="R140" i="5"/>
  <c r="T139" i="5"/>
  <c r="R139" i="5"/>
  <c r="T138" i="5"/>
  <c r="R138" i="5"/>
  <c r="T137" i="5"/>
  <c r="R137" i="5"/>
  <c r="T136" i="5"/>
  <c r="R136" i="5"/>
  <c r="T135" i="5"/>
  <c r="R135" i="5"/>
  <c r="T134" i="5"/>
  <c r="R134" i="5"/>
  <c r="T133" i="5"/>
  <c r="R133" i="5"/>
  <c r="T132" i="5"/>
  <c r="R132" i="5"/>
  <c r="T131" i="5"/>
  <c r="R131" i="5"/>
  <c r="T130" i="5"/>
  <c r="R130" i="5"/>
  <c r="T129" i="5"/>
  <c r="R129" i="5"/>
  <c r="T128" i="5"/>
  <c r="R128" i="5"/>
  <c r="T127" i="5"/>
  <c r="R127" i="5"/>
  <c r="T126" i="5"/>
  <c r="R126" i="5"/>
  <c r="T125" i="5"/>
  <c r="R125" i="5"/>
  <c r="T124" i="5"/>
  <c r="R124" i="5"/>
  <c r="T123" i="5"/>
  <c r="R123" i="5"/>
  <c r="T122" i="5"/>
  <c r="R122" i="5"/>
  <c r="T121" i="5"/>
  <c r="R121" i="5"/>
  <c r="T120" i="5"/>
  <c r="R120" i="5"/>
  <c r="T119" i="5"/>
  <c r="R119" i="5"/>
  <c r="T118" i="5"/>
  <c r="R118" i="5"/>
  <c r="T117" i="5"/>
  <c r="R117" i="5"/>
  <c r="T116" i="5"/>
  <c r="R116" i="5"/>
  <c r="T115" i="5"/>
  <c r="R115" i="5"/>
  <c r="T114" i="5"/>
  <c r="R114" i="5"/>
  <c r="T113" i="5"/>
  <c r="R113" i="5"/>
  <c r="T112" i="5"/>
  <c r="R112" i="5"/>
  <c r="T111" i="5"/>
  <c r="R111" i="5"/>
  <c r="T110" i="5"/>
  <c r="R110" i="5"/>
  <c r="T109" i="5"/>
  <c r="R109" i="5"/>
  <c r="T108" i="5"/>
  <c r="R108" i="5"/>
  <c r="T107" i="5"/>
  <c r="R107" i="5"/>
  <c r="T106" i="5"/>
  <c r="R106" i="5"/>
  <c r="T105" i="5"/>
  <c r="R105" i="5"/>
  <c r="T104" i="5"/>
  <c r="R104" i="5"/>
  <c r="T103" i="5"/>
  <c r="R103" i="5"/>
  <c r="T102" i="5"/>
  <c r="R102" i="5"/>
  <c r="T101" i="5"/>
  <c r="R101" i="5"/>
  <c r="T100" i="5"/>
  <c r="R100" i="5"/>
  <c r="T99" i="5"/>
  <c r="R99" i="5"/>
  <c r="T98" i="5"/>
  <c r="R98" i="5"/>
  <c r="T97" i="5"/>
  <c r="R97" i="5"/>
  <c r="T96" i="5"/>
  <c r="R96" i="5"/>
  <c r="T95" i="5"/>
  <c r="R95" i="5"/>
  <c r="T94" i="5"/>
  <c r="R94" i="5"/>
  <c r="T93" i="5"/>
  <c r="R93" i="5"/>
  <c r="T92" i="5"/>
  <c r="R92" i="5"/>
  <c r="T91" i="5"/>
  <c r="R91" i="5"/>
  <c r="T90" i="5"/>
  <c r="R90" i="5"/>
  <c r="T89" i="5"/>
  <c r="R89" i="5"/>
  <c r="T88" i="5"/>
  <c r="R88" i="5"/>
  <c r="T87" i="5"/>
  <c r="R87" i="5"/>
  <c r="T86" i="5"/>
  <c r="R86" i="5"/>
  <c r="T85" i="5"/>
  <c r="R85" i="5"/>
  <c r="T84" i="5"/>
  <c r="R84" i="5"/>
  <c r="T83" i="5"/>
  <c r="R83" i="5"/>
  <c r="T82" i="5"/>
  <c r="R82" i="5"/>
  <c r="T81" i="5"/>
  <c r="R81" i="5"/>
  <c r="T80" i="5"/>
  <c r="R80" i="5"/>
  <c r="T79" i="5"/>
  <c r="R79" i="5"/>
  <c r="T78" i="5"/>
  <c r="R78" i="5"/>
  <c r="T77" i="5"/>
  <c r="R77" i="5"/>
  <c r="T76" i="5"/>
  <c r="R76" i="5"/>
  <c r="T75" i="5"/>
  <c r="R75" i="5"/>
  <c r="T74" i="5"/>
  <c r="R74" i="5"/>
  <c r="T73" i="5"/>
  <c r="R73" i="5"/>
  <c r="T72" i="5"/>
  <c r="R72" i="5"/>
  <c r="T71" i="5"/>
  <c r="R71" i="5"/>
  <c r="T70" i="5"/>
  <c r="R70" i="5"/>
  <c r="T69" i="5"/>
  <c r="R69" i="5"/>
  <c r="T68" i="5"/>
  <c r="R68" i="5"/>
  <c r="T67" i="5"/>
  <c r="R67" i="5"/>
  <c r="T66" i="5"/>
  <c r="R66" i="5"/>
  <c r="T65" i="5"/>
  <c r="R65" i="5"/>
  <c r="T64" i="5"/>
  <c r="R64" i="5"/>
  <c r="T63" i="5"/>
  <c r="R63" i="5"/>
  <c r="T62" i="5"/>
  <c r="R62" i="5"/>
  <c r="T61" i="5"/>
  <c r="R61" i="5"/>
  <c r="T60" i="5"/>
  <c r="R60" i="5"/>
  <c r="T59" i="5"/>
  <c r="R59" i="5"/>
  <c r="T58" i="5"/>
  <c r="R58" i="5"/>
  <c r="T57" i="5"/>
  <c r="R57" i="5"/>
  <c r="T56" i="5"/>
  <c r="R56" i="5"/>
  <c r="T55" i="5"/>
  <c r="R55" i="5"/>
  <c r="T54" i="5"/>
  <c r="R54" i="5"/>
  <c r="T53" i="5"/>
  <c r="R53" i="5"/>
  <c r="T52" i="5"/>
  <c r="R52" i="5"/>
  <c r="T51" i="5"/>
  <c r="R51" i="5"/>
  <c r="T50" i="5"/>
  <c r="R50" i="5"/>
  <c r="T49" i="5"/>
  <c r="R49" i="5"/>
  <c r="T48" i="5"/>
  <c r="R48" i="5"/>
  <c r="T47" i="5"/>
  <c r="R47" i="5"/>
  <c r="T46" i="5"/>
  <c r="R46" i="5"/>
  <c r="T45" i="5"/>
  <c r="R45" i="5"/>
  <c r="T44" i="5"/>
  <c r="R44" i="5"/>
  <c r="T43" i="5"/>
  <c r="R43" i="5"/>
  <c r="T42" i="5"/>
  <c r="R42" i="5"/>
  <c r="T41" i="5"/>
  <c r="R41" i="5"/>
  <c r="T40" i="5"/>
  <c r="R40" i="5"/>
  <c r="T39" i="5"/>
  <c r="R39" i="5"/>
  <c r="T38" i="5"/>
  <c r="R38" i="5"/>
  <c r="T37" i="5"/>
  <c r="R37" i="5"/>
  <c r="T36" i="5"/>
  <c r="R36" i="5"/>
  <c r="T35" i="5"/>
  <c r="R35" i="5"/>
  <c r="T34" i="5"/>
  <c r="R34" i="5"/>
  <c r="T33" i="5"/>
  <c r="R33" i="5"/>
  <c r="T32" i="5"/>
  <c r="R32" i="5"/>
  <c r="T31" i="5"/>
  <c r="R31" i="5"/>
  <c r="T30" i="5"/>
  <c r="R30" i="5"/>
  <c r="T29" i="5"/>
  <c r="R29" i="5"/>
  <c r="T28" i="5"/>
  <c r="R28" i="5"/>
  <c r="T27" i="5"/>
  <c r="R27" i="5"/>
  <c r="T26" i="5"/>
  <c r="R26" i="5"/>
  <c r="T25" i="5"/>
  <c r="R25" i="5"/>
  <c r="T24" i="5"/>
  <c r="R24" i="5"/>
  <c r="T23" i="5"/>
  <c r="R23" i="5"/>
  <c r="T22" i="5"/>
  <c r="R22" i="5"/>
  <c r="T21" i="5"/>
  <c r="R21" i="5"/>
  <c r="T20" i="5"/>
  <c r="R20" i="5"/>
  <c r="T19" i="5"/>
  <c r="R19" i="5"/>
  <c r="T18" i="5"/>
  <c r="R18" i="5"/>
  <c r="T17" i="5"/>
  <c r="R17" i="5"/>
  <c r="T16" i="5"/>
  <c r="R16" i="5"/>
  <c r="T15" i="5"/>
  <c r="R15" i="5"/>
  <c r="T14" i="5"/>
  <c r="R14" i="5"/>
  <c r="T13" i="5"/>
  <c r="R13" i="5"/>
  <c r="T12" i="5"/>
  <c r="R12" i="5"/>
  <c r="T11" i="5"/>
  <c r="R11" i="5"/>
  <c r="T10" i="5"/>
  <c r="R10" i="5"/>
  <c r="T9" i="5"/>
  <c r="R9" i="5"/>
  <c r="T8" i="5"/>
  <c r="R8" i="5"/>
  <c r="T7" i="5"/>
  <c r="R7" i="5"/>
  <c r="T6" i="5"/>
  <c r="R6" i="5"/>
  <c r="T5" i="5"/>
  <c r="R5" i="5"/>
  <c r="D57" i="2"/>
  <c r="D56" i="2"/>
  <c r="D55" i="2"/>
  <c r="D54" i="2"/>
  <c r="D53" i="2"/>
  <c r="D52" i="2"/>
  <c r="D51" i="2"/>
  <c r="D50" i="2"/>
  <c r="D49" i="2"/>
  <c r="D48" i="2"/>
  <c r="D47" i="2"/>
  <c r="D46" i="2"/>
  <c r="D45" i="2"/>
  <c r="D44" i="2"/>
  <c r="D43" i="2"/>
  <c r="D42" i="2"/>
  <c r="D41" i="2"/>
  <c r="D40" i="2"/>
  <c r="D39" i="2"/>
  <c r="D38" i="2"/>
  <c r="D37" i="2"/>
  <c r="D36" i="2"/>
  <c r="D35" i="2"/>
  <c r="D34" i="2"/>
  <c r="D33" i="2"/>
  <c r="C28" i="2"/>
  <c r="B28" i="2"/>
  <c r="C27" i="2"/>
  <c r="B27" i="2"/>
  <c r="C26" i="2"/>
  <c r="B26" i="2"/>
  <c r="C25" i="2"/>
  <c r="B25" i="2"/>
  <c r="C24" i="2"/>
  <c r="B24" i="2"/>
  <c r="C23" i="2"/>
  <c r="B23" i="2"/>
  <c r="C22" i="2"/>
  <c r="B22" i="2"/>
  <c r="C21" i="2"/>
  <c r="B21" i="2"/>
  <c r="C20" i="2"/>
  <c r="B20" i="2"/>
  <c r="C19" i="2"/>
  <c r="B19" i="2"/>
  <c r="B29" i="2" s="1"/>
  <c r="B7" i="2"/>
  <c r="B6" i="2"/>
  <c r="B5" i="2"/>
  <c r="B4" i="2"/>
  <c r="C29" i="2" l="1"/>
  <c r="S84" i="5"/>
  <c r="U84" i="5" s="1"/>
  <c r="V84" i="5" s="1"/>
  <c r="W84" i="5" s="1"/>
  <c r="S106" i="5"/>
  <c r="U106" i="5" s="1"/>
  <c r="V106" i="5" s="1"/>
  <c r="W106" i="5" s="1"/>
  <c r="S107" i="5"/>
  <c r="U107" i="5" s="1"/>
  <c r="V107" i="5" s="1"/>
  <c r="W107" i="5" s="1"/>
  <c r="S156" i="5"/>
  <c r="U156" i="5" s="1"/>
  <c r="V156" i="5" s="1"/>
  <c r="W156" i="5" s="1"/>
  <c r="S164" i="5"/>
  <c r="U164" i="5" s="1"/>
  <c r="V164" i="5" s="1"/>
  <c r="W164" i="5" s="1"/>
  <c r="S167" i="5"/>
  <c r="U167" i="5" s="1"/>
  <c r="V167" i="5" s="1"/>
  <c r="W167" i="5" s="1"/>
  <c r="S169" i="5"/>
  <c r="U169" i="5" s="1"/>
  <c r="V169" i="5" s="1"/>
  <c r="W169" i="5" s="1"/>
  <c r="S171" i="5"/>
  <c r="U171" i="5" s="1"/>
  <c r="V171" i="5" s="1"/>
  <c r="W171" i="5" s="1"/>
  <c r="S208" i="5"/>
  <c r="U208" i="5" s="1"/>
  <c r="V208" i="5" s="1"/>
  <c r="W208" i="5" s="1"/>
  <c r="S221" i="5"/>
  <c r="U221" i="5" s="1"/>
  <c r="V221" i="5" s="1"/>
  <c r="W221" i="5" s="1"/>
  <c r="S232" i="5"/>
  <c r="U232" i="5" s="1"/>
  <c r="V232" i="5" s="1"/>
  <c r="W232" i="5" s="1"/>
  <c r="S249" i="5"/>
  <c r="U249" i="5" s="1"/>
  <c r="V249" i="5" s="1"/>
  <c r="W249" i="5" s="1"/>
  <c r="S251" i="5"/>
  <c r="U251" i="5" s="1"/>
  <c r="V251" i="5" s="1"/>
  <c r="W251" i="5" s="1"/>
  <c r="S253" i="5"/>
  <c r="U253" i="5" s="1"/>
  <c r="V253" i="5" s="1"/>
  <c r="W253" i="5" s="1"/>
  <c r="S277" i="5"/>
  <c r="U277" i="5" s="1"/>
  <c r="V277" i="5" s="1"/>
  <c r="W277" i="5" s="1"/>
  <c r="S287" i="5"/>
  <c r="U287" i="5" s="1"/>
  <c r="V287" i="5" s="1"/>
  <c r="W287" i="5" s="1"/>
  <c r="S302" i="5"/>
  <c r="U302" i="5" s="1"/>
  <c r="V302" i="5" s="1"/>
  <c r="W302" i="5" s="1"/>
  <c r="S317" i="5"/>
  <c r="U317" i="5" s="1"/>
  <c r="V317" i="5" s="1"/>
  <c r="W317" i="5" s="1"/>
  <c r="S336" i="5"/>
  <c r="U336" i="5" s="1"/>
  <c r="V336" i="5" s="1"/>
  <c r="W336" i="5" s="1"/>
  <c r="S337" i="5"/>
  <c r="U337" i="5" s="1"/>
  <c r="V337" i="5" s="1"/>
  <c r="W337" i="5" s="1"/>
  <c r="S338" i="5"/>
  <c r="U338" i="5" s="1"/>
  <c r="V338" i="5" s="1"/>
  <c r="W338" i="5" s="1"/>
  <c r="S344" i="5"/>
  <c r="U344" i="5" s="1"/>
  <c r="V344" i="5" s="1"/>
  <c r="W344" i="5" s="1"/>
  <c r="S345" i="5"/>
  <c r="U345" i="5" s="1"/>
  <c r="V345" i="5" s="1"/>
  <c r="W345" i="5" s="1"/>
  <c r="S30" i="5"/>
  <c r="U30" i="5" s="1"/>
  <c r="V30" i="5" s="1"/>
  <c r="W30" i="5" s="1"/>
  <c r="S152" i="5"/>
  <c r="U152" i="5" s="1"/>
  <c r="V152" i="5" s="1"/>
  <c r="W152" i="5" s="1"/>
  <c r="S168" i="5"/>
  <c r="U168" i="5" s="1"/>
  <c r="V168" i="5" s="1"/>
  <c r="W168" i="5" s="1"/>
  <c r="S193" i="5"/>
  <c r="U193" i="5" s="1"/>
  <c r="V193" i="5" s="1"/>
  <c r="W193" i="5" s="1"/>
  <c r="S209" i="5"/>
  <c r="U209" i="5" s="1"/>
  <c r="V209" i="5" s="1"/>
  <c r="W209" i="5" s="1"/>
  <c r="S374" i="5"/>
  <c r="U374" i="5" s="1"/>
  <c r="V374" i="5" s="1"/>
  <c r="W374" i="5" s="1"/>
  <c r="S392" i="5"/>
  <c r="U392" i="5" s="1"/>
  <c r="V392" i="5" s="1"/>
  <c r="W392" i="5" s="1"/>
  <c r="S399" i="5"/>
  <c r="U399" i="5" s="1"/>
  <c r="V399" i="5" s="1"/>
  <c r="W399" i="5" s="1"/>
  <c r="S400" i="5"/>
  <c r="U400" i="5" s="1"/>
  <c r="V400" i="5" s="1"/>
  <c r="W400" i="5" s="1"/>
  <c r="S402" i="5"/>
  <c r="U402" i="5" s="1"/>
  <c r="V402" i="5" s="1"/>
  <c r="W402" i="5" s="1"/>
  <c r="S418" i="5"/>
  <c r="U418" i="5" s="1"/>
  <c r="V418" i="5" s="1"/>
  <c r="W418" i="5" s="1"/>
  <c r="S437" i="5"/>
  <c r="U437" i="5" s="1"/>
  <c r="V437" i="5" s="1"/>
  <c r="W437" i="5" s="1"/>
  <c r="S450" i="5"/>
  <c r="U450" i="5" s="1"/>
  <c r="V450" i="5" s="1"/>
  <c r="W450" i="5" s="1"/>
  <c r="S474" i="5"/>
  <c r="U474" i="5" s="1"/>
  <c r="V474" i="5" s="1"/>
  <c r="W474" i="5" s="1"/>
  <c r="S475" i="5"/>
  <c r="U475" i="5" s="1"/>
  <c r="V475" i="5" s="1"/>
  <c r="W475" i="5" s="1"/>
  <c r="S478" i="5"/>
  <c r="U478" i="5" s="1"/>
  <c r="V478" i="5" s="1"/>
  <c r="W478" i="5" s="1"/>
  <c r="S479" i="5"/>
  <c r="U479" i="5" s="1"/>
  <c r="V479" i="5" s="1"/>
  <c r="W479" i="5" s="1"/>
  <c r="S577" i="5"/>
  <c r="U577" i="5" s="1"/>
  <c r="V577" i="5" s="1"/>
  <c r="W577" i="5" s="1"/>
  <c r="S151" i="5"/>
  <c r="U151" i="5" s="1"/>
  <c r="V151" i="5" s="1"/>
  <c r="W151" i="5" s="1"/>
  <c r="S492" i="5"/>
  <c r="U492" i="5" s="1"/>
  <c r="V492" i="5" s="1"/>
  <c r="W492" i="5" s="1"/>
  <c r="S511" i="5"/>
  <c r="U511" i="5" s="1"/>
  <c r="V511" i="5" s="1"/>
  <c r="W511" i="5" s="1"/>
  <c r="S658" i="5"/>
  <c r="U658" i="5" s="1"/>
  <c r="V658" i="5" s="1"/>
  <c r="W658" i="5" s="1"/>
  <c r="S710" i="5"/>
  <c r="U710" i="5" s="1"/>
  <c r="V710" i="5" s="1"/>
  <c r="W710" i="5" s="1"/>
  <c r="S731" i="5"/>
  <c r="U731" i="5" s="1"/>
  <c r="V731" i="5" s="1"/>
  <c r="W731" i="5" s="1"/>
  <c r="S732" i="5"/>
  <c r="U732" i="5" s="1"/>
  <c r="V732" i="5" s="1"/>
  <c r="W732" i="5" s="1"/>
  <c r="S733" i="5"/>
  <c r="U733" i="5" s="1"/>
  <c r="V733" i="5" s="1"/>
  <c r="W733" i="5" s="1"/>
  <c r="S59" i="5"/>
  <c r="U59" i="5" s="1"/>
  <c r="V59" i="5" s="1"/>
  <c r="W59" i="5" s="1"/>
  <c r="S165" i="5"/>
  <c r="U165" i="5" s="1"/>
  <c r="V165" i="5" s="1"/>
  <c r="W165" i="5" s="1"/>
  <c r="S507" i="5"/>
  <c r="U507" i="5" s="1"/>
  <c r="V507" i="5" s="1"/>
  <c r="W507" i="5" s="1"/>
  <c r="S525" i="5"/>
  <c r="U525" i="5" s="1"/>
  <c r="V525" i="5" s="1"/>
  <c r="W525" i="5" s="1"/>
  <c r="S647" i="5"/>
  <c r="U647" i="5" s="1"/>
  <c r="V647" i="5" s="1"/>
  <c r="W647" i="5" s="1"/>
  <c r="S741" i="5"/>
  <c r="U741" i="5" s="1"/>
  <c r="V741" i="5" s="1"/>
  <c r="W741" i="5" s="1"/>
  <c r="S772" i="5"/>
  <c r="U772" i="5" s="1"/>
  <c r="V772" i="5" s="1"/>
  <c r="W772" i="5" s="1"/>
  <c r="S810" i="5"/>
  <c r="U810" i="5" s="1"/>
  <c r="V810" i="5" s="1"/>
  <c r="W810" i="5" s="1"/>
  <c r="S833" i="5"/>
  <c r="U833" i="5" s="1"/>
  <c r="V833" i="5" s="1"/>
  <c r="W833" i="5" s="1"/>
  <c r="S834" i="5"/>
  <c r="U834" i="5" s="1"/>
  <c r="V834" i="5" s="1"/>
  <c r="W834" i="5" s="1"/>
  <c r="S60" i="5"/>
  <c r="U60" i="5" s="1"/>
  <c r="V60" i="5" s="1"/>
  <c r="W60" i="5" s="1"/>
  <c r="S110" i="5"/>
  <c r="U110" i="5" s="1"/>
  <c r="V110" i="5" s="1"/>
  <c r="W110" i="5" s="1"/>
  <c r="S140" i="5"/>
  <c r="U140" i="5" s="1"/>
  <c r="V140" i="5" s="1"/>
  <c r="W140" i="5" s="1"/>
  <c r="S150" i="5"/>
  <c r="U150" i="5" s="1"/>
  <c r="V150" i="5" s="1"/>
  <c r="W150" i="5" s="1"/>
  <c r="S526" i="5"/>
  <c r="U526" i="5" s="1"/>
  <c r="V526" i="5" s="1"/>
  <c r="W526" i="5" s="1"/>
  <c r="S549" i="5"/>
  <c r="U549" i="5" s="1"/>
  <c r="V549" i="5" s="1"/>
  <c r="W549" i="5" s="1"/>
  <c r="S646" i="5"/>
  <c r="U646" i="5" s="1"/>
  <c r="V646" i="5" s="1"/>
  <c r="W646" i="5" s="1"/>
  <c r="S908" i="5"/>
  <c r="U908" i="5" s="1"/>
  <c r="V908" i="5" s="1"/>
  <c r="W908" i="5" s="1"/>
  <c r="S909" i="5"/>
  <c r="U909" i="5" s="1"/>
  <c r="V909" i="5" s="1"/>
  <c r="W909" i="5" s="1"/>
  <c r="S983" i="5"/>
  <c r="U983" i="5" s="1"/>
  <c r="V983" i="5" s="1"/>
  <c r="W983" i="5" s="1"/>
  <c r="S119" i="5"/>
  <c r="U119" i="5" s="1"/>
  <c r="V119" i="5" s="1"/>
  <c r="W119" i="5" s="1"/>
  <c r="S131" i="5"/>
  <c r="U131" i="5" s="1"/>
  <c r="V131" i="5" s="1"/>
  <c r="W131" i="5" s="1"/>
  <c r="S143" i="5"/>
  <c r="U143" i="5" s="1"/>
  <c r="V143" i="5" s="1"/>
  <c r="W143" i="5" s="1"/>
  <c r="S144" i="5"/>
  <c r="U144" i="5" s="1"/>
  <c r="V144" i="5" s="1"/>
  <c r="W144" i="5" s="1"/>
  <c r="S161" i="5"/>
  <c r="U161" i="5" s="1"/>
  <c r="V161" i="5" s="1"/>
  <c r="W161" i="5" s="1"/>
  <c r="S196" i="5"/>
  <c r="U196" i="5" s="1"/>
  <c r="V196" i="5" s="1"/>
  <c r="W196" i="5" s="1"/>
  <c r="S197" i="5"/>
  <c r="U197" i="5" s="1"/>
  <c r="V197" i="5" s="1"/>
  <c r="W197" i="5" s="1"/>
  <c r="S200" i="5"/>
  <c r="U200" i="5" s="1"/>
  <c r="V200" i="5" s="1"/>
  <c r="W200" i="5" s="1"/>
  <c r="S237" i="5"/>
  <c r="U237" i="5" s="1"/>
  <c r="V237" i="5" s="1"/>
  <c r="W237" i="5" s="1"/>
  <c r="S238" i="5"/>
  <c r="U238" i="5" s="1"/>
  <c r="V238" i="5" s="1"/>
  <c r="W238" i="5" s="1"/>
  <c r="S243" i="5"/>
  <c r="U243" i="5" s="1"/>
  <c r="V243" i="5" s="1"/>
  <c r="W243" i="5" s="1"/>
  <c r="S244" i="5"/>
  <c r="U244" i="5" s="1"/>
  <c r="V244" i="5" s="1"/>
  <c r="W244" i="5" s="1"/>
  <c r="S264" i="5"/>
  <c r="U264" i="5" s="1"/>
  <c r="V264" i="5" s="1"/>
  <c r="W264" i="5" s="1"/>
  <c r="S275" i="5"/>
  <c r="U275" i="5" s="1"/>
  <c r="V275" i="5" s="1"/>
  <c r="W275" i="5" s="1"/>
  <c r="S293" i="5"/>
  <c r="U293" i="5" s="1"/>
  <c r="V293" i="5" s="1"/>
  <c r="W293" i="5" s="1"/>
  <c r="S305" i="5"/>
  <c r="U305" i="5" s="1"/>
  <c r="V305" i="5" s="1"/>
  <c r="W305" i="5" s="1"/>
  <c r="S315" i="5"/>
  <c r="U315" i="5" s="1"/>
  <c r="V315" i="5" s="1"/>
  <c r="W315" i="5" s="1"/>
  <c r="S316" i="5"/>
  <c r="U316" i="5" s="1"/>
  <c r="V316" i="5" s="1"/>
  <c r="W316" i="5" s="1"/>
  <c r="S324" i="5"/>
  <c r="U324" i="5" s="1"/>
  <c r="V324" i="5" s="1"/>
  <c r="W324" i="5" s="1"/>
  <c r="S93" i="5"/>
  <c r="U93" i="5" s="1"/>
  <c r="V93" i="5" s="1"/>
  <c r="W93" i="5" s="1"/>
  <c r="S94" i="5"/>
  <c r="U94" i="5" s="1"/>
  <c r="V94" i="5" s="1"/>
  <c r="W94" i="5" s="1"/>
  <c r="S170" i="5"/>
  <c r="U170" i="5" s="1"/>
  <c r="V170" i="5" s="1"/>
  <c r="W170" i="5" s="1"/>
  <c r="S375" i="5"/>
  <c r="U375" i="5" s="1"/>
  <c r="V375" i="5" s="1"/>
  <c r="W375" i="5" s="1"/>
  <c r="S376" i="5"/>
  <c r="U376" i="5" s="1"/>
  <c r="V376" i="5" s="1"/>
  <c r="W376" i="5" s="1"/>
  <c r="S378" i="5"/>
  <c r="U378" i="5" s="1"/>
  <c r="V378" i="5" s="1"/>
  <c r="W378" i="5" s="1"/>
  <c r="S379" i="5"/>
  <c r="U379" i="5" s="1"/>
  <c r="V379" i="5" s="1"/>
  <c r="W379" i="5" s="1"/>
  <c r="S393" i="5"/>
  <c r="U393" i="5" s="1"/>
  <c r="V393" i="5" s="1"/>
  <c r="W393" i="5" s="1"/>
  <c r="S401" i="5"/>
  <c r="U401" i="5" s="1"/>
  <c r="V401" i="5" s="1"/>
  <c r="W401" i="5" s="1"/>
  <c r="S436" i="5"/>
  <c r="U436" i="5" s="1"/>
  <c r="V436" i="5" s="1"/>
  <c r="W436" i="5" s="1"/>
  <c r="S451" i="5"/>
  <c r="U451" i="5" s="1"/>
  <c r="V451" i="5" s="1"/>
  <c r="W451" i="5" s="1"/>
  <c r="S470" i="5"/>
  <c r="U470" i="5" s="1"/>
  <c r="V470" i="5" s="1"/>
  <c r="W470" i="5" s="1"/>
  <c r="S471" i="5"/>
  <c r="U471" i="5" s="1"/>
  <c r="V471" i="5" s="1"/>
  <c r="W471" i="5" s="1"/>
  <c r="S574" i="5"/>
  <c r="U574" i="5" s="1"/>
  <c r="V574" i="5" s="1"/>
  <c r="W574" i="5" s="1"/>
  <c r="S122" i="5"/>
  <c r="U122" i="5" s="1"/>
  <c r="V122" i="5" s="1"/>
  <c r="W122" i="5" s="1"/>
  <c r="S127" i="5"/>
  <c r="U127" i="5" s="1"/>
  <c r="V127" i="5" s="1"/>
  <c r="W127" i="5" s="1"/>
  <c r="S132" i="5"/>
  <c r="U132" i="5" s="1"/>
  <c r="V132" i="5" s="1"/>
  <c r="W132" i="5" s="1"/>
  <c r="S508" i="5"/>
  <c r="U508" i="5" s="1"/>
  <c r="V508" i="5" s="1"/>
  <c r="W508" i="5" s="1"/>
  <c r="S514" i="5"/>
  <c r="U514" i="5" s="1"/>
  <c r="V514" i="5" s="1"/>
  <c r="W514" i="5" s="1"/>
  <c r="S540" i="5"/>
  <c r="U540" i="5" s="1"/>
  <c r="V540" i="5" s="1"/>
  <c r="W540" i="5" s="1"/>
  <c r="S653" i="5"/>
  <c r="U653" i="5" s="1"/>
  <c r="V653" i="5" s="1"/>
  <c r="W653" i="5" s="1"/>
  <c r="S713" i="5"/>
  <c r="U713" i="5" s="1"/>
  <c r="V713" i="5" s="1"/>
  <c r="W713" i="5" s="1"/>
  <c r="S714" i="5"/>
  <c r="U714" i="5" s="1"/>
  <c r="V714" i="5" s="1"/>
  <c r="W714" i="5" s="1"/>
  <c r="S715" i="5"/>
  <c r="U715" i="5" s="1"/>
  <c r="V715" i="5" s="1"/>
  <c r="W715" i="5" s="1"/>
  <c r="S50" i="5"/>
  <c r="U50" i="5" s="1"/>
  <c r="V50" i="5" s="1"/>
  <c r="W50" i="5" s="1"/>
  <c r="S74" i="5"/>
  <c r="U74" i="5" s="1"/>
  <c r="V74" i="5" s="1"/>
  <c r="W74" i="5" s="1"/>
  <c r="S90" i="5"/>
  <c r="U90" i="5" s="1"/>
  <c r="V90" i="5" s="1"/>
  <c r="W90" i="5" s="1"/>
  <c r="S124" i="5"/>
  <c r="U124" i="5" s="1"/>
  <c r="V124" i="5" s="1"/>
  <c r="W124" i="5" s="1"/>
  <c r="S125" i="5"/>
  <c r="U125" i="5" s="1"/>
  <c r="V125" i="5" s="1"/>
  <c r="W125" i="5" s="1"/>
  <c r="S513" i="5"/>
  <c r="U513" i="5" s="1"/>
  <c r="V513" i="5" s="1"/>
  <c r="W513" i="5" s="1"/>
  <c r="S632" i="5"/>
  <c r="U632" i="5" s="1"/>
  <c r="V632" i="5" s="1"/>
  <c r="W632" i="5" s="1"/>
  <c r="S756" i="5"/>
  <c r="U756" i="5" s="1"/>
  <c r="V756" i="5" s="1"/>
  <c r="W756" i="5" s="1"/>
  <c r="S123" i="5"/>
  <c r="U123" i="5" s="1"/>
  <c r="V123" i="5" s="1"/>
  <c r="W123" i="5" s="1"/>
  <c r="S142" i="5"/>
  <c r="U142" i="5" s="1"/>
  <c r="V142" i="5" s="1"/>
  <c r="W142" i="5" s="1"/>
  <c r="S499" i="5"/>
  <c r="U499" i="5" s="1"/>
  <c r="V499" i="5" s="1"/>
  <c r="W499" i="5" s="1"/>
  <c r="S900" i="5"/>
  <c r="U900" i="5" s="1"/>
  <c r="V900" i="5" s="1"/>
  <c r="W900" i="5" s="1"/>
  <c r="S17" i="5"/>
  <c r="U17" i="5" s="1"/>
  <c r="V17" i="5" s="1"/>
  <c r="W17" i="5" s="1"/>
  <c r="S18" i="5"/>
  <c r="U18" i="5" s="1"/>
  <c r="V18" i="5" s="1"/>
  <c r="W18" i="5" s="1"/>
  <c r="S45" i="5"/>
  <c r="U45" i="5" s="1"/>
  <c r="V45" i="5" s="1"/>
  <c r="W45" i="5" s="1"/>
  <c r="S72" i="5"/>
  <c r="U72" i="5" s="1"/>
  <c r="V72" i="5" s="1"/>
  <c r="W72" i="5" s="1"/>
  <c r="S201" i="5"/>
  <c r="U201" i="5" s="1"/>
  <c r="V201" i="5" s="1"/>
  <c r="W201" i="5" s="1"/>
  <c r="S203" i="5"/>
  <c r="U203" i="5" s="1"/>
  <c r="V203" i="5" s="1"/>
  <c r="W203" i="5" s="1"/>
  <c r="S206" i="5"/>
  <c r="U206" i="5" s="1"/>
  <c r="V206" i="5" s="1"/>
  <c r="W206" i="5" s="1"/>
  <c r="S228" i="5"/>
  <c r="U228" i="5" s="1"/>
  <c r="V228" i="5" s="1"/>
  <c r="W228" i="5" s="1"/>
  <c r="S241" i="5"/>
  <c r="U241" i="5" s="1"/>
  <c r="V241" i="5" s="1"/>
  <c r="W241" i="5" s="1"/>
  <c r="S252" i="5"/>
  <c r="U252" i="5" s="1"/>
  <c r="V252" i="5" s="1"/>
  <c r="W252" i="5" s="1"/>
  <c r="S262" i="5"/>
  <c r="U262" i="5" s="1"/>
  <c r="V262" i="5" s="1"/>
  <c r="W262" i="5" s="1"/>
  <c r="S263" i="5"/>
  <c r="U263" i="5" s="1"/>
  <c r="V263" i="5" s="1"/>
  <c r="W263" i="5" s="1"/>
  <c r="S265" i="5"/>
  <c r="U265" i="5" s="1"/>
  <c r="V265" i="5" s="1"/>
  <c r="W265" i="5" s="1"/>
  <c r="S268" i="5"/>
  <c r="U268" i="5" s="1"/>
  <c r="V268" i="5" s="1"/>
  <c r="W268" i="5" s="1"/>
  <c r="S278" i="5"/>
  <c r="U278" i="5" s="1"/>
  <c r="V278" i="5" s="1"/>
  <c r="W278" i="5" s="1"/>
  <c r="S280" i="5"/>
  <c r="U280" i="5" s="1"/>
  <c r="V280" i="5" s="1"/>
  <c r="W280" i="5" s="1"/>
  <c r="S282" i="5"/>
  <c r="U282" i="5" s="1"/>
  <c r="V282" i="5" s="1"/>
  <c r="W282" i="5" s="1"/>
  <c r="S283" i="5"/>
  <c r="U283" i="5" s="1"/>
  <c r="V283" i="5" s="1"/>
  <c r="W283" i="5" s="1"/>
  <c r="S285" i="5"/>
  <c r="U285" i="5" s="1"/>
  <c r="V285" i="5" s="1"/>
  <c r="W285" i="5" s="1"/>
  <c r="S295" i="5"/>
  <c r="U295" i="5" s="1"/>
  <c r="V295" i="5" s="1"/>
  <c r="W295" i="5" s="1"/>
  <c r="S299" i="5"/>
  <c r="U299" i="5" s="1"/>
  <c r="V299" i="5" s="1"/>
  <c r="W299" i="5" s="1"/>
  <c r="S300" i="5"/>
  <c r="U300" i="5" s="1"/>
  <c r="V300" i="5" s="1"/>
  <c r="W300" i="5" s="1"/>
  <c r="S301" i="5"/>
  <c r="U301" i="5" s="1"/>
  <c r="V301" i="5" s="1"/>
  <c r="W301" i="5" s="1"/>
  <c r="S304" i="5"/>
  <c r="U304" i="5" s="1"/>
  <c r="V304" i="5" s="1"/>
  <c r="W304" i="5" s="1"/>
  <c r="S306" i="5"/>
  <c r="U306" i="5" s="1"/>
  <c r="V306" i="5" s="1"/>
  <c r="W306" i="5" s="1"/>
  <c r="S309" i="5"/>
  <c r="U309" i="5" s="1"/>
  <c r="V309" i="5" s="1"/>
  <c r="W309" i="5" s="1"/>
  <c r="S318" i="5"/>
  <c r="U318" i="5" s="1"/>
  <c r="V318" i="5" s="1"/>
  <c r="W318" i="5" s="1"/>
  <c r="S319" i="5"/>
  <c r="U319" i="5" s="1"/>
  <c r="V319" i="5" s="1"/>
  <c r="W319" i="5" s="1"/>
  <c r="S320" i="5"/>
  <c r="U320" i="5" s="1"/>
  <c r="V320" i="5" s="1"/>
  <c r="W320" i="5" s="1"/>
  <c r="S321" i="5"/>
  <c r="U321" i="5" s="1"/>
  <c r="V321" i="5" s="1"/>
  <c r="W321" i="5" s="1"/>
  <c r="S325" i="5"/>
  <c r="U325" i="5" s="1"/>
  <c r="V325" i="5" s="1"/>
  <c r="W325" i="5" s="1"/>
  <c r="S326" i="5"/>
  <c r="U326" i="5" s="1"/>
  <c r="V326" i="5" s="1"/>
  <c r="W326" i="5" s="1"/>
  <c r="S329" i="5"/>
  <c r="U329" i="5" s="1"/>
  <c r="V329" i="5" s="1"/>
  <c r="W329" i="5" s="1"/>
  <c r="S346" i="5"/>
  <c r="U346" i="5" s="1"/>
  <c r="V346" i="5" s="1"/>
  <c r="W346" i="5" s="1"/>
  <c r="S348" i="5"/>
  <c r="U348" i="5" s="1"/>
  <c r="V348" i="5" s="1"/>
  <c r="W348" i="5" s="1"/>
  <c r="S349" i="5"/>
  <c r="U349" i="5" s="1"/>
  <c r="V349" i="5" s="1"/>
  <c r="W349" i="5" s="1"/>
  <c r="S54" i="5"/>
  <c r="U54" i="5" s="1"/>
  <c r="V54" i="5" s="1"/>
  <c r="W54" i="5" s="1"/>
  <c r="S71" i="5"/>
  <c r="U71" i="5" s="1"/>
  <c r="V71" i="5" s="1"/>
  <c r="W71" i="5" s="1"/>
  <c r="S77" i="5"/>
  <c r="U77" i="5" s="1"/>
  <c r="V77" i="5" s="1"/>
  <c r="W77" i="5" s="1"/>
  <c r="S91" i="5"/>
  <c r="U91" i="5" s="1"/>
  <c r="V91" i="5" s="1"/>
  <c r="W91" i="5" s="1"/>
  <c r="S92" i="5"/>
  <c r="U92" i="5" s="1"/>
  <c r="V92" i="5" s="1"/>
  <c r="W92" i="5" s="1"/>
  <c r="S95" i="5"/>
  <c r="U95" i="5" s="1"/>
  <c r="V95" i="5" s="1"/>
  <c r="W95" i="5" s="1"/>
  <c r="S102" i="5"/>
  <c r="U102" i="5" s="1"/>
  <c r="V102" i="5" s="1"/>
  <c r="W102" i="5" s="1"/>
  <c r="S108" i="5"/>
  <c r="U108" i="5" s="1"/>
  <c r="V108" i="5" s="1"/>
  <c r="W108" i="5" s="1"/>
  <c r="S115" i="5"/>
  <c r="U115" i="5" s="1"/>
  <c r="V115" i="5" s="1"/>
  <c r="W115" i="5" s="1"/>
  <c r="S128" i="5"/>
  <c r="U128" i="5" s="1"/>
  <c r="V128" i="5" s="1"/>
  <c r="W128" i="5" s="1"/>
  <c r="S195" i="5"/>
  <c r="U195" i="5" s="1"/>
  <c r="V195" i="5" s="1"/>
  <c r="W195" i="5" s="1"/>
  <c r="S204" i="5"/>
  <c r="U204" i="5" s="1"/>
  <c r="V204" i="5" s="1"/>
  <c r="W204" i="5" s="1"/>
  <c r="S207" i="5"/>
  <c r="U207" i="5" s="1"/>
  <c r="V207" i="5" s="1"/>
  <c r="W207" i="5" s="1"/>
  <c r="S229" i="5"/>
  <c r="U229" i="5" s="1"/>
  <c r="V229" i="5" s="1"/>
  <c r="W229" i="5" s="1"/>
  <c r="S369" i="5"/>
  <c r="U369" i="5" s="1"/>
  <c r="V369" i="5" s="1"/>
  <c r="W369" i="5" s="1"/>
  <c r="S370" i="5"/>
  <c r="U370" i="5" s="1"/>
  <c r="V370" i="5" s="1"/>
  <c r="W370" i="5" s="1"/>
  <c r="S394" i="5"/>
  <c r="U394" i="5" s="1"/>
  <c r="V394" i="5" s="1"/>
  <c r="W394" i="5" s="1"/>
  <c r="S397" i="5"/>
  <c r="U397" i="5" s="1"/>
  <c r="V397" i="5" s="1"/>
  <c r="W397" i="5" s="1"/>
  <c r="S452" i="5"/>
  <c r="U452" i="5" s="1"/>
  <c r="V452" i="5" s="1"/>
  <c r="W452" i="5" s="1"/>
  <c r="S477" i="5"/>
  <c r="U477" i="5" s="1"/>
  <c r="V477" i="5" s="1"/>
  <c r="W477" i="5" s="1"/>
  <c r="S481" i="5"/>
  <c r="U481" i="5" s="1"/>
  <c r="V481" i="5" s="1"/>
  <c r="W481" i="5" s="1"/>
  <c r="S568" i="5"/>
  <c r="U568" i="5" s="1"/>
  <c r="V568" i="5" s="1"/>
  <c r="W568" i="5" s="1"/>
  <c r="S569" i="5"/>
  <c r="U569" i="5" s="1"/>
  <c r="V569" i="5" s="1"/>
  <c r="W569" i="5" s="1"/>
  <c r="S570" i="5"/>
  <c r="U570" i="5" s="1"/>
  <c r="V570" i="5" s="1"/>
  <c r="W570" i="5" s="1"/>
  <c r="S571" i="5"/>
  <c r="U571" i="5" s="1"/>
  <c r="V571" i="5" s="1"/>
  <c r="W571" i="5" s="1"/>
  <c r="S572" i="5"/>
  <c r="U572" i="5" s="1"/>
  <c r="V572" i="5" s="1"/>
  <c r="W572" i="5" s="1"/>
  <c r="S597" i="5"/>
  <c r="U597" i="5" s="1"/>
  <c r="V597" i="5" s="1"/>
  <c r="W597" i="5" s="1"/>
  <c r="S7" i="5"/>
  <c r="U7" i="5" s="1"/>
  <c r="V7" i="5" s="1"/>
  <c r="W7" i="5" s="1"/>
  <c r="S8" i="5"/>
  <c r="U8" i="5" s="1"/>
  <c r="V8" i="5" s="1"/>
  <c r="W8" i="5" s="1"/>
  <c r="S47" i="5"/>
  <c r="U47" i="5" s="1"/>
  <c r="V47" i="5" s="1"/>
  <c r="W47" i="5" s="1"/>
  <c r="S83" i="5"/>
  <c r="U83" i="5" s="1"/>
  <c r="V83" i="5" s="1"/>
  <c r="W83" i="5" s="1"/>
  <c r="S109" i="5"/>
  <c r="U109" i="5" s="1"/>
  <c r="V109" i="5" s="1"/>
  <c r="W109" i="5" s="1"/>
  <c r="S114" i="5"/>
  <c r="U114" i="5" s="1"/>
  <c r="V114" i="5" s="1"/>
  <c r="W114" i="5" s="1"/>
  <c r="S118" i="5"/>
  <c r="U118" i="5" s="1"/>
  <c r="V118" i="5" s="1"/>
  <c r="W118" i="5" s="1"/>
  <c r="S136" i="5"/>
  <c r="U136" i="5" s="1"/>
  <c r="V136" i="5" s="1"/>
  <c r="W136" i="5" s="1"/>
  <c r="S145" i="5"/>
  <c r="U145" i="5" s="1"/>
  <c r="V145" i="5" s="1"/>
  <c r="W145" i="5" s="1"/>
  <c r="S146" i="5"/>
  <c r="U146" i="5" s="1"/>
  <c r="V146" i="5" s="1"/>
  <c r="W146" i="5" s="1"/>
  <c r="S485" i="5"/>
  <c r="U485" i="5" s="1"/>
  <c r="V485" i="5" s="1"/>
  <c r="W485" i="5" s="1"/>
  <c r="S506" i="5"/>
  <c r="U506" i="5" s="1"/>
  <c r="V506" i="5" s="1"/>
  <c r="W506" i="5" s="1"/>
  <c r="S518" i="5"/>
  <c r="U518" i="5" s="1"/>
  <c r="V518" i="5" s="1"/>
  <c r="W518" i="5" s="1"/>
  <c r="S643" i="5"/>
  <c r="U643" i="5" s="1"/>
  <c r="V643" i="5" s="1"/>
  <c r="W643" i="5" s="1"/>
  <c r="S651" i="5"/>
  <c r="U651" i="5" s="1"/>
  <c r="V651" i="5" s="1"/>
  <c r="W651" i="5" s="1"/>
  <c r="S654" i="5"/>
  <c r="U654" i="5" s="1"/>
  <c r="V654" i="5" s="1"/>
  <c r="W654" i="5" s="1"/>
  <c r="S693" i="5"/>
  <c r="U693" i="5" s="1"/>
  <c r="V693" i="5" s="1"/>
  <c r="W693" i="5" s="1"/>
  <c r="S697" i="5"/>
  <c r="U697" i="5" s="1"/>
  <c r="V697" i="5" s="1"/>
  <c r="W697" i="5" s="1"/>
  <c r="S698" i="5"/>
  <c r="U698" i="5" s="1"/>
  <c r="V698" i="5" s="1"/>
  <c r="W698" i="5" s="1"/>
  <c r="S711" i="5"/>
  <c r="U711" i="5" s="1"/>
  <c r="V711" i="5" s="1"/>
  <c r="W711" i="5" s="1"/>
  <c r="S712" i="5"/>
  <c r="U712" i="5" s="1"/>
  <c r="V712" i="5" s="1"/>
  <c r="W712" i="5" s="1"/>
  <c r="S718" i="5"/>
  <c r="U718" i="5" s="1"/>
  <c r="V718" i="5" s="1"/>
  <c r="W718" i="5" s="1"/>
  <c r="S719" i="5"/>
  <c r="U719" i="5" s="1"/>
  <c r="V719" i="5" s="1"/>
  <c r="W719" i="5" s="1"/>
  <c r="S720" i="5"/>
  <c r="U720" i="5" s="1"/>
  <c r="V720" i="5" s="1"/>
  <c r="W720" i="5" s="1"/>
  <c r="S721" i="5"/>
  <c r="U721" i="5" s="1"/>
  <c r="V721" i="5" s="1"/>
  <c r="W721" i="5" s="1"/>
  <c r="S9" i="5"/>
  <c r="U9" i="5" s="1"/>
  <c r="V9" i="5" s="1"/>
  <c r="W9" i="5" s="1"/>
  <c r="S21" i="5"/>
  <c r="U21" i="5" s="1"/>
  <c r="V21" i="5" s="1"/>
  <c r="W21" i="5" s="1"/>
  <c r="S42" i="5"/>
  <c r="U42" i="5" s="1"/>
  <c r="V42" i="5" s="1"/>
  <c r="W42" i="5" s="1"/>
  <c r="S43" i="5"/>
  <c r="U43" i="5" s="1"/>
  <c r="V43" i="5" s="1"/>
  <c r="W43" i="5" s="1"/>
  <c r="S52" i="5"/>
  <c r="U52" i="5" s="1"/>
  <c r="V52" i="5" s="1"/>
  <c r="W52" i="5" s="1"/>
  <c r="S55" i="5"/>
  <c r="U55" i="5" s="1"/>
  <c r="V55" i="5" s="1"/>
  <c r="W55" i="5" s="1"/>
  <c r="S73" i="5"/>
  <c r="U73" i="5" s="1"/>
  <c r="V73" i="5" s="1"/>
  <c r="W73" i="5" s="1"/>
  <c r="S75" i="5"/>
  <c r="U75" i="5" s="1"/>
  <c r="V75" i="5" s="1"/>
  <c r="W75" i="5" s="1"/>
  <c r="S112" i="5"/>
  <c r="U112" i="5" s="1"/>
  <c r="V112" i="5" s="1"/>
  <c r="W112" i="5" s="1"/>
  <c r="S129" i="5"/>
  <c r="U129" i="5" s="1"/>
  <c r="V129" i="5" s="1"/>
  <c r="W129" i="5" s="1"/>
  <c r="S498" i="5"/>
  <c r="U498" i="5" s="1"/>
  <c r="V498" i="5" s="1"/>
  <c r="W498" i="5" s="1"/>
  <c r="S509" i="5"/>
  <c r="U509" i="5" s="1"/>
  <c r="V509" i="5" s="1"/>
  <c r="W509" i="5" s="1"/>
  <c r="S541" i="5"/>
  <c r="U541" i="5" s="1"/>
  <c r="V541" i="5" s="1"/>
  <c r="W541" i="5" s="1"/>
  <c r="S550" i="5"/>
  <c r="U550" i="5" s="1"/>
  <c r="V550" i="5" s="1"/>
  <c r="W550" i="5" s="1"/>
  <c r="S552" i="5"/>
  <c r="U552" i="5" s="1"/>
  <c r="V552" i="5" s="1"/>
  <c r="W552" i="5" s="1"/>
  <c r="S628" i="5"/>
  <c r="U628" i="5" s="1"/>
  <c r="V628" i="5" s="1"/>
  <c r="W628" i="5" s="1"/>
  <c r="S650" i="5"/>
  <c r="U650" i="5" s="1"/>
  <c r="V650" i="5" s="1"/>
  <c r="W650" i="5" s="1"/>
  <c r="S800" i="5"/>
  <c r="U800" i="5" s="1"/>
  <c r="V800" i="5" s="1"/>
  <c r="W800" i="5" s="1"/>
  <c r="S805" i="5"/>
  <c r="U805" i="5" s="1"/>
  <c r="V805" i="5" s="1"/>
  <c r="W805" i="5" s="1"/>
  <c r="S806" i="5"/>
  <c r="U806" i="5" s="1"/>
  <c r="V806" i="5" s="1"/>
  <c r="W806" i="5" s="1"/>
  <c r="S814" i="5"/>
  <c r="U814" i="5" s="1"/>
  <c r="V814" i="5" s="1"/>
  <c r="W814" i="5" s="1"/>
  <c r="S815" i="5"/>
  <c r="U815" i="5" s="1"/>
  <c r="V815" i="5" s="1"/>
  <c r="W815" i="5" s="1"/>
  <c r="S832" i="5"/>
  <c r="U832" i="5" s="1"/>
  <c r="V832" i="5" s="1"/>
  <c r="W832" i="5" s="1"/>
  <c r="S19" i="5"/>
  <c r="U19" i="5" s="1"/>
  <c r="V19" i="5" s="1"/>
  <c r="W19" i="5" s="1"/>
  <c r="S25" i="5"/>
  <c r="U25" i="5" s="1"/>
  <c r="V25" i="5" s="1"/>
  <c r="W25" i="5" s="1"/>
  <c r="S88" i="5"/>
  <c r="U88" i="5" s="1"/>
  <c r="V88" i="5" s="1"/>
  <c r="W88" i="5" s="1"/>
  <c r="S105" i="5"/>
  <c r="U105" i="5" s="1"/>
  <c r="V105" i="5" s="1"/>
  <c r="W105" i="5" s="1"/>
  <c r="S130" i="5"/>
  <c r="U130" i="5" s="1"/>
  <c r="V130" i="5" s="1"/>
  <c r="W130" i="5" s="1"/>
  <c r="S522" i="5"/>
  <c r="U522" i="5" s="1"/>
  <c r="V522" i="5" s="1"/>
  <c r="W522" i="5" s="1"/>
  <c r="S533" i="5"/>
  <c r="U533" i="5" s="1"/>
  <c r="V533" i="5" s="1"/>
  <c r="W533" i="5" s="1"/>
  <c r="S553" i="5"/>
  <c r="U553" i="5" s="1"/>
  <c r="V553" i="5" s="1"/>
  <c r="W553" i="5" s="1"/>
  <c r="S627" i="5"/>
  <c r="U627" i="5" s="1"/>
  <c r="V627" i="5" s="1"/>
  <c r="W627" i="5" s="1"/>
  <c r="S910" i="5"/>
  <c r="U910" i="5" s="1"/>
  <c r="V910" i="5" s="1"/>
  <c r="W910" i="5" s="1"/>
  <c r="S978" i="5"/>
  <c r="U978" i="5" s="1"/>
  <c r="V978" i="5" s="1"/>
  <c r="W978" i="5" s="1"/>
  <c r="S979" i="5"/>
  <c r="U979" i="5" s="1"/>
  <c r="V979" i="5" s="1"/>
  <c r="W979" i="5" s="1"/>
  <c r="S85" i="5"/>
  <c r="U85" i="5" s="1"/>
  <c r="V85" i="5" s="1"/>
  <c r="W85" i="5" s="1"/>
  <c r="S162" i="5"/>
  <c r="U162" i="5" s="1"/>
  <c r="V162" i="5" s="1"/>
  <c r="W162" i="5" s="1"/>
  <c r="S172" i="5"/>
  <c r="U172" i="5" s="1"/>
  <c r="V172" i="5" s="1"/>
  <c r="W172" i="5" s="1"/>
  <c r="S189" i="5"/>
  <c r="U189" i="5" s="1"/>
  <c r="V189" i="5" s="1"/>
  <c r="W189" i="5" s="1"/>
  <c r="S190" i="5"/>
  <c r="U190" i="5" s="1"/>
  <c r="V190" i="5" s="1"/>
  <c r="W190" i="5" s="1"/>
  <c r="S234" i="5"/>
  <c r="U234" i="5" s="1"/>
  <c r="V234" i="5" s="1"/>
  <c r="W234" i="5" s="1"/>
  <c r="S239" i="5"/>
  <c r="U239" i="5" s="1"/>
  <c r="V239" i="5" s="1"/>
  <c r="W239" i="5" s="1"/>
  <c r="S245" i="5"/>
  <c r="U245" i="5" s="1"/>
  <c r="V245" i="5" s="1"/>
  <c r="W245" i="5" s="1"/>
  <c r="S266" i="5"/>
  <c r="U266" i="5" s="1"/>
  <c r="V266" i="5" s="1"/>
  <c r="W266" i="5" s="1"/>
  <c r="S267" i="5"/>
  <c r="U267" i="5" s="1"/>
  <c r="V267" i="5" s="1"/>
  <c r="W267" i="5" s="1"/>
  <c r="S269" i="5"/>
  <c r="U269" i="5" s="1"/>
  <c r="V269" i="5" s="1"/>
  <c r="W269" i="5" s="1"/>
  <c r="S270" i="5"/>
  <c r="U270" i="5" s="1"/>
  <c r="V270" i="5" s="1"/>
  <c r="W270" i="5" s="1"/>
  <c r="S284" i="5"/>
  <c r="U284" i="5" s="1"/>
  <c r="V284" i="5" s="1"/>
  <c r="W284" i="5" s="1"/>
  <c r="S288" i="5"/>
  <c r="U288" i="5" s="1"/>
  <c r="V288" i="5" s="1"/>
  <c r="W288" i="5" s="1"/>
  <c r="S289" i="5"/>
  <c r="U289" i="5" s="1"/>
  <c r="V289" i="5" s="1"/>
  <c r="W289" i="5" s="1"/>
  <c r="S294" i="5"/>
  <c r="U294" i="5" s="1"/>
  <c r="V294" i="5" s="1"/>
  <c r="W294" i="5" s="1"/>
  <c r="S303" i="5"/>
  <c r="U303" i="5" s="1"/>
  <c r="V303" i="5" s="1"/>
  <c r="W303" i="5" s="1"/>
  <c r="S307" i="5"/>
  <c r="U307" i="5" s="1"/>
  <c r="V307" i="5" s="1"/>
  <c r="W307" i="5" s="1"/>
  <c r="S308" i="5"/>
  <c r="U308" i="5" s="1"/>
  <c r="V308" i="5" s="1"/>
  <c r="W308" i="5" s="1"/>
  <c r="S310" i="5"/>
  <c r="U310" i="5" s="1"/>
  <c r="V310" i="5" s="1"/>
  <c r="W310" i="5" s="1"/>
  <c r="S311" i="5"/>
  <c r="U311" i="5" s="1"/>
  <c r="V311" i="5" s="1"/>
  <c r="W311" i="5" s="1"/>
  <c r="S322" i="5"/>
  <c r="U322" i="5" s="1"/>
  <c r="V322" i="5" s="1"/>
  <c r="W322" i="5" s="1"/>
  <c r="S89" i="5"/>
  <c r="U89" i="5" s="1"/>
  <c r="V89" i="5" s="1"/>
  <c r="W89" i="5" s="1"/>
  <c r="S96" i="5"/>
  <c r="U96" i="5" s="1"/>
  <c r="V96" i="5" s="1"/>
  <c r="W96" i="5" s="1"/>
  <c r="S160" i="5"/>
  <c r="U160" i="5" s="1"/>
  <c r="V160" i="5" s="1"/>
  <c r="W160" i="5" s="1"/>
  <c r="S191" i="5"/>
  <c r="U191" i="5" s="1"/>
  <c r="V191" i="5" s="1"/>
  <c r="W191" i="5" s="1"/>
  <c r="S230" i="5"/>
  <c r="U230" i="5" s="1"/>
  <c r="V230" i="5" s="1"/>
  <c r="W230" i="5" s="1"/>
  <c r="S233" i="5"/>
  <c r="U233" i="5" s="1"/>
  <c r="V233" i="5" s="1"/>
  <c r="W233" i="5" s="1"/>
  <c r="S372" i="5"/>
  <c r="U372" i="5" s="1"/>
  <c r="V372" i="5" s="1"/>
  <c r="W372" i="5" s="1"/>
  <c r="S373" i="5"/>
  <c r="U373" i="5" s="1"/>
  <c r="V373" i="5" s="1"/>
  <c r="W373" i="5" s="1"/>
  <c r="S407" i="5"/>
  <c r="U407" i="5" s="1"/>
  <c r="V407" i="5" s="1"/>
  <c r="W407" i="5" s="1"/>
  <c r="S454" i="5"/>
  <c r="U454" i="5" s="1"/>
  <c r="V454" i="5" s="1"/>
  <c r="W454" i="5" s="1"/>
  <c r="S455" i="5"/>
  <c r="U455" i="5" s="1"/>
  <c r="V455" i="5" s="1"/>
  <c r="W455" i="5" s="1"/>
  <c r="S10" i="5"/>
  <c r="U10" i="5" s="1"/>
  <c r="V10" i="5" s="1"/>
  <c r="W10" i="5" s="1"/>
  <c r="S24" i="5"/>
  <c r="U24" i="5" s="1"/>
  <c r="V24" i="5" s="1"/>
  <c r="W24" i="5" s="1"/>
  <c r="S61" i="5"/>
  <c r="U61" i="5" s="1"/>
  <c r="V61" i="5" s="1"/>
  <c r="W61" i="5" s="1"/>
  <c r="S120" i="5"/>
  <c r="U120" i="5" s="1"/>
  <c r="V120" i="5" s="1"/>
  <c r="W120" i="5" s="1"/>
  <c r="S622" i="5"/>
  <c r="U622" i="5" s="1"/>
  <c r="V622" i="5" s="1"/>
  <c r="W622" i="5" s="1"/>
  <c r="S699" i="5"/>
  <c r="U699" i="5" s="1"/>
  <c r="V699" i="5" s="1"/>
  <c r="W699" i="5" s="1"/>
  <c r="S700" i="5"/>
  <c r="U700" i="5" s="1"/>
  <c r="V700" i="5" s="1"/>
  <c r="W700" i="5" s="1"/>
  <c r="S706" i="5"/>
  <c r="U706" i="5" s="1"/>
  <c r="V706" i="5" s="1"/>
  <c r="W706" i="5" s="1"/>
  <c r="S707" i="5"/>
  <c r="U707" i="5" s="1"/>
  <c r="V707" i="5" s="1"/>
  <c r="W707" i="5" s="1"/>
  <c r="S708" i="5"/>
  <c r="U708" i="5" s="1"/>
  <c r="V708" i="5" s="1"/>
  <c r="W708" i="5" s="1"/>
  <c r="S726" i="5"/>
  <c r="U726" i="5" s="1"/>
  <c r="V726" i="5" s="1"/>
  <c r="W726" i="5" s="1"/>
  <c r="S20" i="5"/>
  <c r="U20" i="5" s="1"/>
  <c r="V20" i="5" s="1"/>
  <c r="W20" i="5" s="1"/>
  <c r="S28" i="5"/>
  <c r="U28" i="5" s="1"/>
  <c r="V28" i="5" s="1"/>
  <c r="W28" i="5" s="1"/>
  <c r="S62" i="5"/>
  <c r="U62" i="5" s="1"/>
  <c r="V62" i="5" s="1"/>
  <c r="W62" i="5" s="1"/>
  <c r="S113" i="5"/>
  <c r="U113" i="5" s="1"/>
  <c r="V113" i="5" s="1"/>
  <c r="W113" i="5" s="1"/>
  <c r="S116" i="5"/>
  <c r="U116" i="5" s="1"/>
  <c r="V116" i="5" s="1"/>
  <c r="W116" i="5" s="1"/>
  <c r="S158" i="5"/>
  <c r="U158" i="5" s="1"/>
  <c r="V158" i="5" s="1"/>
  <c r="W158" i="5" s="1"/>
  <c r="S504" i="5"/>
  <c r="U504" i="5" s="1"/>
  <c r="V504" i="5" s="1"/>
  <c r="W504" i="5" s="1"/>
  <c r="S554" i="5"/>
  <c r="U554" i="5" s="1"/>
  <c r="V554" i="5" s="1"/>
  <c r="W554" i="5" s="1"/>
  <c r="S560" i="5"/>
  <c r="U560" i="5" s="1"/>
  <c r="V560" i="5" s="1"/>
  <c r="W560" i="5" s="1"/>
  <c r="S639" i="5"/>
  <c r="U639" i="5" s="1"/>
  <c r="V639" i="5" s="1"/>
  <c r="W639" i="5" s="1"/>
  <c r="S742" i="5"/>
  <c r="U742" i="5" s="1"/>
  <c r="V742" i="5" s="1"/>
  <c r="W742" i="5" s="1"/>
  <c r="S743" i="5"/>
  <c r="U743" i="5" s="1"/>
  <c r="V743" i="5" s="1"/>
  <c r="W743" i="5" s="1"/>
  <c r="S744" i="5"/>
  <c r="U744" i="5" s="1"/>
  <c r="V744" i="5" s="1"/>
  <c r="W744" i="5" s="1"/>
  <c r="S745" i="5"/>
  <c r="U745" i="5" s="1"/>
  <c r="V745" i="5" s="1"/>
  <c r="W745" i="5" s="1"/>
  <c r="S746" i="5"/>
  <c r="U746" i="5" s="1"/>
  <c r="V746" i="5" s="1"/>
  <c r="W746" i="5" s="1"/>
  <c r="S747" i="5"/>
  <c r="U747" i="5" s="1"/>
  <c r="V747" i="5" s="1"/>
  <c r="W747" i="5" s="1"/>
  <c r="S748" i="5"/>
  <c r="U748" i="5" s="1"/>
  <c r="V748" i="5" s="1"/>
  <c r="W748" i="5" s="1"/>
  <c r="S749" i="5"/>
  <c r="U749" i="5" s="1"/>
  <c r="V749" i="5" s="1"/>
  <c r="W749" i="5" s="1"/>
  <c r="S750" i="5"/>
  <c r="U750" i="5" s="1"/>
  <c r="V750" i="5" s="1"/>
  <c r="W750" i="5" s="1"/>
  <c r="S751" i="5"/>
  <c r="U751" i="5" s="1"/>
  <c r="V751" i="5" s="1"/>
  <c r="W751" i="5" s="1"/>
  <c r="S752" i="5"/>
  <c r="U752" i="5" s="1"/>
  <c r="V752" i="5" s="1"/>
  <c r="W752" i="5" s="1"/>
  <c r="S753" i="5"/>
  <c r="U753" i="5" s="1"/>
  <c r="V753" i="5" s="1"/>
  <c r="W753" i="5" s="1"/>
  <c r="S754" i="5"/>
  <c r="U754" i="5" s="1"/>
  <c r="V754" i="5" s="1"/>
  <c r="W754" i="5" s="1"/>
  <c r="S830" i="5"/>
  <c r="U830" i="5" s="1"/>
  <c r="V830" i="5" s="1"/>
  <c r="W830" i="5" s="1"/>
  <c r="S853" i="5"/>
  <c r="U853" i="5" s="1"/>
  <c r="V853" i="5" s="1"/>
  <c r="W853" i="5" s="1"/>
  <c r="S854" i="5"/>
  <c r="U854" i="5" s="1"/>
  <c r="V854" i="5" s="1"/>
  <c r="W854" i="5" s="1"/>
  <c r="S857" i="5"/>
  <c r="U857" i="5" s="1"/>
  <c r="V857" i="5" s="1"/>
  <c r="W857" i="5" s="1"/>
  <c r="S29" i="5"/>
  <c r="U29" i="5" s="1"/>
  <c r="V29" i="5" s="1"/>
  <c r="W29" i="5" s="1"/>
  <c r="S79" i="5"/>
  <c r="U79" i="5" s="1"/>
  <c r="V79" i="5" s="1"/>
  <c r="W79" i="5" s="1"/>
  <c r="S159" i="5"/>
  <c r="U159" i="5" s="1"/>
  <c r="V159" i="5" s="1"/>
  <c r="W159" i="5" s="1"/>
  <c r="S502" i="5"/>
  <c r="U502" i="5" s="1"/>
  <c r="V502" i="5" s="1"/>
  <c r="W502" i="5" s="1"/>
  <c r="S555" i="5"/>
  <c r="U555" i="5" s="1"/>
  <c r="V555" i="5" s="1"/>
  <c r="W555" i="5" s="1"/>
  <c r="S559" i="5"/>
  <c r="U559" i="5" s="1"/>
  <c r="V559" i="5" s="1"/>
  <c r="W559" i="5" s="1"/>
  <c r="S618" i="5"/>
  <c r="U618" i="5" s="1"/>
  <c r="V618" i="5" s="1"/>
  <c r="W618" i="5" s="1"/>
  <c r="S624" i="5"/>
  <c r="U624" i="5" s="1"/>
  <c r="V624" i="5" s="1"/>
  <c r="W624" i="5" s="1"/>
  <c r="S631" i="5"/>
  <c r="U631" i="5" s="1"/>
  <c r="V631" i="5" s="1"/>
  <c r="W631" i="5" s="1"/>
  <c r="S914" i="5"/>
  <c r="U914" i="5" s="1"/>
  <c r="V914" i="5" s="1"/>
  <c r="W914" i="5" s="1"/>
  <c r="S915" i="5"/>
  <c r="U915" i="5" s="1"/>
  <c r="V915" i="5" s="1"/>
  <c r="W915" i="5" s="1"/>
  <c r="S916" i="5"/>
  <c r="U916" i="5" s="1"/>
  <c r="V916" i="5" s="1"/>
  <c r="W916" i="5" s="1"/>
  <c r="S917" i="5"/>
  <c r="U917" i="5" s="1"/>
  <c r="V917" i="5" s="1"/>
  <c r="W917" i="5" s="1"/>
  <c r="S919" i="5"/>
  <c r="U919" i="5" s="1"/>
  <c r="V919" i="5" s="1"/>
  <c r="W919" i="5" s="1"/>
  <c r="S963" i="5"/>
  <c r="U963" i="5" s="1"/>
  <c r="V963" i="5" s="1"/>
  <c r="W963" i="5" s="1"/>
  <c r="S964" i="5"/>
  <c r="U964" i="5" s="1"/>
  <c r="V964" i="5" s="1"/>
  <c r="W964" i="5" s="1"/>
  <c r="S965" i="5"/>
  <c r="U965" i="5" s="1"/>
  <c r="V965" i="5" s="1"/>
  <c r="W965" i="5" s="1"/>
  <c r="S970" i="5"/>
  <c r="U970" i="5" s="1"/>
  <c r="V970" i="5" s="1"/>
  <c r="W970" i="5" s="1"/>
  <c r="S971" i="5"/>
  <c r="U971" i="5" s="1"/>
  <c r="V971" i="5" s="1"/>
  <c r="W971" i="5" s="1"/>
  <c r="S972" i="5"/>
  <c r="U972" i="5" s="1"/>
  <c r="V972" i="5" s="1"/>
  <c r="W972" i="5" s="1"/>
  <c r="S982" i="5"/>
  <c r="U982" i="5" s="1"/>
  <c r="V982" i="5" s="1"/>
  <c r="W982" i="5" s="1"/>
  <c r="S81" i="5"/>
  <c r="U81" i="5" s="1"/>
  <c r="V81" i="5" s="1"/>
  <c r="W81" i="5" s="1"/>
  <c r="S103" i="5"/>
  <c r="U103" i="5" s="1"/>
  <c r="V103" i="5" s="1"/>
  <c r="W103" i="5" s="1"/>
  <c r="S148" i="5"/>
  <c r="U148" i="5" s="1"/>
  <c r="V148" i="5" s="1"/>
  <c r="W148" i="5" s="1"/>
  <c r="S192" i="5"/>
  <c r="U192" i="5" s="1"/>
  <c r="V192" i="5" s="1"/>
  <c r="W192" i="5" s="1"/>
  <c r="S225" i="5"/>
  <c r="U225" i="5" s="1"/>
  <c r="V225" i="5" s="1"/>
  <c r="W225" i="5" s="1"/>
  <c r="S227" i="5"/>
  <c r="U227" i="5" s="1"/>
  <c r="V227" i="5" s="1"/>
  <c r="W227" i="5" s="1"/>
  <c r="S236" i="5"/>
  <c r="U236" i="5" s="1"/>
  <c r="V236" i="5" s="1"/>
  <c r="W236" i="5" s="1"/>
  <c r="S240" i="5"/>
  <c r="U240" i="5" s="1"/>
  <c r="V240" i="5" s="1"/>
  <c r="W240" i="5" s="1"/>
  <c r="S248" i="5"/>
  <c r="U248" i="5" s="1"/>
  <c r="V248" i="5" s="1"/>
  <c r="W248" i="5" s="1"/>
  <c r="S250" i="5"/>
  <c r="U250" i="5" s="1"/>
  <c r="V250" i="5" s="1"/>
  <c r="W250" i="5" s="1"/>
  <c r="S255" i="5"/>
  <c r="U255" i="5" s="1"/>
  <c r="V255" i="5" s="1"/>
  <c r="W255" i="5" s="1"/>
  <c r="S271" i="5"/>
  <c r="U271" i="5" s="1"/>
  <c r="V271" i="5" s="1"/>
  <c r="W271" i="5" s="1"/>
  <c r="S290" i="5"/>
  <c r="U290" i="5" s="1"/>
  <c r="V290" i="5" s="1"/>
  <c r="W290" i="5" s="1"/>
  <c r="S291" i="5"/>
  <c r="U291" i="5" s="1"/>
  <c r="V291" i="5" s="1"/>
  <c r="W291" i="5" s="1"/>
  <c r="S296" i="5"/>
  <c r="U296" i="5" s="1"/>
  <c r="V296" i="5" s="1"/>
  <c r="W296" i="5" s="1"/>
  <c r="S323" i="5"/>
  <c r="U323" i="5" s="1"/>
  <c r="V323" i="5" s="1"/>
  <c r="W323" i="5" s="1"/>
  <c r="S327" i="5"/>
  <c r="U327" i="5" s="1"/>
  <c r="V327" i="5" s="1"/>
  <c r="W327" i="5" s="1"/>
  <c r="S331" i="5"/>
  <c r="U331" i="5" s="1"/>
  <c r="V331" i="5" s="1"/>
  <c r="W331" i="5" s="1"/>
  <c r="S333" i="5"/>
  <c r="U333" i="5" s="1"/>
  <c r="V333" i="5" s="1"/>
  <c r="W333" i="5" s="1"/>
  <c r="S57" i="5"/>
  <c r="U57" i="5" s="1"/>
  <c r="V57" i="5" s="1"/>
  <c r="W57" i="5" s="1"/>
  <c r="S163" i="5"/>
  <c r="U163" i="5" s="1"/>
  <c r="V163" i="5" s="1"/>
  <c r="W163" i="5" s="1"/>
  <c r="S166" i="5"/>
  <c r="U166" i="5" s="1"/>
  <c r="V166" i="5" s="1"/>
  <c r="W166" i="5" s="1"/>
  <c r="S202" i="5"/>
  <c r="U202" i="5" s="1"/>
  <c r="V202" i="5" s="1"/>
  <c r="W202" i="5" s="1"/>
  <c r="S205" i="5"/>
  <c r="U205" i="5" s="1"/>
  <c r="V205" i="5" s="1"/>
  <c r="W205" i="5" s="1"/>
  <c r="S219" i="5"/>
  <c r="U219" i="5" s="1"/>
  <c r="V219" i="5" s="1"/>
  <c r="W219" i="5" s="1"/>
  <c r="S224" i="5"/>
  <c r="U224" i="5" s="1"/>
  <c r="V224" i="5" s="1"/>
  <c r="W224" i="5" s="1"/>
  <c r="S235" i="5"/>
  <c r="U235" i="5" s="1"/>
  <c r="V235" i="5" s="1"/>
  <c r="W235" i="5" s="1"/>
  <c r="S368" i="5"/>
  <c r="U368" i="5" s="1"/>
  <c r="V368" i="5" s="1"/>
  <c r="W368" i="5" s="1"/>
  <c r="S371" i="5"/>
  <c r="U371" i="5" s="1"/>
  <c r="V371" i="5" s="1"/>
  <c r="W371" i="5" s="1"/>
  <c r="S377" i="5"/>
  <c r="U377" i="5" s="1"/>
  <c r="V377" i="5" s="1"/>
  <c r="W377" i="5" s="1"/>
  <c r="S384" i="5"/>
  <c r="U384" i="5" s="1"/>
  <c r="V384" i="5" s="1"/>
  <c r="W384" i="5" s="1"/>
  <c r="S385" i="5"/>
  <c r="U385" i="5" s="1"/>
  <c r="V385" i="5" s="1"/>
  <c r="W385" i="5" s="1"/>
  <c r="S386" i="5"/>
  <c r="U386" i="5" s="1"/>
  <c r="V386" i="5" s="1"/>
  <c r="W386" i="5" s="1"/>
  <c r="S387" i="5"/>
  <c r="U387" i="5" s="1"/>
  <c r="V387" i="5" s="1"/>
  <c r="W387" i="5" s="1"/>
  <c r="S388" i="5"/>
  <c r="U388" i="5" s="1"/>
  <c r="V388" i="5" s="1"/>
  <c r="W388" i="5" s="1"/>
  <c r="S408" i="5"/>
  <c r="U408" i="5" s="1"/>
  <c r="V408" i="5" s="1"/>
  <c r="W408" i="5" s="1"/>
  <c r="S409" i="5"/>
  <c r="U409" i="5" s="1"/>
  <c r="V409" i="5" s="1"/>
  <c r="W409" i="5" s="1"/>
  <c r="S410" i="5"/>
  <c r="U410" i="5" s="1"/>
  <c r="V410" i="5" s="1"/>
  <c r="W410" i="5" s="1"/>
  <c r="S439" i="5"/>
  <c r="U439" i="5" s="1"/>
  <c r="V439" i="5" s="1"/>
  <c r="W439" i="5" s="1"/>
  <c r="S456" i="5"/>
  <c r="U456" i="5" s="1"/>
  <c r="V456" i="5" s="1"/>
  <c r="W456" i="5" s="1"/>
  <c r="S457" i="5"/>
  <c r="U457" i="5" s="1"/>
  <c r="V457" i="5" s="1"/>
  <c r="W457" i="5" s="1"/>
  <c r="S458" i="5"/>
  <c r="U458" i="5" s="1"/>
  <c r="V458" i="5" s="1"/>
  <c r="W458" i="5" s="1"/>
  <c r="S459" i="5"/>
  <c r="U459" i="5" s="1"/>
  <c r="V459" i="5" s="1"/>
  <c r="W459" i="5" s="1"/>
  <c r="S460" i="5"/>
  <c r="U460" i="5" s="1"/>
  <c r="V460" i="5" s="1"/>
  <c r="W460" i="5" s="1"/>
  <c r="S461" i="5"/>
  <c r="U461" i="5" s="1"/>
  <c r="V461" i="5" s="1"/>
  <c r="W461" i="5" s="1"/>
  <c r="S462" i="5"/>
  <c r="U462" i="5" s="1"/>
  <c r="V462" i="5" s="1"/>
  <c r="W462" i="5" s="1"/>
  <c r="S463" i="5"/>
  <c r="U463" i="5" s="1"/>
  <c r="V463" i="5" s="1"/>
  <c r="W463" i="5" s="1"/>
  <c r="S464" i="5"/>
  <c r="U464" i="5" s="1"/>
  <c r="V464" i="5" s="1"/>
  <c r="W464" i="5" s="1"/>
  <c r="S465" i="5"/>
  <c r="U465" i="5" s="1"/>
  <c r="V465" i="5" s="1"/>
  <c r="W465" i="5" s="1"/>
  <c r="S466" i="5"/>
  <c r="U466" i="5" s="1"/>
  <c r="V466" i="5" s="1"/>
  <c r="W466" i="5" s="1"/>
  <c r="S467" i="5"/>
  <c r="U467" i="5" s="1"/>
  <c r="V467" i="5" s="1"/>
  <c r="W467" i="5" s="1"/>
  <c r="S468" i="5"/>
  <c r="U468" i="5" s="1"/>
  <c r="V468" i="5" s="1"/>
  <c r="W468" i="5" s="1"/>
  <c r="S469" i="5"/>
  <c r="U469" i="5" s="1"/>
  <c r="V469" i="5" s="1"/>
  <c r="W469" i="5" s="1"/>
  <c r="S482" i="5"/>
  <c r="U482" i="5" s="1"/>
  <c r="V482" i="5" s="1"/>
  <c r="W482" i="5" s="1"/>
  <c r="S483" i="5"/>
  <c r="U483" i="5" s="1"/>
  <c r="V483" i="5" s="1"/>
  <c r="W483" i="5" s="1"/>
  <c r="S562" i="5"/>
  <c r="U562" i="5" s="1"/>
  <c r="V562" i="5" s="1"/>
  <c r="W562" i="5" s="1"/>
  <c r="S598" i="5"/>
  <c r="U598" i="5" s="1"/>
  <c r="V598" i="5" s="1"/>
  <c r="W598" i="5" s="1"/>
  <c r="S610" i="5"/>
  <c r="U610" i="5" s="1"/>
  <c r="V610" i="5" s="1"/>
  <c r="W610" i="5" s="1"/>
  <c r="S48" i="5"/>
  <c r="U48" i="5" s="1"/>
  <c r="V48" i="5" s="1"/>
  <c r="W48" i="5" s="1"/>
  <c r="S147" i="5"/>
  <c r="U147" i="5" s="1"/>
  <c r="V147" i="5" s="1"/>
  <c r="W147" i="5" s="1"/>
  <c r="S500" i="5"/>
  <c r="U500" i="5" s="1"/>
  <c r="V500" i="5" s="1"/>
  <c r="W500" i="5" s="1"/>
  <c r="S523" i="5"/>
  <c r="U523" i="5" s="1"/>
  <c r="V523" i="5" s="1"/>
  <c r="W523" i="5" s="1"/>
  <c r="S557" i="5"/>
  <c r="U557" i="5" s="1"/>
  <c r="V557" i="5" s="1"/>
  <c r="W557" i="5" s="1"/>
  <c r="S633" i="5"/>
  <c r="U633" i="5" s="1"/>
  <c r="V633" i="5" s="1"/>
  <c r="W633" i="5" s="1"/>
  <c r="S634" i="5"/>
  <c r="U634" i="5" s="1"/>
  <c r="V634" i="5" s="1"/>
  <c r="W634" i="5" s="1"/>
  <c r="S640" i="5"/>
  <c r="U640" i="5" s="1"/>
  <c r="V640" i="5" s="1"/>
  <c r="W640" i="5" s="1"/>
  <c r="S701" i="5"/>
  <c r="U701" i="5" s="1"/>
  <c r="V701" i="5" s="1"/>
  <c r="W701" i="5" s="1"/>
  <c r="S702" i="5"/>
  <c r="U702" i="5" s="1"/>
  <c r="V702" i="5" s="1"/>
  <c r="W702" i="5" s="1"/>
  <c r="S703" i="5"/>
  <c r="U703" i="5" s="1"/>
  <c r="V703" i="5" s="1"/>
  <c r="W703" i="5" s="1"/>
  <c r="S709" i="5"/>
  <c r="U709" i="5" s="1"/>
  <c r="V709" i="5" s="1"/>
  <c r="W709" i="5" s="1"/>
  <c r="S723" i="5"/>
  <c r="U723" i="5" s="1"/>
  <c r="V723" i="5" s="1"/>
  <c r="W723" i="5" s="1"/>
  <c r="S724" i="5"/>
  <c r="U724" i="5" s="1"/>
  <c r="V724" i="5" s="1"/>
  <c r="W724" i="5" s="1"/>
  <c r="S725" i="5"/>
  <c r="U725" i="5" s="1"/>
  <c r="V725" i="5" s="1"/>
  <c r="W725" i="5" s="1"/>
  <c r="S11" i="5"/>
  <c r="U11" i="5" s="1"/>
  <c r="V11" i="5" s="1"/>
  <c r="W11" i="5" s="1"/>
  <c r="S41" i="5"/>
  <c r="U41" i="5" s="1"/>
  <c r="V41" i="5" s="1"/>
  <c r="W41" i="5" s="1"/>
  <c r="S69" i="5"/>
  <c r="U69" i="5" s="1"/>
  <c r="V69" i="5" s="1"/>
  <c r="W69" i="5" s="1"/>
  <c r="S70" i="5"/>
  <c r="U70" i="5" s="1"/>
  <c r="V70" i="5" s="1"/>
  <c r="W70" i="5" s="1"/>
  <c r="S80" i="5"/>
  <c r="U80" i="5" s="1"/>
  <c r="V80" i="5" s="1"/>
  <c r="W80" i="5" s="1"/>
  <c r="S137" i="5"/>
  <c r="U137" i="5" s="1"/>
  <c r="V137" i="5" s="1"/>
  <c r="W137" i="5" s="1"/>
  <c r="S138" i="5"/>
  <c r="U138" i="5" s="1"/>
  <c r="V138" i="5" s="1"/>
  <c r="W138" i="5" s="1"/>
  <c r="S505" i="5"/>
  <c r="U505" i="5" s="1"/>
  <c r="V505" i="5" s="1"/>
  <c r="W505" i="5" s="1"/>
  <c r="S556" i="5"/>
  <c r="U556" i="5" s="1"/>
  <c r="V556" i="5" s="1"/>
  <c r="W556" i="5" s="1"/>
  <c r="S558" i="5"/>
  <c r="U558" i="5" s="1"/>
  <c r="V558" i="5" s="1"/>
  <c r="W558" i="5" s="1"/>
  <c r="S561" i="5"/>
  <c r="U561" i="5" s="1"/>
  <c r="V561" i="5" s="1"/>
  <c r="W561" i="5" s="1"/>
  <c r="S619" i="5"/>
  <c r="U619" i="5" s="1"/>
  <c r="V619" i="5" s="1"/>
  <c r="W619" i="5" s="1"/>
  <c r="S623" i="5"/>
  <c r="U623" i="5" s="1"/>
  <c r="V623" i="5" s="1"/>
  <c r="W623" i="5" s="1"/>
  <c r="S625" i="5"/>
  <c r="U625" i="5" s="1"/>
  <c r="V625" i="5" s="1"/>
  <c r="W625" i="5" s="1"/>
  <c r="S635" i="5"/>
  <c r="U635" i="5" s="1"/>
  <c r="V635" i="5" s="1"/>
  <c r="W635" i="5" s="1"/>
  <c r="S637" i="5"/>
  <c r="U637" i="5" s="1"/>
  <c r="V637" i="5" s="1"/>
  <c r="W637" i="5" s="1"/>
  <c r="S642" i="5"/>
  <c r="U642" i="5" s="1"/>
  <c r="V642" i="5" s="1"/>
  <c r="W642" i="5" s="1"/>
  <c r="S644" i="5"/>
  <c r="U644" i="5" s="1"/>
  <c r="V644" i="5" s="1"/>
  <c r="W644" i="5" s="1"/>
  <c r="S667" i="5"/>
  <c r="U667" i="5" s="1"/>
  <c r="V667" i="5" s="1"/>
  <c r="W667" i="5" s="1"/>
  <c r="S755" i="5"/>
  <c r="U755" i="5" s="1"/>
  <c r="V755" i="5" s="1"/>
  <c r="W755" i="5" s="1"/>
  <c r="S769" i="5"/>
  <c r="U769" i="5" s="1"/>
  <c r="V769" i="5" s="1"/>
  <c r="W769" i="5" s="1"/>
  <c r="S770" i="5"/>
  <c r="U770" i="5" s="1"/>
  <c r="V770" i="5" s="1"/>
  <c r="W770" i="5" s="1"/>
  <c r="S790" i="5"/>
  <c r="U790" i="5" s="1"/>
  <c r="V790" i="5" s="1"/>
  <c r="W790" i="5" s="1"/>
  <c r="S793" i="5"/>
  <c r="U793" i="5" s="1"/>
  <c r="V793" i="5" s="1"/>
  <c r="W793" i="5" s="1"/>
  <c r="S801" i="5"/>
  <c r="U801" i="5" s="1"/>
  <c r="V801" i="5" s="1"/>
  <c r="W801" i="5" s="1"/>
  <c r="S802" i="5"/>
  <c r="U802" i="5" s="1"/>
  <c r="V802" i="5" s="1"/>
  <c r="W802" i="5" s="1"/>
  <c r="S803" i="5"/>
  <c r="U803" i="5" s="1"/>
  <c r="V803" i="5" s="1"/>
  <c r="W803" i="5" s="1"/>
  <c r="S821" i="5"/>
  <c r="U821" i="5" s="1"/>
  <c r="V821" i="5" s="1"/>
  <c r="W821" i="5" s="1"/>
  <c r="S831" i="5"/>
  <c r="U831" i="5" s="1"/>
  <c r="V831" i="5" s="1"/>
  <c r="W831" i="5" s="1"/>
  <c r="S855" i="5"/>
  <c r="U855" i="5" s="1"/>
  <c r="V855" i="5" s="1"/>
  <c r="W855" i="5" s="1"/>
  <c r="S856" i="5"/>
  <c r="U856" i="5" s="1"/>
  <c r="V856" i="5" s="1"/>
  <c r="W856" i="5" s="1"/>
  <c r="S858" i="5"/>
  <c r="U858" i="5" s="1"/>
  <c r="V858" i="5" s="1"/>
  <c r="W858" i="5" s="1"/>
  <c r="S860" i="5"/>
  <c r="U860" i="5" s="1"/>
  <c r="V860" i="5" s="1"/>
  <c r="W860" i="5" s="1"/>
  <c r="S13" i="5"/>
  <c r="U13" i="5" s="1"/>
  <c r="V13" i="5" s="1"/>
  <c r="W13" i="5" s="1"/>
  <c r="S82" i="5"/>
  <c r="U82" i="5" s="1"/>
  <c r="V82" i="5" s="1"/>
  <c r="W82" i="5" s="1"/>
  <c r="S104" i="5"/>
  <c r="U104" i="5" s="1"/>
  <c r="V104" i="5" s="1"/>
  <c r="W104" i="5" s="1"/>
  <c r="S510" i="5"/>
  <c r="U510" i="5" s="1"/>
  <c r="V510" i="5" s="1"/>
  <c r="W510" i="5" s="1"/>
  <c r="S626" i="5"/>
  <c r="U626" i="5" s="1"/>
  <c r="V626" i="5" s="1"/>
  <c r="W626" i="5" s="1"/>
  <c r="S641" i="5"/>
  <c r="U641" i="5" s="1"/>
  <c r="V641" i="5" s="1"/>
  <c r="W641" i="5" s="1"/>
  <c r="S645" i="5"/>
  <c r="U645" i="5" s="1"/>
  <c r="V645" i="5" s="1"/>
  <c r="W645" i="5" s="1"/>
  <c r="S911" i="5"/>
  <c r="U911" i="5" s="1"/>
  <c r="V911" i="5" s="1"/>
  <c r="W911" i="5" s="1"/>
  <c r="S912" i="5"/>
  <c r="U912" i="5" s="1"/>
  <c r="V912" i="5" s="1"/>
  <c r="W912" i="5" s="1"/>
  <c r="S918" i="5"/>
  <c r="U918" i="5" s="1"/>
  <c r="V918" i="5" s="1"/>
  <c r="W918" i="5" s="1"/>
  <c r="S966" i="5"/>
  <c r="U966" i="5" s="1"/>
  <c r="V966" i="5" s="1"/>
  <c r="W966" i="5" s="1"/>
  <c r="S973" i="5"/>
  <c r="U973" i="5" s="1"/>
  <c r="V973" i="5" s="1"/>
  <c r="W973" i="5" s="1"/>
  <c r="S974" i="5"/>
  <c r="U974" i="5" s="1"/>
  <c r="V974" i="5" s="1"/>
  <c r="W974" i="5" s="1"/>
  <c r="S975" i="5"/>
  <c r="U975" i="5" s="1"/>
  <c r="V975" i="5" s="1"/>
  <c r="W975" i="5" s="1"/>
  <c r="S976" i="5"/>
  <c r="U976" i="5" s="1"/>
  <c r="V976" i="5" s="1"/>
  <c r="W976" i="5" s="1"/>
  <c r="S977" i="5"/>
  <c r="U977" i="5" s="1"/>
  <c r="V977" i="5" s="1"/>
  <c r="W977" i="5" s="1"/>
  <c r="S980" i="5"/>
  <c r="U980" i="5" s="1"/>
  <c r="V980" i="5" s="1"/>
  <c r="W980" i="5" s="1"/>
  <c r="S35" i="5"/>
  <c r="U35" i="5" s="1"/>
  <c r="V35" i="5" s="1"/>
  <c r="W35" i="5" s="1"/>
  <c r="S51" i="5"/>
  <c r="U51" i="5" s="1"/>
  <c r="V51" i="5" s="1"/>
  <c r="W51" i="5" s="1"/>
  <c r="S175" i="5"/>
  <c r="U175" i="5" s="1"/>
  <c r="V175" i="5" s="1"/>
  <c r="W175" i="5" s="1"/>
  <c r="S176" i="5"/>
  <c r="U176" i="5" s="1"/>
  <c r="V176" i="5" s="1"/>
  <c r="W176" i="5" s="1"/>
  <c r="S178" i="5"/>
  <c r="U178" i="5" s="1"/>
  <c r="V178" i="5" s="1"/>
  <c r="W178" i="5" s="1"/>
  <c r="S179" i="5"/>
  <c r="U179" i="5" s="1"/>
  <c r="V179" i="5" s="1"/>
  <c r="W179" i="5" s="1"/>
  <c r="S181" i="5"/>
  <c r="U181" i="5" s="1"/>
  <c r="V181" i="5" s="1"/>
  <c r="W181" i="5" s="1"/>
  <c r="S182" i="5"/>
  <c r="U182" i="5" s="1"/>
  <c r="V182" i="5" s="1"/>
  <c r="W182" i="5" s="1"/>
  <c r="S183" i="5"/>
  <c r="U183" i="5" s="1"/>
  <c r="V183" i="5" s="1"/>
  <c r="W183" i="5" s="1"/>
  <c r="S185" i="5"/>
  <c r="U185" i="5" s="1"/>
  <c r="V185" i="5" s="1"/>
  <c r="W185" i="5" s="1"/>
  <c r="S186" i="5"/>
  <c r="U186" i="5" s="1"/>
  <c r="V186" i="5" s="1"/>
  <c r="W186" i="5" s="1"/>
  <c r="S187" i="5"/>
  <c r="U187" i="5" s="1"/>
  <c r="V187" i="5" s="1"/>
  <c r="W187" i="5" s="1"/>
  <c r="S286" i="5"/>
  <c r="U286" i="5" s="1"/>
  <c r="V286" i="5" s="1"/>
  <c r="W286" i="5" s="1"/>
  <c r="S292" i="5"/>
  <c r="U292" i="5" s="1"/>
  <c r="V292" i="5" s="1"/>
  <c r="W292" i="5" s="1"/>
  <c r="S297" i="5"/>
  <c r="U297" i="5" s="1"/>
  <c r="V297" i="5" s="1"/>
  <c r="W297" i="5" s="1"/>
  <c r="S335" i="5"/>
  <c r="U335" i="5" s="1"/>
  <c r="V335" i="5" s="1"/>
  <c r="W335" i="5" s="1"/>
  <c r="S37" i="5"/>
  <c r="U37" i="5" s="1"/>
  <c r="V37" i="5" s="1"/>
  <c r="W37" i="5" s="1"/>
  <c r="S97" i="5"/>
  <c r="U97" i="5" s="1"/>
  <c r="V97" i="5" s="1"/>
  <c r="W97" i="5" s="1"/>
  <c r="S101" i="5"/>
  <c r="U101" i="5" s="1"/>
  <c r="V101" i="5" s="1"/>
  <c r="W101" i="5" s="1"/>
  <c r="S153" i="5"/>
  <c r="U153" i="5" s="1"/>
  <c r="V153" i="5" s="1"/>
  <c r="W153" i="5" s="1"/>
  <c r="S173" i="5"/>
  <c r="U173" i="5" s="1"/>
  <c r="V173" i="5" s="1"/>
  <c r="W173" i="5" s="1"/>
  <c r="S174" i="5"/>
  <c r="U174" i="5" s="1"/>
  <c r="V174" i="5" s="1"/>
  <c r="W174" i="5" s="1"/>
  <c r="S177" i="5"/>
  <c r="U177" i="5" s="1"/>
  <c r="V177" i="5" s="1"/>
  <c r="W177" i="5" s="1"/>
  <c r="S180" i="5"/>
  <c r="U180" i="5" s="1"/>
  <c r="V180" i="5" s="1"/>
  <c r="W180" i="5" s="1"/>
  <c r="S184" i="5"/>
  <c r="U184" i="5" s="1"/>
  <c r="V184" i="5" s="1"/>
  <c r="W184" i="5" s="1"/>
  <c r="S188" i="5"/>
  <c r="U188" i="5" s="1"/>
  <c r="V188" i="5" s="1"/>
  <c r="W188" i="5" s="1"/>
  <c r="S380" i="5"/>
  <c r="U380" i="5" s="1"/>
  <c r="V380" i="5" s="1"/>
  <c r="W380" i="5" s="1"/>
  <c r="S391" i="5"/>
  <c r="U391" i="5" s="1"/>
  <c r="V391" i="5" s="1"/>
  <c r="W391" i="5" s="1"/>
  <c r="S398" i="5"/>
  <c r="U398" i="5" s="1"/>
  <c r="V398" i="5" s="1"/>
  <c r="W398" i="5" s="1"/>
  <c r="S415" i="5"/>
  <c r="U415" i="5" s="1"/>
  <c r="V415" i="5" s="1"/>
  <c r="W415" i="5" s="1"/>
  <c r="S416" i="5"/>
  <c r="U416" i="5" s="1"/>
  <c r="V416" i="5" s="1"/>
  <c r="W416" i="5" s="1"/>
  <c r="S440" i="5"/>
  <c r="U440" i="5" s="1"/>
  <c r="V440" i="5" s="1"/>
  <c r="W440" i="5" s="1"/>
  <c r="S441" i="5"/>
  <c r="U441" i="5" s="1"/>
  <c r="V441" i="5" s="1"/>
  <c r="W441" i="5" s="1"/>
  <c r="S442" i="5"/>
  <c r="U442" i="5" s="1"/>
  <c r="V442" i="5" s="1"/>
  <c r="W442" i="5" s="1"/>
  <c r="S443" i="5"/>
  <c r="U443" i="5" s="1"/>
  <c r="V443" i="5" s="1"/>
  <c r="W443" i="5" s="1"/>
  <c r="S445" i="5"/>
  <c r="U445" i="5" s="1"/>
  <c r="V445" i="5" s="1"/>
  <c r="W445" i="5" s="1"/>
  <c r="S446" i="5"/>
  <c r="U446" i="5" s="1"/>
  <c r="V446" i="5" s="1"/>
  <c r="W446" i="5" s="1"/>
  <c r="S447" i="5"/>
  <c r="U447" i="5" s="1"/>
  <c r="V447" i="5" s="1"/>
  <c r="W447" i="5" s="1"/>
  <c r="S448" i="5"/>
  <c r="U448" i="5" s="1"/>
  <c r="V448" i="5" s="1"/>
  <c r="W448" i="5" s="1"/>
  <c r="S599" i="5"/>
  <c r="U599" i="5" s="1"/>
  <c r="V599" i="5" s="1"/>
  <c r="W599" i="5" s="1"/>
  <c r="S601" i="5"/>
  <c r="U601" i="5" s="1"/>
  <c r="V601" i="5" s="1"/>
  <c r="W601" i="5" s="1"/>
  <c r="S602" i="5"/>
  <c r="U602" i="5" s="1"/>
  <c r="V602" i="5" s="1"/>
  <c r="W602" i="5" s="1"/>
  <c r="S603" i="5"/>
  <c r="U603" i="5" s="1"/>
  <c r="V603" i="5" s="1"/>
  <c r="W603" i="5" s="1"/>
  <c r="S604" i="5"/>
  <c r="U604" i="5" s="1"/>
  <c r="V604" i="5" s="1"/>
  <c r="W604" i="5" s="1"/>
  <c r="S605" i="5"/>
  <c r="U605" i="5" s="1"/>
  <c r="V605" i="5" s="1"/>
  <c r="W605" i="5" s="1"/>
  <c r="S606" i="5"/>
  <c r="U606" i="5" s="1"/>
  <c r="V606" i="5" s="1"/>
  <c r="W606" i="5" s="1"/>
  <c r="S607" i="5"/>
  <c r="U607" i="5" s="1"/>
  <c r="V607" i="5" s="1"/>
  <c r="W607" i="5" s="1"/>
  <c r="S5" i="5"/>
  <c r="U5" i="5" s="1"/>
  <c r="V5" i="5" s="1"/>
  <c r="W5" i="5" s="1"/>
  <c r="S34" i="5"/>
  <c r="U34" i="5" s="1"/>
  <c r="V34" i="5" s="1"/>
  <c r="W34" i="5" s="1"/>
  <c r="S39" i="5"/>
  <c r="U39" i="5" s="1"/>
  <c r="V39" i="5" s="1"/>
  <c r="W39" i="5" s="1"/>
  <c r="S40" i="5"/>
  <c r="U40" i="5" s="1"/>
  <c r="V40" i="5" s="1"/>
  <c r="W40" i="5" s="1"/>
  <c r="S117" i="5"/>
  <c r="U117" i="5" s="1"/>
  <c r="V117" i="5" s="1"/>
  <c r="W117" i="5" s="1"/>
  <c r="S489" i="5"/>
  <c r="U489" i="5" s="1"/>
  <c r="V489" i="5" s="1"/>
  <c r="W489" i="5" s="1"/>
  <c r="S543" i="5"/>
  <c r="U543" i="5" s="1"/>
  <c r="V543" i="5" s="1"/>
  <c r="W543" i="5" s="1"/>
  <c r="S546" i="5"/>
  <c r="U546" i="5" s="1"/>
  <c r="V546" i="5" s="1"/>
  <c r="W546" i="5" s="1"/>
  <c r="S551" i="5"/>
  <c r="U551" i="5" s="1"/>
  <c r="V551" i="5" s="1"/>
  <c r="W551" i="5" s="1"/>
  <c r="S621" i="5"/>
  <c r="U621" i="5" s="1"/>
  <c r="V621" i="5" s="1"/>
  <c r="W621" i="5" s="1"/>
  <c r="S630" i="5"/>
  <c r="U630" i="5" s="1"/>
  <c r="V630" i="5" s="1"/>
  <c r="W630" i="5" s="1"/>
  <c r="S655" i="5"/>
  <c r="U655" i="5" s="1"/>
  <c r="V655" i="5" s="1"/>
  <c r="W655" i="5" s="1"/>
  <c r="S694" i="5"/>
  <c r="U694" i="5" s="1"/>
  <c r="V694" i="5" s="1"/>
  <c r="W694" i="5" s="1"/>
  <c r="S695" i="5"/>
  <c r="U695" i="5" s="1"/>
  <c r="V695" i="5" s="1"/>
  <c r="W695" i="5" s="1"/>
  <c r="S696" i="5"/>
  <c r="U696" i="5" s="1"/>
  <c r="V696" i="5" s="1"/>
  <c r="W696" i="5" s="1"/>
  <c r="S704" i="5"/>
  <c r="U704" i="5" s="1"/>
  <c r="V704" i="5" s="1"/>
  <c r="W704" i="5" s="1"/>
  <c r="S705" i="5"/>
  <c r="U705" i="5" s="1"/>
  <c r="V705" i="5" s="1"/>
  <c r="W705" i="5" s="1"/>
  <c r="S734" i="5"/>
  <c r="U734" i="5" s="1"/>
  <c r="V734" i="5" s="1"/>
  <c r="W734" i="5" s="1"/>
  <c r="S735" i="5"/>
  <c r="U735" i="5" s="1"/>
  <c r="V735" i="5" s="1"/>
  <c r="W735" i="5" s="1"/>
  <c r="S6" i="5"/>
  <c r="U6" i="5" s="1"/>
  <c r="V6" i="5" s="1"/>
  <c r="W6" i="5" s="1"/>
  <c r="S26" i="5"/>
  <c r="U26" i="5" s="1"/>
  <c r="V26" i="5" s="1"/>
  <c r="W26" i="5" s="1"/>
  <c r="S44" i="5"/>
  <c r="U44" i="5" s="1"/>
  <c r="V44" i="5" s="1"/>
  <c r="W44" i="5" s="1"/>
  <c r="S65" i="5"/>
  <c r="U65" i="5" s="1"/>
  <c r="V65" i="5" s="1"/>
  <c r="W65" i="5" s="1"/>
  <c r="S491" i="5"/>
  <c r="U491" i="5" s="1"/>
  <c r="V491" i="5" s="1"/>
  <c r="W491" i="5" s="1"/>
  <c r="S527" i="5"/>
  <c r="U527" i="5" s="1"/>
  <c r="V527" i="5" s="1"/>
  <c r="W527" i="5" s="1"/>
  <c r="S547" i="5"/>
  <c r="U547" i="5" s="1"/>
  <c r="V547" i="5" s="1"/>
  <c r="W547" i="5" s="1"/>
  <c r="S548" i="5"/>
  <c r="U548" i="5" s="1"/>
  <c r="V548" i="5" s="1"/>
  <c r="W548" i="5" s="1"/>
  <c r="S736" i="5"/>
  <c r="U736" i="5" s="1"/>
  <c r="V736" i="5" s="1"/>
  <c r="W736" i="5" s="1"/>
  <c r="S737" i="5"/>
  <c r="U737" i="5" s="1"/>
  <c r="V737" i="5" s="1"/>
  <c r="W737" i="5" s="1"/>
  <c r="S738" i="5"/>
  <c r="U738" i="5" s="1"/>
  <c r="V738" i="5" s="1"/>
  <c r="W738" i="5" s="1"/>
  <c r="S739" i="5"/>
  <c r="U739" i="5" s="1"/>
  <c r="V739" i="5" s="1"/>
  <c r="W739" i="5" s="1"/>
  <c r="S740" i="5"/>
  <c r="U740" i="5" s="1"/>
  <c r="V740" i="5" s="1"/>
  <c r="W740" i="5" s="1"/>
  <c r="S786" i="5"/>
  <c r="U786" i="5" s="1"/>
  <c r="V786" i="5" s="1"/>
  <c r="W786" i="5" s="1"/>
  <c r="S787" i="5"/>
  <c r="U787" i="5" s="1"/>
  <c r="V787" i="5" s="1"/>
  <c r="W787" i="5" s="1"/>
  <c r="S791" i="5"/>
  <c r="U791" i="5" s="1"/>
  <c r="V791" i="5" s="1"/>
  <c r="W791" i="5" s="1"/>
  <c r="S792" i="5"/>
  <c r="U792" i="5" s="1"/>
  <c r="V792" i="5" s="1"/>
  <c r="W792" i="5" s="1"/>
  <c r="S794" i="5"/>
  <c r="U794" i="5" s="1"/>
  <c r="V794" i="5" s="1"/>
  <c r="W794" i="5" s="1"/>
  <c r="S795" i="5"/>
  <c r="U795" i="5" s="1"/>
  <c r="V795" i="5" s="1"/>
  <c r="W795" i="5" s="1"/>
  <c r="S796" i="5"/>
  <c r="U796" i="5" s="1"/>
  <c r="V796" i="5" s="1"/>
  <c r="W796" i="5" s="1"/>
  <c r="S797" i="5"/>
  <c r="U797" i="5" s="1"/>
  <c r="V797" i="5" s="1"/>
  <c r="W797" i="5" s="1"/>
  <c r="S798" i="5"/>
  <c r="U798" i="5" s="1"/>
  <c r="V798" i="5" s="1"/>
  <c r="W798" i="5" s="1"/>
  <c r="S799" i="5"/>
  <c r="U799" i="5" s="1"/>
  <c r="V799" i="5" s="1"/>
  <c r="W799" i="5" s="1"/>
  <c r="S816" i="5"/>
  <c r="U816" i="5" s="1"/>
  <c r="V816" i="5" s="1"/>
  <c r="W816" i="5" s="1"/>
  <c r="S817" i="5"/>
  <c r="U817" i="5" s="1"/>
  <c r="V817" i="5" s="1"/>
  <c r="W817" i="5" s="1"/>
  <c r="S847" i="5"/>
  <c r="U847" i="5" s="1"/>
  <c r="V847" i="5" s="1"/>
  <c r="W847" i="5" s="1"/>
  <c r="S850" i="5"/>
  <c r="U850" i="5" s="1"/>
  <c r="V850" i="5" s="1"/>
  <c r="W850" i="5" s="1"/>
  <c r="S851" i="5"/>
  <c r="U851" i="5" s="1"/>
  <c r="V851" i="5" s="1"/>
  <c r="W851" i="5" s="1"/>
  <c r="S852" i="5"/>
  <c r="U852" i="5" s="1"/>
  <c r="V852" i="5" s="1"/>
  <c r="W852" i="5" s="1"/>
  <c r="S859" i="5"/>
  <c r="U859" i="5" s="1"/>
  <c r="V859" i="5" s="1"/>
  <c r="W859" i="5" s="1"/>
  <c r="S36" i="5"/>
  <c r="U36" i="5" s="1"/>
  <c r="V36" i="5" s="1"/>
  <c r="W36" i="5" s="1"/>
  <c r="S38" i="5"/>
  <c r="U38" i="5" s="1"/>
  <c r="V38" i="5" s="1"/>
  <c r="W38" i="5" s="1"/>
  <c r="S49" i="5"/>
  <c r="U49" i="5" s="1"/>
  <c r="V49" i="5" s="1"/>
  <c r="W49" i="5" s="1"/>
  <c r="S154" i="5"/>
  <c r="U154" i="5" s="1"/>
  <c r="V154" i="5" s="1"/>
  <c r="W154" i="5" s="1"/>
  <c r="S155" i="5"/>
  <c r="U155" i="5" s="1"/>
  <c r="V155" i="5" s="1"/>
  <c r="W155" i="5" s="1"/>
  <c r="S490" i="5"/>
  <c r="U490" i="5" s="1"/>
  <c r="V490" i="5" s="1"/>
  <c r="W490" i="5" s="1"/>
  <c r="S542" i="5"/>
  <c r="U542" i="5" s="1"/>
  <c r="V542" i="5" s="1"/>
  <c r="W542" i="5" s="1"/>
  <c r="S545" i="5"/>
  <c r="U545" i="5" s="1"/>
  <c r="V545" i="5" s="1"/>
  <c r="W545" i="5" s="1"/>
  <c r="S620" i="5"/>
  <c r="U620" i="5" s="1"/>
  <c r="V620" i="5" s="1"/>
  <c r="W620" i="5" s="1"/>
  <c r="S629" i="5"/>
  <c r="U629" i="5" s="1"/>
  <c r="V629" i="5" s="1"/>
  <c r="W629" i="5" s="1"/>
  <c r="S902" i="5"/>
  <c r="U902" i="5" s="1"/>
  <c r="V902" i="5" s="1"/>
  <c r="W902" i="5" s="1"/>
  <c r="S905" i="5"/>
  <c r="U905" i="5" s="1"/>
  <c r="V905" i="5" s="1"/>
  <c r="W905" i="5" s="1"/>
  <c r="S906" i="5"/>
  <c r="U906" i="5" s="1"/>
  <c r="V906" i="5" s="1"/>
  <c r="W906" i="5" s="1"/>
  <c r="S907" i="5"/>
  <c r="U907" i="5" s="1"/>
  <c r="V907" i="5" s="1"/>
  <c r="W907" i="5" s="1"/>
  <c r="S913" i="5"/>
  <c r="U913" i="5" s="1"/>
  <c r="V913" i="5" s="1"/>
  <c r="W913" i="5" s="1"/>
  <c r="S949" i="5"/>
  <c r="U949" i="5" s="1"/>
  <c r="V949" i="5" s="1"/>
  <c r="W949" i="5" s="1"/>
  <c r="S950" i="5"/>
  <c r="U950" i="5" s="1"/>
  <c r="V950" i="5" s="1"/>
  <c r="W950" i="5" s="1"/>
  <c r="S951" i="5"/>
  <c r="U951" i="5" s="1"/>
  <c r="V951" i="5" s="1"/>
  <c r="W951" i="5" s="1"/>
  <c r="S952" i="5"/>
  <c r="U952" i="5" s="1"/>
  <c r="V952" i="5" s="1"/>
  <c r="W952" i="5" s="1"/>
  <c r="S953" i="5"/>
  <c r="U953" i="5" s="1"/>
  <c r="V953" i="5" s="1"/>
  <c r="W953" i="5" s="1"/>
  <c r="S954" i="5"/>
  <c r="U954" i="5" s="1"/>
  <c r="V954" i="5" s="1"/>
  <c r="W954" i="5" s="1"/>
  <c r="S955" i="5"/>
  <c r="U955" i="5" s="1"/>
  <c r="V955" i="5" s="1"/>
  <c r="W955" i="5" s="1"/>
  <c r="S956" i="5"/>
  <c r="U956" i="5" s="1"/>
  <c r="V956" i="5" s="1"/>
  <c r="W956" i="5" s="1"/>
  <c r="S957" i="5"/>
  <c r="U957" i="5" s="1"/>
  <c r="V957" i="5" s="1"/>
  <c r="W957" i="5" s="1"/>
  <c r="S958" i="5"/>
  <c r="U958" i="5" s="1"/>
  <c r="V958" i="5" s="1"/>
  <c r="W958" i="5" s="1"/>
  <c r="S959" i="5"/>
  <c r="U959" i="5" s="1"/>
  <c r="V959" i="5" s="1"/>
  <c r="W959" i="5" s="1"/>
  <c r="S960" i="5"/>
  <c r="U960" i="5" s="1"/>
  <c r="V960" i="5" s="1"/>
  <c r="W960" i="5" s="1"/>
  <c r="S961" i="5"/>
  <c r="U961" i="5" s="1"/>
  <c r="V961" i="5" s="1"/>
  <c r="W961" i="5" s="1"/>
  <c r="S962" i="5"/>
  <c r="U962" i="5" s="1"/>
  <c r="V962" i="5" s="1"/>
  <c r="W962" i="5" s="1"/>
  <c r="S15" i="5"/>
  <c r="U15" i="5" s="1"/>
  <c r="V15" i="5" s="1"/>
  <c r="W15" i="5" s="1"/>
  <c r="S23" i="5"/>
  <c r="U23" i="5" s="1"/>
  <c r="V23" i="5" s="1"/>
  <c r="W23" i="5" s="1"/>
  <c r="S63" i="5"/>
  <c r="U63" i="5" s="1"/>
  <c r="V63" i="5" s="1"/>
  <c r="W63" i="5" s="1"/>
  <c r="S76" i="5"/>
  <c r="U76" i="5" s="1"/>
  <c r="V76" i="5" s="1"/>
  <c r="W76" i="5" s="1"/>
  <c r="S98" i="5"/>
  <c r="U98" i="5" s="1"/>
  <c r="V98" i="5" s="1"/>
  <c r="W98" i="5" s="1"/>
  <c r="S100" i="5"/>
  <c r="U100" i="5" s="1"/>
  <c r="V100" i="5" s="1"/>
  <c r="W100" i="5" s="1"/>
  <c r="S126" i="5"/>
  <c r="U126" i="5" s="1"/>
  <c r="V126" i="5" s="1"/>
  <c r="W126" i="5" s="1"/>
  <c r="S157" i="5"/>
  <c r="U157" i="5" s="1"/>
  <c r="V157" i="5" s="1"/>
  <c r="W157" i="5" s="1"/>
  <c r="S199" i="5"/>
  <c r="U199" i="5" s="1"/>
  <c r="V199" i="5" s="1"/>
  <c r="W199" i="5" s="1"/>
  <c r="S211" i="5"/>
  <c r="U211" i="5" s="1"/>
  <c r="V211" i="5" s="1"/>
  <c r="W211" i="5" s="1"/>
  <c r="S212" i="5"/>
  <c r="U212" i="5" s="1"/>
  <c r="V212" i="5" s="1"/>
  <c r="W212" i="5" s="1"/>
  <c r="S214" i="5"/>
  <c r="U214" i="5" s="1"/>
  <c r="V214" i="5" s="1"/>
  <c r="W214" i="5" s="1"/>
  <c r="S215" i="5"/>
  <c r="U215" i="5" s="1"/>
  <c r="V215" i="5" s="1"/>
  <c r="W215" i="5" s="1"/>
  <c r="S217" i="5"/>
  <c r="U217" i="5" s="1"/>
  <c r="V217" i="5" s="1"/>
  <c r="W217" i="5" s="1"/>
  <c r="S222" i="5"/>
  <c r="U222" i="5" s="1"/>
  <c r="V222" i="5" s="1"/>
  <c r="W222" i="5" s="1"/>
  <c r="S223" i="5"/>
  <c r="U223" i="5" s="1"/>
  <c r="V223" i="5" s="1"/>
  <c r="W223" i="5" s="1"/>
  <c r="S242" i="5"/>
  <c r="U242" i="5" s="1"/>
  <c r="V242" i="5" s="1"/>
  <c r="W242" i="5" s="1"/>
  <c r="S246" i="5"/>
  <c r="U246" i="5" s="1"/>
  <c r="V246" i="5" s="1"/>
  <c r="W246" i="5" s="1"/>
  <c r="S247" i="5"/>
  <c r="U247" i="5" s="1"/>
  <c r="V247" i="5" s="1"/>
  <c r="W247" i="5" s="1"/>
  <c r="S256" i="5"/>
  <c r="U256" i="5" s="1"/>
  <c r="V256" i="5" s="1"/>
  <c r="W256" i="5" s="1"/>
  <c r="S257" i="5"/>
  <c r="U257" i="5" s="1"/>
  <c r="V257" i="5" s="1"/>
  <c r="W257" i="5" s="1"/>
  <c r="S258" i="5"/>
  <c r="U258" i="5" s="1"/>
  <c r="V258" i="5" s="1"/>
  <c r="W258" i="5" s="1"/>
  <c r="S259" i="5"/>
  <c r="U259" i="5" s="1"/>
  <c r="V259" i="5" s="1"/>
  <c r="W259" i="5" s="1"/>
  <c r="S260" i="5"/>
  <c r="U260" i="5" s="1"/>
  <c r="V260" i="5" s="1"/>
  <c r="W260" i="5" s="1"/>
  <c r="S261" i="5"/>
  <c r="U261" i="5" s="1"/>
  <c r="V261" i="5" s="1"/>
  <c r="W261" i="5" s="1"/>
  <c r="S272" i="5"/>
  <c r="U272" i="5" s="1"/>
  <c r="V272" i="5" s="1"/>
  <c r="W272" i="5" s="1"/>
  <c r="S274" i="5"/>
  <c r="U274" i="5" s="1"/>
  <c r="V274" i="5" s="1"/>
  <c r="W274" i="5" s="1"/>
  <c r="S279" i="5"/>
  <c r="U279" i="5" s="1"/>
  <c r="V279" i="5" s="1"/>
  <c r="W279" i="5" s="1"/>
  <c r="S298" i="5"/>
  <c r="U298" i="5" s="1"/>
  <c r="V298" i="5" s="1"/>
  <c r="W298" i="5" s="1"/>
  <c r="S313" i="5"/>
  <c r="U313" i="5" s="1"/>
  <c r="V313" i="5" s="1"/>
  <c r="W313" i="5" s="1"/>
  <c r="S332" i="5"/>
  <c r="U332" i="5" s="1"/>
  <c r="V332" i="5" s="1"/>
  <c r="W332" i="5" s="1"/>
  <c r="S334" i="5"/>
  <c r="U334" i="5" s="1"/>
  <c r="V334" i="5" s="1"/>
  <c r="W334" i="5" s="1"/>
  <c r="S347" i="5"/>
  <c r="U347" i="5" s="1"/>
  <c r="V347" i="5" s="1"/>
  <c r="W347" i="5" s="1"/>
  <c r="S350" i="5"/>
  <c r="U350" i="5" s="1"/>
  <c r="V350" i="5" s="1"/>
  <c r="W350" i="5" s="1"/>
  <c r="S351" i="5"/>
  <c r="U351" i="5" s="1"/>
  <c r="V351" i="5" s="1"/>
  <c r="W351" i="5" s="1"/>
  <c r="S352" i="5"/>
  <c r="U352" i="5" s="1"/>
  <c r="V352" i="5" s="1"/>
  <c r="W352" i="5" s="1"/>
  <c r="S353" i="5"/>
  <c r="U353" i="5" s="1"/>
  <c r="V353" i="5" s="1"/>
  <c r="W353" i="5" s="1"/>
  <c r="S354" i="5"/>
  <c r="U354" i="5" s="1"/>
  <c r="V354" i="5" s="1"/>
  <c r="W354" i="5" s="1"/>
  <c r="S355" i="5"/>
  <c r="U355" i="5" s="1"/>
  <c r="V355" i="5" s="1"/>
  <c r="W355" i="5" s="1"/>
  <c r="S356" i="5"/>
  <c r="U356" i="5" s="1"/>
  <c r="V356" i="5" s="1"/>
  <c r="W356" i="5" s="1"/>
  <c r="S357" i="5"/>
  <c r="U357" i="5" s="1"/>
  <c r="V357" i="5" s="1"/>
  <c r="W357" i="5" s="1"/>
  <c r="S358" i="5"/>
  <c r="U358" i="5" s="1"/>
  <c r="V358" i="5" s="1"/>
  <c r="W358" i="5" s="1"/>
  <c r="S359" i="5"/>
  <c r="U359" i="5" s="1"/>
  <c r="V359" i="5" s="1"/>
  <c r="W359" i="5" s="1"/>
  <c r="S22" i="5"/>
  <c r="U22" i="5" s="1"/>
  <c r="V22" i="5" s="1"/>
  <c r="W22" i="5" s="1"/>
  <c r="S31" i="5"/>
  <c r="U31" i="5" s="1"/>
  <c r="V31" i="5" s="1"/>
  <c r="W31" i="5" s="1"/>
  <c r="S32" i="5"/>
  <c r="U32" i="5" s="1"/>
  <c r="V32" i="5" s="1"/>
  <c r="W32" i="5" s="1"/>
  <c r="S33" i="5"/>
  <c r="U33" i="5" s="1"/>
  <c r="V33" i="5" s="1"/>
  <c r="W33" i="5" s="1"/>
  <c r="S46" i="5"/>
  <c r="U46" i="5" s="1"/>
  <c r="V46" i="5" s="1"/>
  <c r="W46" i="5" s="1"/>
  <c r="S99" i="5"/>
  <c r="U99" i="5" s="1"/>
  <c r="V99" i="5" s="1"/>
  <c r="W99" i="5" s="1"/>
  <c r="S111" i="5"/>
  <c r="U111" i="5" s="1"/>
  <c r="V111" i="5" s="1"/>
  <c r="W111" i="5" s="1"/>
  <c r="S121" i="5"/>
  <c r="U121" i="5" s="1"/>
  <c r="V121" i="5" s="1"/>
  <c r="W121" i="5" s="1"/>
  <c r="S198" i="5"/>
  <c r="U198" i="5" s="1"/>
  <c r="V198" i="5" s="1"/>
  <c r="W198" i="5" s="1"/>
  <c r="S210" i="5"/>
  <c r="U210" i="5" s="1"/>
  <c r="V210" i="5" s="1"/>
  <c r="W210" i="5" s="1"/>
  <c r="S213" i="5"/>
  <c r="U213" i="5" s="1"/>
  <c r="V213" i="5" s="1"/>
  <c r="W213" i="5" s="1"/>
  <c r="S216" i="5"/>
  <c r="U216" i="5" s="1"/>
  <c r="V216" i="5" s="1"/>
  <c r="W216" i="5" s="1"/>
  <c r="S218" i="5"/>
  <c r="U218" i="5" s="1"/>
  <c r="V218" i="5" s="1"/>
  <c r="W218" i="5" s="1"/>
  <c r="S220" i="5"/>
  <c r="U220" i="5" s="1"/>
  <c r="V220" i="5" s="1"/>
  <c r="W220" i="5" s="1"/>
  <c r="S231" i="5"/>
  <c r="U231" i="5" s="1"/>
  <c r="V231" i="5" s="1"/>
  <c r="W231" i="5" s="1"/>
  <c r="S360" i="5"/>
  <c r="U360" i="5" s="1"/>
  <c r="V360" i="5" s="1"/>
  <c r="W360" i="5" s="1"/>
  <c r="S361" i="5"/>
  <c r="U361" i="5" s="1"/>
  <c r="V361" i="5" s="1"/>
  <c r="W361" i="5" s="1"/>
  <c r="S362" i="5"/>
  <c r="U362" i="5" s="1"/>
  <c r="V362" i="5" s="1"/>
  <c r="W362" i="5" s="1"/>
  <c r="S363" i="5"/>
  <c r="U363" i="5" s="1"/>
  <c r="V363" i="5" s="1"/>
  <c r="W363" i="5" s="1"/>
  <c r="S364" i="5"/>
  <c r="U364" i="5" s="1"/>
  <c r="V364" i="5" s="1"/>
  <c r="W364" i="5" s="1"/>
  <c r="S365" i="5"/>
  <c r="U365" i="5" s="1"/>
  <c r="V365" i="5" s="1"/>
  <c r="W365" i="5" s="1"/>
  <c r="S366" i="5"/>
  <c r="U366" i="5" s="1"/>
  <c r="V366" i="5" s="1"/>
  <c r="W366" i="5" s="1"/>
  <c r="S367" i="5"/>
  <c r="U367" i="5" s="1"/>
  <c r="V367" i="5" s="1"/>
  <c r="W367" i="5" s="1"/>
  <c r="S381" i="5"/>
  <c r="U381" i="5" s="1"/>
  <c r="V381" i="5" s="1"/>
  <c r="W381" i="5" s="1"/>
  <c r="S382" i="5"/>
  <c r="U382" i="5" s="1"/>
  <c r="V382" i="5" s="1"/>
  <c r="W382" i="5" s="1"/>
  <c r="S383" i="5"/>
  <c r="U383" i="5" s="1"/>
  <c r="V383" i="5" s="1"/>
  <c r="W383" i="5" s="1"/>
  <c r="S389" i="5"/>
  <c r="U389" i="5" s="1"/>
  <c r="V389" i="5" s="1"/>
  <c r="W389" i="5" s="1"/>
  <c r="S390" i="5"/>
  <c r="U390" i="5" s="1"/>
  <c r="V390" i="5" s="1"/>
  <c r="W390" i="5" s="1"/>
  <c r="S412" i="5"/>
  <c r="U412" i="5" s="1"/>
  <c r="V412" i="5" s="1"/>
  <c r="W412" i="5" s="1"/>
  <c r="S413" i="5"/>
  <c r="U413" i="5" s="1"/>
  <c r="V413" i="5" s="1"/>
  <c r="W413" i="5" s="1"/>
  <c r="S414" i="5"/>
  <c r="U414" i="5" s="1"/>
  <c r="V414" i="5" s="1"/>
  <c r="W414" i="5" s="1"/>
  <c r="S417" i="5"/>
  <c r="U417" i="5" s="1"/>
  <c r="V417" i="5" s="1"/>
  <c r="W417" i="5" s="1"/>
  <c r="S419" i="5"/>
  <c r="U419" i="5" s="1"/>
  <c r="V419" i="5" s="1"/>
  <c r="W419" i="5" s="1"/>
  <c r="S420" i="5"/>
  <c r="U420" i="5" s="1"/>
  <c r="V420" i="5" s="1"/>
  <c r="W420" i="5" s="1"/>
  <c r="S421" i="5"/>
  <c r="U421" i="5" s="1"/>
  <c r="V421" i="5" s="1"/>
  <c r="W421" i="5" s="1"/>
  <c r="S422" i="5"/>
  <c r="U422" i="5" s="1"/>
  <c r="V422" i="5" s="1"/>
  <c r="W422" i="5" s="1"/>
  <c r="S423" i="5"/>
  <c r="U423" i="5" s="1"/>
  <c r="V423" i="5" s="1"/>
  <c r="W423" i="5" s="1"/>
  <c r="S424" i="5"/>
  <c r="U424" i="5" s="1"/>
  <c r="V424" i="5" s="1"/>
  <c r="W424" i="5" s="1"/>
  <c r="S425" i="5"/>
  <c r="U425" i="5" s="1"/>
  <c r="V425" i="5" s="1"/>
  <c r="W425" i="5" s="1"/>
  <c r="S426" i="5"/>
  <c r="U426" i="5" s="1"/>
  <c r="V426" i="5" s="1"/>
  <c r="W426" i="5" s="1"/>
  <c r="S427" i="5"/>
  <c r="U427" i="5" s="1"/>
  <c r="V427" i="5" s="1"/>
  <c r="W427" i="5" s="1"/>
  <c r="S428" i="5"/>
  <c r="U428" i="5" s="1"/>
  <c r="V428" i="5" s="1"/>
  <c r="W428" i="5" s="1"/>
  <c r="S429" i="5"/>
  <c r="U429" i="5" s="1"/>
  <c r="V429" i="5" s="1"/>
  <c r="W429" i="5" s="1"/>
  <c r="S430" i="5"/>
  <c r="U430" i="5" s="1"/>
  <c r="V430" i="5" s="1"/>
  <c r="W430" i="5" s="1"/>
  <c r="S431" i="5"/>
  <c r="U431" i="5" s="1"/>
  <c r="V431" i="5" s="1"/>
  <c r="W431" i="5" s="1"/>
  <c r="S432" i="5"/>
  <c r="U432" i="5" s="1"/>
  <c r="V432" i="5" s="1"/>
  <c r="W432" i="5" s="1"/>
  <c r="S433" i="5"/>
  <c r="U433" i="5" s="1"/>
  <c r="V433" i="5" s="1"/>
  <c r="W433" i="5" s="1"/>
  <c r="S434" i="5"/>
  <c r="U434" i="5" s="1"/>
  <c r="V434" i="5" s="1"/>
  <c r="W434" i="5" s="1"/>
  <c r="S435" i="5"/>
  <c r="U435" i="5" s="1"/>
  <c r="V435" i="5" s="1"/>
  <c r="W435" i="5" s="1"/>
  <c r="S438" i="5"/>
  <c r="U438" i="5" s="1"/>
  <c r="V438" i="5" s="1"/>
  <c r="W438" i="5" s="1"/>
  <c r="S444" i="5"/>
  <c r="U444" i="5" s="1"/>
  <c r="V444" i="5" s="1"/>
  <c r="W444" i="5" s="1"/>
  <c r="S449" i="5"/>
  <c r="U449" i="5" s="1"/>
  <c r="V449" i="5" s="1"/>
  <c r="W449" i="5" s="1"/>
  <c r="S472" i="5"/>
  <c r="U472" i="5" s="1"/>
  <c r="V472" i="5" s="1"/>
  <c r="W472" i="5" s="1"/>
  <c r="S473" i="5"/>
  <c r="U473" i="5" s="1"/>
  <c r="V473" i="5" s="1"/>
  <c r="W473" i="5" s="1"/>
  <c r="S476" i="5"/>
  <c r="U476" i="5" s="1"/>
  <c r="V476" i="5" s="1"/>
  <c r="W476" i="5" s="1"/>
  <c r="S575" i="5"/>
  <c r="U575" i="5" s="1"/>
  <c r="V575" i="5" s="1"/>
  <c r="W575" i="5" s="1"/>
  <c r="S576" i="5"/>
  <c r="U576" i="5" s="1"/>
  <c r="V576" i="5" s="1"/>
  <c r="W576" i="5" s="1"/>
  <c r="S578" i="5"/>
  <c r="U578" i="5" s="1"/>
  <c r="V578" i="5" s="1"/>
  <c r="W578" i="5" s="1"/>
  <c r="S579" i="5"/>
  <c r="U579" i="5" s="1"/>
  <c r="V579" i="5" s="1"/>
  <c r="W579" i="5" s="1"/>
  <c r="S580" i="5"/>
  <c r="U580" i="5" s="1"/>
  <c r="V580" i="5" s="1"/>
  <c r="W580" i="5" s="1"/>
  <c r="S581" i="5"/>
  <c r="U581" i="5" s="1"/>
  <c r="V581" i="5" s="1"/>
  <c r="W581" i="5" s="1"/>
  <c r="S582" i="5"/>
  <c r="U582" i="5" s="1"/>
  <c r="V582" i="5" s="1"/>
  <c r="W582" i="5" s="1"/>
  <c r="S583" i="5"/>
  <c r="U583" i="5" s="1"/>
  <c r="V583" i="5" s="1"/>
  <c r="W583" i="5" s="1"/>
  <c r="S584" i="5"/>
  <c r="U584" i="5" s="1"/>
  <c r="V584" i="5" s="1"/>
  <c r="W584" i="5" s="1"/>
  <c r="S585" i="5"/>
  <c r="U585" i="5" s="1"/>
  <c r="V585" i="5" s="1"/>
  <c r="W585" i="5" s="1"/>
  <c r="S586" i="5"/>
  <c r="U586" i="5" s="1"/>
  <c r="V586" i="5" s="1"/>
  <c r="W586" i="5" s="1"/>
  <c r="S587" i="5"/>
  <c r="U587" i="5" s="1"/>
  <c r="V587" i="5" s="1"/>
  <c r="W587" i="5" s="1"/>
  <c r="S588" i="5"/>
  <c r="U588" i="5" s="1"/>
  <c r="V588" i="5" s="1"/>
  <c r="W588" i="5" s="1"/>
  <c r="S589" i="5"/>
  <c r="U589" i="5" s="1"/>
  <c r="V589" i="5" s="1"/>
  <c r="W589" i="5" s="1"/>
  <c r="S590" i="5"/>
  <c r="U590" i="5" s="1"/>
  <c r="V590" i="5" s="1"/>
  <c r="W590" i="5" s="1"/>
  <c r="S591" i="5"/>
  <c r="U591" i="5" s="1"/>
  <c r="V591" i="5" s="1"/>
  <c r="W591" i="5" s="1"/>
  <c r="S592" i="5"/>
  <c r="U592" i="5" s="1"/>
  <c r="V592" i="5" s="1"/>
  <c r="W592" i="5" s="1"/>
  <c r="S593" i="5"/>
  <c r="U593" i="5" s="1"/>
  <c r="V593" i="5" s="1"/>
  <c r="W593" i="5" s="1"/>
  <c r="S594" i="5"/>
  <c r="U594" i="5" s="1"/>
  <c r="V594" i="5" s="1"/>
  <c r="W594" i="5" s="1"/>
  <c r="S595" i="5"/>
  <c r="U595" i="5" s="1"/>
  <c r="V595" i="5" s="1"/>
  <c r="W595" i="5" s="1"/>
  <c r="S596" i="5"/>
  <c r="U596" i="5" s="1"/>
  <c r="V596" i="5" s="1"/>
  <c r="W596" i="5" s="1"/>
  <c r="S608" i="5"/>
  <c r="U608" i="5" s="1"/>
  <c r="V608" i="5" s="1"/>
  <c r="W608" i="5" s="1"/>
  <c r="S609" i="5"/>
  <c r="U609" i="5" s="1"/>
  <c r="V609" i="5" s="1"/>
  <c r="W609" i="5" s="1"/>
  <c r="S12" i="5"/>
  <c r="U12" i="5" s="1"/>
  <c r="V12" i="5" s="1"/>
  <c r="W12" i="5" s="1"/>
  <c r="S14" i="5"/>
  <c r="U14" i="5" s="1"/>
  <c r="V14" i="5" s="1"/>
  <c r="W14" i="5" s="1"/>
  <c r="S16" i="5"/>
  <c r="U16" i="5" s="1"/>
  <c r="V16" i="5" s="1"/>
  <c r="W16" i="5" s="1"/>
  <c r="S64" i="5"/>
  <c r="U64" i="5" s="1"/>
  <c r="V64" i="5" s="1"/>
  <c r="W64" i="5" s="1"/>
  <c r="S486" i="5"/>
  <c r="U486" i="5" s="1"/>
  <c r="V486" i="5" s="1"/>
  <c r="W486" i="5" s="1"/>
  <c r="S497" i="5"/>
  <c r="U497" i="5" s="1"/>
  <c r="V497" i="5" s="1"/>
  <c r="W497" i="5" s="1"/>
  <c r="S515" i="5"/>
  <c r="U515" i="5" s="1"/>
  <c r="V515" i="5" s="1"/>
  <c r="W515" i="5" s="1"/>
  <c r="S516" i="5"/>
  <c r="U516" i="5" s="1"/>
  <c r="V516" i="5" s="1"/>
  <c r="W516" i="5" s="1"/>
  <c r="S519" i="5"/>
  <c r="U519" i="5" s="1"/>
  <c r="V519" i="5" s="1"/>
  <c r="W519" i="5" s="1"/>
  <c r="S535" i="5"/>
  <c r="U535" i="5" s="1"/>
  <c r="V535" i="5" s="1"/>
  <c r="W535" i="5" s="1"/>
  <c r="S615" i="5"/>
  <c r="U615" i="5" s="1"/>
  <c r="V615" i="5" s="1"/>
  <c r="W615" i="5" s="1"/>
  <c r="S648" i="5"/>
  <c r="U648" i="5" s="1"/>
  <c r="V648" i="5" s="1"/>
  <c r="W648" i="5" s="1"/>
  <c r="S666" i="5"/>
  <c r="U666" i="5" s="1"/>
  <c r="V666" i="5" s="1"/>
  <c r="W666" i="5" s="1"/>
  <c r="S668" i="5"/>
  <c r="U668" i="5" s="1"/>
  <c r="V668" i="5" s="1"/>
  <c r="W668" i="5" s="1"/>
  <c r="S669" i="5"/>
  <c r="U669" i="5" s="1"/>
  <c r="V669" i="5" s="1"/>
  <c r="W669" i="5" s="1"/>
  <c r="S673" i="5"/>
  <c r="U673" i="5" s="1"/>
  <c r="V673" i="5" s="1"/>
  <c r="W673" i="5" s="1"/>
  <c r="S674" i="5"/>
  <c r="U674" i="5" s="1"/>
  <c r="V674" i="5" s="1"/>
  <c r="W674" i="5" s="1"/>
  <c r="S676" i="5"/>
  <c r="U676" i="5" s="1"/>
  <c r="V676" i="5" s="1"/>
  <c r="W676" i="5" s="1"/>
  <c r="S678" i="5"/>
  <c r="U678" i="5" s="1"/>
  <c r="V678" i="5" s="1"/>
  <c r="W678" i="5" s="1"/>
  <c r="S679" i="5"/>
  <c r="U679" i="5" s="1"/>
  <c r="V679" i="5" s="1"/>
  <c r="W679" i="5" s="1"/>
  <c r="S680" i="5"/>
  <c r="U680" i="5" s="1"/>
  <c r="V680" i="5" s="1"/>
  <c r="W680" i="5" s="1"/>
  <c r="S681" i="5"/>
  <c r="U681" i="5" s="1"/>
  <c r="V681" i="5" s="1"/>
  <c r="W681" i="5" s="1"/>
  <c r="S682" i="5"/>
  <c r="U682" i="5" s="1"/>
  <c r="V682" i="5" s="1"/>
  <c r="W682" i="5" s="1"/>
  <c r="S683" i="5"/>
  <c r="U683" i="5" s="1"/>
  <c r="V683" i="5" s="1"/>
  <c r="W683" i="5" s="1"/>
  <c r="S684" i="5"/>
  <c r="U684" i="5" s="1"/>
  <c r="V684" i="5" s="1"/>
  <c r="W684" i="5" s="1"/>
  <c r="S685" i="5"/>
  <c r="U685" i="5" s="1"/>
  <c r="V685" i="5" s="1"/>
  <c r="W685" i="5" s="1"/>
  <c r="S686" i="5"/>
  <c r="U686" i="5" s="1"/>
  <c r="V686" i="5" s="1"/>
  <c r="W686" i="5" s="1"/>
  <c r="S687" i="5"/>
  <c r="U687" i="5" s="1"/>
  <c r="V687" i="5" s="1"/>
  <c r="W687" i="5" s="1"/>
  <c r="S688" i="5"/>
  <c r="U688" i="5" s="1"/>
  <c r="V688" i="5" s="1"/>
  <c r="W688" i="5" s="1"/>
  <c r="S689" i="5"/>
  <c r="U689" i="5" s="1"/>
  <c r="V689" i="5" s="1"/>
  <c r="W689" i="5" s="1"/>
  <c r="S690" i="5"/>
  <c r="U690" i="5" s="1"/>
  <c r="V690" i="5" s="1"/>
  <c r="W690" i="5" s="1"/>
  <c r="S691" i="5"/>
  <c r="U691" i="5" s="1"/>
  <c r="V691" i="5" s="1"/>
  <c r="W691" i="5" s="1"/>
  <c r="S692" i="5"/>
  <c r="U692" i="5" s="1"/>
  <c r="V692" i="5" s="1"/>
  <c r="W692" i="5" s="1"/>
  <c r="S722" i="5"/>
  <c r="U722" i="5" s="1"/>
  <c r="V722" i="5" s="1"/>
  <c r="W722" i="5" s="1"/>
  <c r="S727" i="5"/>
  <c r="U727" i="5" s="1"/>
  <c r="V727" i="5" s="1"/>
  <c r="W727" i="5" s="1"/>
  <c r="S728" i="5"/>
  <c r="U728" i="5" s="1"/>
  <c r="V728" i="5" s="1"/>
  <c r="W728" i="5" s="1"/>
  <c r="S729" i="5"/>
  <c r="U729" i="5" s="1"/>
  <c r="V729" i="5" s="1"/>
  <c r="W729" i="5" s="1"/>
  <c r="S730" i="5"/>
  <c r="U730" i="5" s="1"/>
  <c r="V730" i="5" s="1"/>
  <c r="W730" i="5" s="1"/>
  <c r="S27" i="5"/>
  <c r="U27" i="5" s="1"/>
  <c r="V27" i="5" s="1"/>
  <c r="W27" i="5" s="1"/>
  <c r="S66" i="5"/>
  <c r="U66" i="5" s="1"/>
  <c r="V66" i="5" s="1"/>
  <c r="W66" i="5" s="1"/>
  <c r="S134" i="5"/>
  <c r="U134" i="5" s="1"/>
  <c r="V134" i="5" s="1"/>
  <c r="W134" i="5" s="1"/>
  <c r="S135" i="5"/>
  <c r="U135" i="5" s="1"/>
  <c r="V135" i="5" s="1"/>
  <c r="W135" i="5" s="1"/>
  <c r="S141" i="5"/>
  <c r="U141" i="5" s="1"/>
  <c r="V141" i="5" s="1"/>
  <c r="W141" i="5" s="1"/>
  <c r="S149" i="5"/>
  <c r="U149" i="5" s="1"/>
  <c r="V149" i="5" s="1"/>
  <c r="W149" i="5" s="1"/>
  <c r="S488" i="5"/>
  <c r="U488" i="5" s="1"/>
  <c r="V488" i="5" s="1"/>
  <c r="W488" i="5" s="1"/>
  <c r="S495" i="5"/>
  <c r="U495" i="5" s="1"/>
  <c r="V495" i="5" s="1"/>
  <c r="W495" i="5" s="1"/>
  <c r="S520" i="5"/>
  <c r="U520" i="5" s="1"/>
  <c r="V520" i="5" s="1"/>
  <c r="W520" i="5" s="1"/>
  <c r="S528" i="5"/>
  <c r="U528" i="5" s="1"/>
  <c r="V528" i="5" s="1"/>
  <c r="W528" i="5" s="1"/>
  <c r="S532" i="5"/>
  <c r="U532" i="5" s="1"/>
  <c r="V532" i="5" s="1"/>
  <c r="W532" i="5" s="1"/>
  <c r="S534" i="5"/>
  <c r="U534" i="5" s="1"/>
  <c r="V534" i="5" s="1"/>
  <c r="W534" i="5" s="1"/>
  <c r="S536" i="5"/>
  <c r="U536" i="5" s="1"/>
  <c r="V536" i="5" s="1"/>
  <c r="W536" i="5" s="1"/>
  <c r="S538" i="5"/>
  <c r="U538" i="5" s="1"/>
  <c r="V538" i="5" s="1"/>
  <c r="W538" i="5" s="1"/>
  <c r="S612" i="5"/>
  <c r="U612" i="5" s="1"/>
  <c r="V612" i="5" s="1"/>
  <c r="W612" i="5" s="1"/>
  <c r="S614" i="5"/>
  <c r="U614" i="5" s="1"/>
  <c r="V614" i="5" s="1"/>
  <c r="W614" i="5" s="1"/>
  <c r="S638" i="5"/>
  <c r="U638" i="5" s="1"/>
  <c r="V638" i="5" s="1"/>
  <c r="W638" i="5" s="1"/>
  <c r="S649" i="5"/>
  <c r="U649" i="5" s="1"/>
  <c r="V649" i="5" s="1"/>
  <c r="W649" i="5" s="1"/>
  <c r="S665" i="5"/>
  <c r="U665" i="5" s="1"/>
  <c r="V665" i="5" s="1"/>
  <c r="W665" i="5" s="1"/>
  <c r="S670" i="5"/>
  <c r="U670" i="5" s="1"/>
  <c r="V670" i="5" s="1"/>
  <c r="W670" i="5" s="1"/>
  <c r="S671" i="5"/>
  <c r="U671" i="5" s="1"/>
  <c r="V671" i="5" s="1"/>
  <c r="W671" i="5" s="1"/>
  <c r="S672" i="5"/>
  <c r="U672" i="5" s="1"/>
  <c r="V672" i="5" s="1"/>
  <c r="W672" i="5" s="1"/>
  <c r="S675" i="5"/>
  <c r="U675" i="5" s="1"/>
  <c r="V675" i="5" s="1"/>
  <c r="W675" i="5" s="1"/>
  <c r="S677" i="5"/>
  <c r="U677" i="5" s="1"/>
  <c r="V677" i="5" s="1"/>
  <c r="W677" i="5" s="1"/>
  <c r="S771" i="5"/>
  <c r="U771" i="5" s="1"/>
  <c r="V771" i="5" s="1"/>
  <c r="W771" i="5" s="1"/>
  <c r="S773" i="5"/>
  <c r="U773" i="5" s="1"/>
  <c r="V773" i="5" s="1"/>
  <c r="W773" i="5" s="1"/>
  <c r="S774" i="5"/>
  <c r="U774" i="5" s="1"/>
  <c r="V774" i="5" s="1"/>
  <c r="W774" i="5" s="1"/>
  <c r="S775" i="5"/>
  <c r="U775" i="5" s="1"/>
  <c r="V775" i="5" s="1"/>
  <c r="W775" i="5" s="1"/>
  <c r="S776" i="5"/>
  <c r="U776" i="5" s="1"/>
  <c r="V776" i="5" s="1"/>
  <c r="W776" i="5" s="1"/>
  <c r="S777" i="5"/>
  <c r="U777" i="5" s="1"/>
  <c r="V777" i="5" s="1"/>
  <c r="W777" i="5" s="1"/>
  <c r="S778" i="5"/>
  <c r="U778" i="5" s="1"/>
  <c r="V778" i="5" s="1"/>
  <c r="W778" i="5" s="1"/>
  <c r="S779" i="5"/>
  <c r="U779" i="5" s="1"/>
  <c r="V779" i="5" s="1"/>
  <c r="W779" i="5" s="1"/>
  <c r="S780" i="5"/>
  <c r="U780" i="5" s="1"/>
  <c r="V780" i="5" s="1"/>
  <c r="W780" i="5" s="1"/>
  <c r="S781" i="5"/>
  <c r="U781" i="5" s="1"/>
  <c r="V781" i="5" s="1"/>
  <c r="W781" i="5" s="1"/>
  <c r="S782" i="5"/>
  <c r="U782" i="5" s="1"/>
  <c r="V782" i="5" s="1"/>
  <c r="W782" i="5" s="1"/>
  <c r="S783" i="5"/>
  <c r="U783" i="5" s="1"/>
  <c r="V783" i="5" s="1"/>
  <c r="W783" i="5" s="1"/>
  <c r="S784" i="5"/>
  <c r="U784" i="5" s="1"/>
  <c r="V784" i="5" s="1"/>
  <c r="W784" i="5" s="1"/>
  <c r="S788" i="5"/>
  <c r="U788" i="5" s="1"/>
  <c r="V788" i="5" s="1"/>
  <c r="W788" i="5" s="1"/>
  <c r="S789" i="5"/>
  <c r="U789" i="5" s="1"/>
  <c r="V789" i="5" s="1"/>
  <c r="W789" i="5" s="1"/>
  <c r="S804" i="5"/>
  <c r="U804" i="5" s="1"/>
  <c r="V804" i="5" s="1"/>
  <c r="W804" i="5" s="1"/>
  <c r="S811" i="5"/>
  <c r="U811" i="5" s="1"/>
  <c r="V811" i="5" s="1"/>
  <c r="W811" i="5" s="1"/>
  <c r="S812" i="5"/>
  <c r="U812" i="5" s="1"/>
  <c r="V812" i="5" s="1"/>
  <c r="W812" i="5" s="1"/>
  <c r="S813" i="5"/>
  <c r="U813" i="5" s="1"/>
  <c r="V813" i="5" s="1"/>
  <c r="W813" i="5" s="1"/>
  <c r="S822" i="5"/>
  <c r="U822" i="5" s="1"/>
  <c r="V822" i="5" s="1"/>
  <c r="W822" i="5" s="1"/>
  <c r="S823" i="5"/>
  <c r="U823" i="5" s="1"/>
  <c r="V823" i="5" s="1"/>
  <c r="W823" i="5" s="1"/>
  <c r="S824" i="5"/>
  <c r="U824" i="5" s="1"/>
  <c r="V824" i="5" s="1"/>
  <c r="W824" i="5" s="1"/>
  <c r="S825" i="5"/>
  <c r="U825" i="5" s="1"/>
  <c r="V825" i="5" s="1"/>
  <c r="W825" i="5" s="1"/>
  <c r="S826" i="5"/>
  <c r="U826" i="5" s="1"/>
  <c r="V826" i="5" s="1"/>
  <c r="W826" i="5" s="1"/>
  <c r="S827" i="5"/>
  <c r="U827" i="5" s="1"/>
  <c r="V827" i="5" s="1"/>
  <c r="W827" i="5" s="1"/>
  <c r="S840" i="5"/>
  <c r="U840" i="5" s="1"/>
  <c r="V840" i="5" s="1"/>
  <c r="W840" i="5" s="1"/>
  <c r="S841" i="5"/>
  <c r="U841" i="5" s="1"/>
  <c r="V841" i="5" s="1"/>
  <c r="W841" i="5" s="1"/>
  <c r="S842" i="5"/>
  <c r="U842" i="5" s="1"/>
  <c r="V842" i="5" s="1"/>
  <c r="W842" i="5" s="1"/>
  <c r="S843" i="5"/>
  <c r="U843" i="5" s="1"/>
  <c r="V843" i="5" s="1"/>
  <c r="W843" i="5" s="1"/>
  <c r="S844" i="5"/>
  <c r="U844" i="5" s="1"/>
  <c r="V844" i="5" s="1"/>
  <c r="W844" i="5" s="1"/>
  <c r="S845" i="5"/>
  <c r="U845" i="5" s="1"/>
  <c r="V845" i="5" s="1"/>
  <c r="W845" i="5" s="1"/>
  <c r="S846" i="5"/>
  <c r="U846" i="5" s="1"/>
  <c r="V846" i="5" s="1"/>
  <c r="W846" i="5" s="1"/>
  <c r="S848" i="5"/>
  <c r="U848" i="5" s="1"/>
  <c r="V848" i="5" s="1"/>
  <c r="W848" i="5" s="1"/>
  <c r="S849" i="5"/>
  <c r="U849" i="5" s="1"/>
  <c r="V849" i="5" s="1"/>
  <c r="W849" i="5" s="1"/>
  <c r="S78" i="5"/>
  <c r="U78" i="5" s="1"/>
  <c r="V78" i="5" s="1"/>
  <c r="W78" i="5" s="1"/>
  <c r="S487" i="5"/>
  <c r="U487" i="5" s="1"/>
  <c r="V487" i="5" s="1"/>
  <c r="W487" i="5" s="1"/>
  <c r="S493" i="5"/>
  <c r="U493" i="5" s="1"/>
  <c r="V493" i="5" s="1"/>
  <c r="W493" i="5" s="1"/>
  <c r="S494" i="5"/>
  <c r="U494" i="5" s="1"/>
  <c r="V494" i="5" s="1"/>
  <c r="W494" i="5" s="1"/>
  <c r="S496" i="5"/>
  <c r="U496" i="5" s="1"/>
  <c r="V496" i="5" s="1"/>
  <c r="W496" i="5" s="1"/>
  <c r="S517" i="5"/>
  <c r="U517" i="5" s="1"/>
  <c r="V517" i="5" s="1"/>
  <c r="W517" i="5" s="1"/>
  <c r="S521" i="5"/>
  <c r="U521" i="5" s="1"/>
  <c r="V521" i="5" s="1"/>
  <c r="W521" i="5" s="1"/>
  <c r="S529" i="5"/>
  <c r="U529" i="5" s="1"/>
  <c r="V529" i="5" s="1"/>
  <c r="W529" i="5" s="1"/>
  <c r="S530" i="5"/>
  <c r="U530" i="5" s="1"/>
  <c r="V530" i="5" s="1"/>
  <c r="W530" i="5" s="1"/>
  <c r="S531" i="5"/>
  <c r="U531" i="5" s="1"/>
  <c r="V531" i="5" s="1"/>
  <c r="W531" i="5" s="1"/>
  <c r="S537" i="5"/>
  <c r="U537" i="5" s="1"/>
  <c r="V537" i="5" s="1"/>
  <c r="W537" i="5" s="1"/>
  <c r="S539" i="5"/>
  <c r="U539" i="5" s="1"/>
  <c r="V539" i="5" s="1"/>
  <c r="W539" i="5" s="1"/>
  <c r="S611" i="5"/>
  <c r="U611" i="5" s="1"/>
  <c r="V611" i="5" s="1"/>
  <c r="W611" i="5" s="1"/>
  <c r="S613" i="5"/>
  <c r="U613" i="5" s="1"/>
  <c r="V613" i="5" s="1"/>
  <c r="W613" i="5" s="1"/>
  <c r="S616" i="5"/>
  <c r="U616" i="5" s="1"/>
  <c r="V616" i="5" s="1"/>
  <c r="W616" i="5" s="1"/>
  <c r="S617" i="5"/>
  <c r="U617" i="5" s="1"/>
  <c r="V617" i="5" s="1"/>
  <c r="W617" i="5" s="1"/>
  <c r="S636" i="5"/>
  <c r="U636" i="5" s="1"/>
  <c r="V636" i="5" s="1"/>
  <c r="W636" i="5" s="1"/>
  <c r="S652" i="5"/>
  <c r="U652" i="5" s="1"/>
  <c r="V652" i="5" s="1"/>
  <c r="W652" i="5" s="1"/>
  <c r="S884" i="5"/>
  <c r="U884" i="5" s="1"/>
  <c r="V884" i="5" s="1"/>
  <c r="W884" i="5" s="1"/>
  <c r="S885" i="5"/>
  <c r="U885" i="5" s="1"/>
  <c r="V885" i="5" s="1"/>
  <c r="W885" i="5" s="1"/>
  <c r="S886" i="5"/>
  <c r="U886" i="5" s="1"/>
  <c r="V886" i="5" s="1"/>
  <c r="W886" i="5" s="1"/>
  <c r="S887" i="5"/>
  <c r="U887" i="5" s="1"/>
  <c r="V887" i="5" s="1"/>
  <c r="W887" i="5" s="1"/>
  <c r="S888" i="5"/>
  <c r="U888" i="5" s="1"/>
  <c r="V888" i="5" s="1"/>
  <c r="W888" i="5" s="1"/>
  <c r="S889" i="5"/>
  <c r="U889" i="5" s="1"/>
  <c r="V889" i="5" s="1"/>
  <c r="W889" i="5" s="1"/>
  <c r="S890" i="5"/>
  <c r="U890" i="5" s="1"/>
  <c r="V890" i="5" s="1"/>
  <c r="W890" i="5" s="1"/>
  <c r="S891" i="5"/>
  <c r="U891" i="5" s="1"/>
  <c r="V891" i="5" s="1"/>
  <c r="W891" i="5" s="1"/>
  <c r="S892" i="5"/>
  <c r="U892" i="5" s="1"/>
  <c r="V892" i="5" s="1"/>
  <c r="W892" i="5" s="1"/>
  <c r="S893" i="5"/>
  <c r="U893" i="5" s="1"/>
  <c r="V893" i="5" s="1"/>
  <c r="W893" i="5" s="1"/>
  <c r="S894" i="5"/>
  <c r="U894" i="5" s="1"/>
  <c r="V894" i="5" s="1"/>
  <c r="W894" i="5" s="1"/>
  <c r="S901" i="5"/>
  <c r="U901" i="5" s="1"/>
  <c r="V901" i="5" s="1"/>
  <c r="W901" i="5" s="1"/>
  <c r="S903" i="5"/>
  <c r="U903" i="5" s="1"/>
  <c r="V903" i="5" s="1"/>
  <c r="W903" i="5" s="1"/>
  <c r="S904" i="5"/>
  <c r="U904" i="5" s="1"/>
  <c r="V904" i="5" s="1"/>
  <c r="W904" i="5" s="1"/>
  <c r="S930" i="5"/>
  <c r="U930" i="5" s="1"/>
  <c r="V930" i="5" s="1"/>
  <c r="W930" i="5" s="1"/>
  <c r="S931" i="5"/>
  <c r="U931" i="5" s="1"/>
  <c r="V931" i="5" s="1"/>
  <c r="W931" i="5" s="1"/>
  <c r="S932" i="5"/>
  <c r="U932" i="5" s="1"/>
  <c r="V932" i="5" s="1"/>
  <c r="W932" i="5" s="1"/>
  <c r="S934" i="5"/>
  <c r="U934" i="5" s="1"/>
  <c r="V934" i="5" s="1"/>
  <c r="W934" i="5" s="1"/>
  <c r="S935" i="5"/>
  <c r="U935" i="5" s="1"/>
  <c r="V935" i="5" s="1"/>
  <c r="W935" i="5" s="1"/>
  <c r="S936" i="5"/>
  <c r="U936" i="5" s="1"/>
  <c r="V936" i="5" s="1"/>
  <c r="W936" i="5" s="1"/>
  <c r="S937" i="5"/>
  <c r="U937" i="5" s="1"/>
  <c r="V937" i="5" s="1"/>
  <c r="W937" i="5" s="1"/>
  <c r="S938" i="5"/>
  <c r="U938" i="5" s="1"/>
  <c r="V938" i="5" s="1"/>
  <c r="W938" i="5" s="1"/>
  <c r="S939" i="5"/>
  <c r="U939" i="5" s="1"/>
  <c r="V939" i="5" s="1"/>
  <c r="W939" i="5" s="1"/>
  <c r="S940" i="5"/>
  <c r="U940" i="5" s="1"/>
  <c r="V940" i="5" s="1"/>
  <c r="W940" i="5" s="1"/>
  <c r="S941" i="5"/>
  <c r="U941" i="5" s="1"/>
  <c r="V941" i="5" s="1"/>
  <c r="W941" i="5" s="1"/>
  <c r="S942" i="5"/>
  <c r="U942" i="5" s="1"/>
  <c r="V942" i="5" s="1"/>
  <c r="W942" i="5" s="1"/>
  <c r="S943" i="5"/>
  <c r="U943" i="5" s="1"/>
  <c r="V943" i="5" s="1"/>
  <c r="W943" i="5" s="1"/>
  <c r="S944" i="5"/>
  <c r="U944" i="5" s="1"/>
  <c r="V944" i="5" s="1"/>
  <c r="W944" i="5" s="1"/>
  <c r="S945" i="5"/>
  <c r="U945" i="5" s="1"/>
  <c r="V945" i="5" s="1"/>
  <c r="W945" i="5" s="1"/>
  <c r="S946" i="5"/>
  <c r="U946" i="5" s="1"/>
  <c r="V946" i="5" s="1"/>
  <c r="W946" i="5" s="1"/>
  <c r="S947" i="5"/>
  <c r="U947" i="5" s="1"/>
  <c r="V947" i="5" s="1"/>
  <c r="W947" i="5" s="1"/>
  <c r="S948" i="5"/>
  <c r="U948" i="5" s="1"/>
  <c r="V948" i="5" s="1"/>
  <c r="W948" i="5" s="1"/>
  <c r="S967" i="5"/>
  <c r="U967" i="5" s="1"/>
  <c r="V967" i="5" s="1"/>
  <c r="W967" i="5" s="1"/>
  <c r="S968" i="5"/>
  <c r="U968" i="5" s="1"/>
  <c r="V968" i="5" s="1"/>
  <c r="W968" i="5" s="1"/>
  <c r="S969" i="5"/>
  <c r="U969" i="5" s="1"/>
  <c r="V969" i="5" s="1"/>
  <c r="W969" i="5" s="1"/>
  <c r="S981" i="5"/>
  <c r="U981" i="5" s="1"/>
  <c r="V981" i="5" s="1"/>
  <c r="W981" i="5" s="1"/>
  <c r="S254" i="5"/>
  <c r="U254" i="5" s="1"/>
  <c r="V254" i="5" s="1"/>
  <c r="W254" i="5" s="1"/>
  <c r="S276" i="5"/>
  <c r="U276" i="5" s="1"/>
  <c r="V276" i="5" s="1"/>
  <c r="W276" i="5" s="1"/>
  <c r="S314" i="5"/>
  <c r="U314" i="5" s="1"/>
  <c r="V314" i="5" s="1"/>
  <c r="W314" i="5" s="1"/>
  <c r="S330" i="5"/>
  <c r="U330" i="5" s="1"/>
  <c r="V330" i="5" s="1"/>
  <c r="W330" i="5" s="1"/>
  <c r="S341" i="5"/>
  <c r="U341" i="5" s="1"/>
  <c r="V341" i="5" s="1"/>
  <c r="W341" i="5" s="1"/>
  <c r="S68" i="5"/>
  <c r="U68" i="5" s="1"/>
  <c r="V68" i="5" s="1"/>
  <c r="W68" i="5" s="1"/>
  <c r="S194" i="5"/>
  <c r="U194" i="5" s="1"/>
  <c r="V194" i="5" s="1"/>
  <c r="W194" i="5" s="1"/>
  <c r="S395" i="5"/>
  <c r="U395" i="5" s="1"/>
  <c r="V395" i="5" s="1"/>
  <c r="W395" i="5" s="1"/>
  <c r="S396" i="5"/>
  <c r="U396" i="5" s="1"/>
  <c r="V396" i="5" s="1"/>
  <c r="W396" i="5" s="1"/>
  <c r="S403" i="5"/>
  <c r="U403" i="5" s="1"/>
  <c r="V403" i="5" s="1"/>
  <c r="W403" i="5" s="1"/>
  <c r="S453" i="5"/>
  <c r="U453" i="5" s="1"/>
  <c r="V453" i="5" s="1"/>
  <c r="W453" i="5" s="1"/>
  <c r="S564" i="5"/>
  <c r="U564" i="5" s="1"/>
  <c r="V564" i="5" s="1"/>
  <c r="W564" i="5" s="1"/>
  <c r="S565" i="5"/>
  <c r="U565" i="5" s="1"/>
  <c r="V565" i="5" s="1"/>
  <c r="W565" i="5" s="1"/>
  <c r="S566" i="5"/>
  <c r="U566" i="5" s="1"/>
  <c r="V566" i="5" s="1"/>
  <c r="W566" i="5" s="1"/>
  <c r="S567" i="5"/>
  <c r="U567" i="5" s="1"/>
  <c r="V567" i="5" s="1"/>
  <c r="W567" i="5" s="1"/>
  <c r="S573" i="5"/>
  <c r="U573" i="5" s="1"/>
  <c r="V573" i="5" s="1"/>
  <c r="W573" i="5" s="1"/>
  <c r="S87" i="5"/>
  <c r="U87" i="5" s="1"/>
  <c r="V87" i="5" s="1"/>
  <c r="W87" i="5" s="1"/>
  <c r="S524" i="5"/>
  <c r="U524" i="5" s="1"/>
  <c r="V524" i="5" s="1"/>
  <c r="W524" i="5" s="1"/>
  <c r="S716" i="5"/>
  <c r="U716" i="5" s="1"/>
  <c r="V716" i="5" s="1"/>
  <c r="W716" i="5" s="1"/>
  <c r="S53" i="5"/>
  <c r="U53" i="5" s="1"/>
  <c r="V53" i="5" s="1"/>
  <c r="W53" i="5" s="1"/>
  <c r="S133" i="5"/>
  <c r="U133" i="5" s="1"/>
  <c r="V133" i="5" s="1"/>
  <c r="W133" i="5" s="1"/>
  <c r="S656" i="5"/>
  <c r="U656" i="5" s="1"/>
  <c r="V656" i="5" s="1"/>
  <c r="W656" i="5" s="1"/>
  <c r="S659" i="5"/>
  <c r="U659" i="5" s="1"/>
  <c r="V659" i="5" s="1"/>
  <c r="W659" i="5" s="1"/>
  <c r="S660" i="5"/>
  <c r="U660" i="5" s="1"/>
  <c r="V660" i="5" s="1"/>
  <c r="W660" i="5" s="1"/>
  <c r="S757" i="5"/>
  <c r="U757" i="5" s="1"/>
  <c r="V757" i="5" s="1"/>
  <c r="W757" i="5" s="1"/>
  <c r="S758" i="5"/>
  <c r="U758" i="5" s="1"/>
  <c r="V758" i="5" s="1"/>
  <c r="W758" i="5" s="1"/>
  <c r="S759" i="5"/>
  <c r="U759" i="5" s="1"/>
  <c r="V759" i="5" s="1"/>
  <c r="W759" i="5" s="1"/>
  <c r="S760" i="5"/>
  <c r="U760" i="5" s="1"/>
  <c r="V760" i="5" s="1"/>
  <c r="W760" i="5" s="1"/>
  <c r="S761" i="5"/>
  <c r="U761" i="5" s="1"/>
  <c r="V761" i="5" s="1"/>
  <c r="W761" i="5" s="1"/>
  <c r="S762" i="5"/>
  <c r="U762" i="5" s="1"/>
  <c r="V762" i="5" s="1"/>
  <c r="W762" i="5" s="1"/>
  <c r="S818" i="5"/>
  <c r="U818" i="5" s="1"/>
  <c r="V818" i="5" s="1"/>
  <c r="W818" i="5" s="1"/>
  <c r="S819" i="5"/>
  <c r="U819" i="5" s="1"/>
  <c r="V819" i="5" s="1"/>
  <c r="W819" i="5" s="1"/>
  <c r="S829" i="5"/>
  <c r="U829" i="5" s="1"/>
  <c r="V829" i="5" s="1"/>
  <c r="W829" i="5" s="1"/>
  <c r="S835" i="5"/>
  <c r="U835" i="5" s="1"/>
  <c r="V835" i="5" s="1"/>
  <c r="W835" i="5" s="1"/>
  <c r="S836" i="5"/>
  <c r="U836" i="5" s="1"/>
  <c r="V836" i="5" s="1"/>
  <c r="W836" i="5" s="1"/>
  <c r="S837" i="5"/>
  <c r="U837" i="5" s="1"/>
  <c r="V837" i="5" s="1"/>
  <c r="W837" i="5" s="1"/>
  <c r="S838" i="5"/>
  <c r="U838" i="5" s="1"/>
  <c r="V838" i="5" s="1"/>
  <c r="W838" i="5" s="1"/>
  <c r="S503" i="5"/>
  <c r="U503" i="5" s="1"/>
  <c r="V503" i="5" s="1"/>
  <c r="W503" i="5" s="1"/>
  <c r="S862" i="5"/>
  <c r="U862" i="5" s="1"/>
  <c r="V862" i="5" s="1"/>
  <c r="W862" i="5" s="1"/>
  <c r="S863" i="5"/>
  <c r="U863" i="5" s="1"/>
  <c r="V863" i="5" s="1"/>
  <c r="W863" i="5" s="1"/>
  <c r="S865" i="5"/>
  <c r="U865" i="5" s="1"/>
  <c r="V865" i="5" s="1"/>
  <c r="W865" i="5" s="1"/>
  <c r="S866" i="5"/>
  <c r="U866" i="5" s="1"/>
  <c r="V866" i="5" s="1"/>
  <c r="W866" i="5" s="1"/>
  <c r="S867" i="5"/>
  <c r="U867" i="5" s="1"/>
  <c r="V867" i="5" s="1"/>
  <c r="W867" i="5" s="1"/>
  <c r="S868" i="5"/>
  <c r="U868" i="5" s="1"/>
  <c r="V868" i="5" s="1"/>
  <c r="W868" i="5" s="1"/>
  <c r="S869" i="5"/>
  <c r="U869" i="5" s="1"/>
  <c r="V869" i="5" s="1"/>
  <c r="W869" i="5" s="1"/>
  <c r="S870" i="5"/>
  <c r="U870" i="5" s="1"/>
  <c r="V870" i="5" s="1"/>
  <c r="W870" i="5" s="1"/>
  <c r="S871" i="5"/>
  <c r="U871" i="5" s="1"/>
  <c r="V871" i="5" s="1"/>
  <c r="W871" i="5" s="1"/>
  <c r="S872" i="5"/>
  <c r="U872" i="5" s="1"/>
  <c r="V872" i="5" s="1"/>
  <c r="W872" i="5" s="1"/>
  <c r="S873" i="5"/>
  <c r="U873" i="5" s="1"/>
  <c r="V873" i="5" s="1"/>
  <c r="W873" i="5" s="1"/>
  <c r="S896" i="5"/>
  <c r="U896" i="5" s="1"/>
  <c r="V896" i="5" s="1"/>
  <c r="W896" i="5" s="1"/>
  <c r="S897" i="5"/>
  <c r="U897" i="5" s="1"/>
  <c r="V897" i="5" s="1"/>
  <c r="W897" i="5" s="1"/>
  <c r="S920" i="5"/>
  <c r="U920" i="5" s="1"/>
  <c r="V920" i="5" s="1"/>
  <c r="W920" i="5" s="1"/>
  <c r="S921" i="5"/>
  <c r="U921" i="5" s="1"/>
  <c r="V921" i="5" s="1"/>
  <c r="W921" i="5" s="1"/>
  <c r="S922" i="5"/>
  <c r="U922" i="5" s="1"/>
  <c r="V922" i="5" s="1"/>
  <c r="W922" i="5" s="1"/>
  <c r="S58" i="5"/>
  <c r="U58" i="5" s="1"/>
  <c r="V58" i="5" s="1"/>
  <c r="W58" i="5" s="1"/>
  <c r="S86" i="5"/>
  <c r="U86" i="5" s="1"/>
  <c r="V86" i="5" s="1"/>
  <c r="W86" i="5" s="1"/>
  <c r="S273" i="5"/>
  <c r="U273" i="5" s="1"/>
  <c r="V273" i="5" s="1"/>
  <c r="W273" i="5" s="1"/>
  <c r="S281" i="5"/>
  <c r="U281" i="5" s="1"/>
  <c r="V281" i="5" s="1"/>
  <c r="W281" i="5" s="1"/>
  <c r="S312" i="5"/>
  <c r="U312" i="5" s="1"/>
  <c r="V312" i="5" s="1"/>
  <c r="W312" i="5" s="1"/>
  <c r="S328" i="5"/>
  <c r="U328" i="5" s="1"/>
  <c r="V328" i="5" s="1"/>
  <c r="W328" i="5" s="1"/>
  <c r="S339" i="5"/>
  <c r="U339" i="5" s="1"/>
  <c r="V339" i="5" s="1"/>
  <c r="W339" i="5" s="1"/>
  <c r="S340" i="5"/>
  <c r="U340" i="5" s="1"/>
  <c r="V340" i="5" s="1"/>
  <c r="W340" i="5" s="1"/>
  <c r="S342" i="5"/>
  <c r="U342" i="5" s="1"/>
  <c r="V342" i="5" s="1"/>
  <c r="W342" i="5" s="1"/>
  <c r="S343" i="5"/>
  <c r="U343" i="5" s="1"/>
  <c r="V343" i="5" s="1"/>
  <c r="W343" i="5" s="1"/>
  <c r="S226" i="5"/>
  <c r="U226" i="5" s="1"/>
  <c r="V226" i="5" s="1"/>
  <c r="W226" i="5" s="1"/>
  <c r="S404" i="5"/>
  <c r="U404" i="5" s="1"/>
  <c r="V404" i="5" s="1"/>
  <c r="W404" i="5" s="1"/>
  <c r="S405" i="5"/>
  <c r="U405" i="5" s="1"/>
  <c r="V405" i="5" s="1"/>
  <c r="W405" i="5" s="1"/>
  <c r="S406" i="5"/>
  <c r="U406" i="5" s="1"/>
  <c r="V406" i="5" s="1"/>
  <c r="W406" i="5" s="1"/>
  <c r="S411" i="5"/>
  <c r="U411" i="5" s="1"/>
  <c r="V411" i="5" s="1"/>
  <c r="W411" i="5" s="1"/>
  <c r="S480" i="5"/>
  <c r="U480" i="5" s="1"/>
  <c r="V480" i="5" s="1"/>
  <c r="W480" i="5" s="1"/>
  <c r="S484" i="5"/>
  <c r="U484" i="5" s="1"/>
  <c r="V484" i="5" s="1"/>
  <c r="W484" i="5" s="1"/>
  <c r="S563" i="5"/>
  <c r="U563" i="5" s="1"/>
  <c r="V563" i="5" s="1"/>
  <c r="W563" i="5" s="1"/>
  <c r="S600" i="5"/>
  <c r="U600" i="5" s="1"/>
  <c r="V600" i="5" s="1"/>
  <c r="W600" i="5" s="1"/>
  <c r="S512" i="5"/>
  <c r="U512" i="5" s="1"/>
  <c r="V512" i="5" s="1"/>
  <c r="W512" i="5" s="1"/>
  <c r="S544" i="5"/>
  <c r="U544" i="5" s="1"/>
  <c r="V544" i="5" s="1"/>
  <c r="W544" i="5" s="1"/>
  <c r="S662" i="5"/>
  <c r="U662" i="5" s="1"/>
  <c r="V662" i="5" s="1"/>
  <c r="W662" i="5" s="1"/>
  <c r="S717" i="5"/>
  <c r="U717" i="5" s="1"/>
  <c r="V717" i="5" s="1"/>
  <c r="W717" i="5" s="1"/>
  <c r="S67" i="5"/>
  <c r="U67" i="5" s="1"/>
  <c r="V67" i="5" s="1"/>
  <c r="W67" i="5" s="1"/>
  <c r="S139" i="5"/>
  <c r="U139" i="5" s="1"/>
  <c r="V139" i="5" s="1"/>
  <c r="W139" i="5" s="1"/>
  <c r="S501" i="5"/>
  <c r="U501" i="5" s="1"/>
  <c r="V501" i="5" s="1"/>
  <c r="W501" i="5" s="1"/>
  <c r="S657" i="5"/>
  <c r="U657" i="5" s="1"/>
  <c r="V657" i="5" s="1"/>
  <c r="W657" i="5" s="1"/>
  <c r="S661" i="5"/>
  <c r="U661" i="5" s="1"/>
  <c r="V661" i="5" s="1"/>
  <c r="W661" i="5" s="1"/>
  <c r="S663" i="5"/>
  <c r="U663" i="5" s="1"/>
  <c r="V663" i="5" s="1"/>
  <c r="W663" i="5" s="1"/>
  <c r="S664" i="5"/>
  <c r="U664" i="5" s="1"/>
  <c r="V664" i="5" s="1"/>
  <c r="W664" i="5" s="1"/>
  <c r="S763" i="5"/>
  <c r="U763" i="5" s="1"/>
  <c r="V763" i="5" s="1"/>
  <c r="W763" i="5" s="1"/>
  <c r="S764" i="5"/>
  <c r="U764" i="5" s="1"/>
  <c r="V764" i="5" s="1"/>
  <c r="W764" i="5" s="1"/>
  <c r="S765" i="5"/>
  <c r="U765" i="5" s="1"/>
  <c r="V765" i="5" s="1"/>
  <c r="W765" i="5" s="1"/>
  <c r="S766" i="5"/>
  <c r="U766" i="5" s="1"/>
  <c r="V766" i="5" s="1"/>
  <c r="W766" i="5" s="1"/>
  <c r="S767" i="5"/>
  <c r="U767" i="5" s="1"/>
  <c r="V767" i="5" s="1"/>
  <c r="W767" i="5" s="1"/>
  <c r="S768" i="5"/>
  <c r="U768" i="5" s="1"/>
  <c r="V768" i="5" s="1"/>
  <c r="W768" i="5" s="1"/>
  <c r="S785" i="5"/>
  <c r="U785" i="5" s="1"/>
  <c r="V785" i="5" s="1"/>
  <c r="W785" i="5" s="1"/>
  <c r="S807" i="5"/>
  <c r="U807" i="5" s="1"/>
  <c r="V807" i="5" s="1"/>
  <c r="W807" i="5" s="1"/>
  <c r="S808" i="5"/>
  <c r="U808" i="5" s="1"/>
  <c r="V808" i="5" s="1"/>
  <c r="W808" i="5" s="1"/>
  <c r="S809" i="5"/>
  <c r="U809" i="5" s="1"/>
  <c r="V809" i="5" s="1"/>
  <c r="W809" i="5" s="1"/>
  <c r="S820" i="5"/>
  <c r="U820" i="5" s="1"/>
  <c r="V820" i="5" s="1"/>
  <c r="W820" i="5" s="1"/>
  <c r="S828" i="5"/>
  <c r="U828" i="5" s="1"/>
  <c r="V828" i="5" s="1"/>
  <c r="W828" i="5" s="1"/>
  <c r="S839" i="5"/>
  <c r="U839" i="5" s="1"/>
  <c r="V839" i="5" s="1"/>
  <c r="W839" i="5" s="1"/>
  <c r="S56" i="5"/>
  <c r="U56" i="5" s="1"/>
  <c r="V56" i="5" s="1"/>
  <c r="W56" i="5" s="1"/>
  <c r="S861" i="5"/>
  <c r="U861" i="5" s="1"/>
  <c r="V861" i="5" s="1"/>
  <c r="W861" i="5" s="1"/>
  <c r="S864" i="5"/>
  <c r="U864" i="5" s="1"/>
  <c r="V864" i="5" s="1"/>
  <c r="W864" i="5" s="1"/>
  <c r="S874" i="5"/>
  <c r="U874" i="5" s="1"/>
  <c r="V874" i="5" s="1"/>
  <c r="W874" i="5" s="1"/>
  <c r="S875" i="5"/>
  <c r="U875" i="5" s="1"/>
  <c r="V875" i="5" s="1"/>
  <c r="W875" i="5" s="1"/>
  <c r="S876" i="5"/>
  <c r="U876" i="5" s="1"/>
  <c r="V876" i="5" s="1"/>
  <c r="W876" i="5" s="1"/>
  <c r="S877" i="5"/>
  <c r="U877" i="5" s="1"/>
  <c r="V877" i="5" s="1"/>
  <c r="W877" i="5" s="1"/>
  <c r="S878" i="5"/>
  <c r="U878" i="5" s="1"/>
  <c r="V878" i="5" s="1"/>
  <c r="W878" i="5" s="1"/>
  <c r="S879" i="5"/>
  <c r="U879" i="5" s="1"/>
  <c r="V879" i="5" s="1"/>
  <c r="W879" i="5" s="1"/>
  <c r="S880" i="5"/>
  <c r="U880" i="5" s="1"/>
  <c r="V880" i="5" s="1"/>
  <c r="W880" i="5" s="1"/>
  <c r="S881" i="5"/>
  <c r="U881" i="5" s="1"/>
  <c r="V881" i="5" s="1"/>
  <c r="W881" i="5" s="1"/>
  <c r="S882" i="5"/>
  <c r="U882" i="5" s="1"/>
  <c r="V882" i="5" s="1"/>
  <c r="W882" i="5" s="1"/>
  <c r="S895" i="5"/>
  <c r="U895" i="5" s="1"/>
  <c r="V895" i="5" s="1"/>
  <c r="W895" i="5" s="1"/>
  <c r="S898" i="5"/>
  <c r="U898" i="5" s="1"/>
  <c r="V898" i="5" s="1"/>
  <c r="W898" i="5" s="1"/>
  <c r="S899" i="5"/>
  <c r="U899" i="5" s="1"/>
  <c r="V899" i="5" s="1"/>
  <c r="W899" i="5" s="1"/>
  <c r="Y899" i="5" s="1"/>
  <c r="S923" i="5"/>
  <c r="U923" i="5" s="1"/>
  <c r="V923" i="5" s="1"/>
  <c r="W923" i="5" s="1"/>
  <c r="S924" i="5"/>
  <c r="U924" i="5" s="1"/>
  <c r="V924" i="5" s="1"/>
  <c r="W924" i="5" s="1"/>
  <c r="S925" i="5"/>
  <c r="U925" i="5" s="1"/>
  <c r="V925" i="5" s="1"/>
  <c r="W925" i="5" s="1"/>
  <c r="S926" i="5"/>
  <c r="U926" i="5" s="1"/>
  <c r="V926" i="5" s="1"/>
  <c r="W926" i="5" s="1"/>
  <c r="S927" i="5"/>
  <c r="U927" i="5" s="1"/>
  <c r="V927" i="5" s="1"/>
  <c r="W927" i="5" s="1"/>
  <c r="S928" i="5"/>
  <c r="U928" i="5" s="1"/>
  <c r="V928" i="5" s="1"/>
  <c r="W928" i="5" s="1"/>
  <c r="S929" i="5"/>
  <c r="U929" i="5" s="1"/>
  <c r="V929" i="5" s="1"/>
  <c r="W929" i="5" s="1"/>
  <c r="S933" i="5"/>
  <c r="U933" i="5" s="1"/>
  <c r="V933" i="5" s="1"/>
  <c r="W933" i="5" s="1"/>
  <c r="X929" i="5"/>
  <c r="Y929" i="5"/>
  <c r="X928" i="5"/>
  <c r="Y928" i="5"/>
  <c r="X927" i="5"/>
  <c r="Y927" i="5"/>
  <c r="X926" i="5"/>
  <c r="Y926" i="5"/>
  <c r="X925" i="5"/>
  <c r="Y925" i="5"/>
  <c r="X924" i="5"/>
  <c r="Y924" i="5"/>
  <c r="X923" i="5"/>
  <c r="Y923" i="5"/>
  <c r="X922" i="5"/>
  <c r="Y922" i="5"/>
  <c r="X921" i="5"/>
  <c r="Y921" i="5"/>
  <c r="X920" i="5"/>
  <c r="Y920" i="5"/>
  <c r="X919" i="5"/>
  <c r="Y919" i="5"/>
  <c r="X917" i="5"/>
  <c r="Y917" i="5"/>
  <c r="X916" i="5"/>
  <c r="Y916" i="5"/>
  <c r="X915" i="5"/>
  <c r="Y915" i="5"/>
  <c r="X914" i="5"/>
  <c r="Y914" i="5"/>
  <c r="X899" i="5"/>
  <c r="X883" i="5"/>
  <c r="Y883" i="5"/>
  <c r="F28" i="2"/>
  <c r="G28" i="2"/>
  <c r="E28" i="2"/>
  <c r="D28" i="2"/>
  <c r="X857" i="5"/>
  <c r="Y857" i="5"/>
  <c r="X854" i="5"/>
  <c r="Y854" i="5"/>
  <c r="X853" i="5"/>
  <c r="Y853" i="5"/>
  <c r="X255" i="5"/>
  <c r="Y255" i="5"/>
  <c r="X250" i="5"/>
  <c r="Y250" i="5"/>
  <c r="X248" i="5"/>
  <c r="Y248" i="5"/>
  <c r="X240" i="5"/>
  <c r="Y240" i="5"/>
  <c r="X236" i="5"/>
  <c r="Y236" i="5"/>
  <c r="X235" i="5"/>
  <c r="Y235" i="5"/>
  <c r="X227" i="5"/>
  <c r="Y227" i="5"/>
  <c r="X225" i="5"/>
  <c r="Y225" i="5"/>
  <c r="X224" i="5"/>
  <c r="Y224" i="5"/>
  <c r="X219" i="5"/>
  <c r="Y219" i="5"/>
  <c r="X205" i="5"/>
  <c r="Y205" i="5"/>
  <c r="X202" i="5"/>
  <c r="Y202" i="5"/>
  <c r="X192" i="5"/>
  <c r="Y192" i="5"/>
  <c r="X166" i="5"/>
  <c r="Y166" i="5"/>
  <c r="X163" i="5"/>
  <c r="Y163" i="5"/>
  <c r="Y159" i="5"/>
  <c r="X159" i="5"/>
  <c r="X158" i="5"/>
  <c r="Y158" i="5"/>
  <c r="Y148" i="5"/>
  <c r="X148" i="5"/>
  <c r="X133" i="5"/>
  <c r="Y133" i="5"/>
  <c r="Y120" i="5"/>
  <c r="X120" i="5"/>
  <c r="X116" i="5"/>
  <c r="Y116" i="5"/>
  <c r="X113" i="5"/>
  <c r="Y113" i="5"/>
  <c r="X104" i="5"/>
  <c r="Y104" i="5"/>
  <c r="X103" i="5"/>
  <c r="Y103" i="5"/>
  <c r="X101" i="5"/>
  <c r="Y101" i="5"/>
  <c r="X97" i="5"/>
  <c r="Y97" i="5"/>
  <c r="Y87" i="5"/>
  <c r="X87" i="5"/>
  <c r="Y86" i="5"/>
  <c r="X86" i="5"/>
  <c r="Y82" i="5"/>
  <c r="X82" i="5"/>
  <c r="X81" i="5"/>
  <c r="Y81" i="5"/>
  <c r="Y79" i="5"/>
  <c r="X79" i="5"/>
  <c r="Y62" i="5"/>
  <c r="X62" i="5"/>
  <c r="Y58" i="5"/>
  <c r="X58" i="5"/>
  <c r="X57" i="5"/>
  <c r="Y57" i="5"/>
  <c r="D19" i="2"/>
  <c r="E19" i="2"/>
  <c r="X53" i="5"/>
  <c r="Y53" i="5"/>
  <c r="Y51" i="5"/>
  <c r="X51" i="5"/>
  <c r="X49" i="5"/>
  <c r="Y49" i="5"/>
  <c r="X48" i="5"/>
  <c r="Y48" i="5"/>
  <c r="Y44" i="5"/>
  <c r="X44" i="5"/>
  <c r="Y41" i="5"/>
  <c r="X41" i="5"/>
  <c r="X40" i="5"/>
  <c r="Y40" i="5"/>
  <c r="Y39" i="5"/>
  <c r="X39" i="5"/>
  <c r="X38" i="5"/>
  <c r="Y38" i="5"/>
  <c r="X37" i="5"/>
  <c r="Y37" i="5"/>
  <c r="Y36" i="5"/>
  <c r="X36" i="5"/>
  <c r="X35" i="5"/>
  <c r="Y35" i="5"/>
  <c r="X34" i="5"/>
  <c r="Y34" i="5"/>
  <c r="X29" i="5"/>
  <c r="Y29" i="5"/>
  <c r="X28" i="5"/>
  <c r="Y28" i="5"/>
  <c r="Y26" i="5"/>
  <c r="X26" i="5"/>
  <c r="Y23" i="5"/>
  <c r="X23" i="5"/>
  <c r="X22" i="5"/>
  <c r="Y22" i="5"/>
  <c r="Y20" i="5"/>
  <c r="X20" i="5"/>
  <c r="X16" i="5"/>
  <c r="Y16" i="5"/>
  <c r="X15" i="5"/>
  <c r="Y15" i="5"/>
  <c r="X14" i="5"/>
  <c r="Y14" i="5"/>
  <c r="X13" i="5"/>
  <c r="Y13" i="5"/>
  <c r="F23" i="2"/>
  <c r="G23" i="2"/>
  <c r="X12" i="5"/>
  <c r="Y12" i="5"/>
  <c r="D21" i="2"/>
  <c r="E21" i="2"/>
  <c r="F21" i="2"/>
  <c r="G21" i="2"/>
  <c r="X11" i="5"/>
  <c r="E23" i="2"/>
  <c r="Y11" i="5"/>
  <c r="D23" i="2"/>
  <c r="X6" i="5"/>
  <c r="Y6" i="5"/>
  <c r="F22" i="2"/>
  <c r="G22" i="2"/>
  <c r="X5" i="5"/>
  <c r="Y5" i="5"/>
  <c r="D22" i="2"/>
  <c r="E22" i="2"/>
  <c r="Y84" i="5" l="1"/>
  <c r="X84" i="5"/>
  <c r="X106" i="5"/>
  <c r="Y106" i="5"/>
  <c r="X107" i="5"/>
  <c r="Y107" i="5"/>
  <c r="X156" i="5"/>
  <c r="Y156" i="5"/>
  <c r="Y164" i="5"/>
  <c r="X164" i="5"/>
  <c r="X167" i="5"/>
  <c r="Y167" i="5"/>
  <c r="Y169" i="5"/>
  <c r="X169" i="5"/>
  <c r="X171" i="5"/>
  <c r="Y171" i="5"/>
  <c r="X208" i="5"/>
  <c r="Y208" i="5"/>
  <c r="X221" i="5"/>
  <c r="Y221" i="5"/>
  <c r="Y232" i="5"/>
  <c r="X232" i="5"/>
  <c r="X249" i="5"/>
  <c r="Y249" i="5"/>
  <c r="X251" i="5"/>
  <c r="Y251" i="5"/>
  <c r="X253" i="5"/>
  <c r="Y253" i="5"/>
  <c r="Y277" i="5"/>
  <c r="X277" i="5"/>
  <c r="Y287" i="5"/>
  <c r="X287" i="5"/>
  <c r="X302" i="5"/>
  <c r="Y302" i="5"/>
  <c r="Y317" i="5"/>
  <c r="X317" i="5"/>
  <c r="X336" i="5"/>
  <c r="Y336" i="5"/>
  <c r="X337" i="5"/>
  <c r="Y337" i="5"/>
  <c r="Y338" i="5"/>
  <c r="X338" i="5"/>
  <c r="Y344" i="5"/>
  <c r="X344" i="5"/>
  <c r="Y345" i="5"/>
  <c r="X345" i="5"/>
  <c r="C41" i="2"/>
  <c r="E27" i="2"/>
  <c r="X30" i="5"/>
  <c r="F27" i="2"/>
  <c r="Y30" i="5"/>
  <c r="G27" i="2"/>
  <c r="D27" i="2"/>
  <c r="B41" i="2"/>
  <c r="E41" i="2" s="1"/>
  <c r="Y152" i="5"/>
  <c r="X152" i="5"/>
  <c r="Y168" i="5"/>
  <c r="X168" i="5"/>
  <c r="Y193" i="5"/>
  <c r="X193" i="5"/>
  <c r="X209" i="5"/>
  <c r="Y209" i="5"/>
  <c r="Y374" i="5"/>
  <c r="X374" i="5"/>
  <c r="X392" i="5"/>
  <c r="Y392" i="5"/>
  <c r="Y399" i="5"/>
  <c r="X399" i="5"/>
  <c r="X400" i="5"/>
  <c r="Y400" i="5"/>
  <c r="Y402" i="5"/>
  <c r="X402" i="5"/>
  <c r="Y151" i="5"/>
  <c r="X151" i="5"/>
  <c r="Y59" i="5"/>
  <c r="X59" i="5"/>
  <c r="Y165" i="5"/>
  <c r="X165" i="5"/>
  <c r="Y60" i="5"/>
  <c r="X60" i="5"/>
  <c r="Y110" i="5"/>
  <c r="X110" i="5"/>
  <c r="X140" i="5"/>
  <c r="Y140" i="5"/>
  <c r="Y150" i="5"/>
  <c r="X150" i="5"/>
  <c r="X908" i="5"/>
  <c r="Y908" i="5"/>
  <c r="X909" i="5"/>
  <c r="Y909" i="5"/>
  <c r="X119" i="5"/>
  <c r="Y119" i="5"/>
  <c r="Y131" i="5"/>
  <c r="X131" i="5"/>
  <c r="X143" i="5"/>
  <c r="Y143" i="5"/>
  <c r="X144" i="5"/>
  <c r="Y144" i="5"/>
  <c r="X161" i="5"/>
  <c r="Y161" i="5"/>
  <c r="X196" i="5"/>
  <c r="Y196" i="5"/>
  <c r="X197" i="5"/>
  <c r="Y197" i="5"/>
  <c r="X200" i="5"/>
  <c r="Y200" i="5"/>
  <c r="C36" i="2"/>
  <c r="B36" i="2"/>
  <c r="E36" i="2" s="1"/>
  <c r="Y93" i="5"/>
  <c r="X93" i="5"/>
  <c r="Y94" i="5"/>
  <c r="X94" i="5"/>
  <c r="Y170" i="5"/>
  <c r="X170" i="5"/>
  <c r="X122" i="5"/>
  <c r="C47" i="2"/>
  <c r="Y122" i="5"/>
  <c r="B47" i="2"/>
  <c r="E47" i="2" s="1"/>
  <c r="Y127" i="5"/>
  <c r="X127" i="5"/>
  <c r="Y132" i="5"/>
  <c r="X132" i="5"/>
  <c r="F26" i="2"/>
  <c r="E26" i="2"/>
  <c r="G26" i="2"/>
  <c r="X50" i="5"/>
  <c r="D26" i="2"/>
  <c r="Y50" i="5"/>
  <c r="X74" i="5"/>
  <c r="Y74" i="5"/>
  <c r="Y90" i="5"/>
  <c r="C46" i="2"/>
  <c r="X90" i="5"/>
  <c r="B46" i="2"/>
  <c r="E46" i="2" s="1"/>
  <c r="B38" i="2"/>
  <c r="E38" i="2" s="1"/>
  <c r="Y124" i="5"/>
  <c r="C38" i="2"/>
  <c r="X124" i="5"/>
  <c r="Y17" i="5"/>
  <c r="X17" i="5"/>
  <c r="Y18" i="5"/>
  <c r="X18" i="5"/>
  <c r="X45" i="5"/>
  <c r="Y45" i="5"/>
  <c r="X72" i="5"/>
  <c r="Y72" i="5"/>
  <c r="C40" i="2"/>
  <c r="B40" i="2"/>
  <c r="E40" i="2" s="1"/>
  <c r="X54" i="5"/>
  <c r="Y54" i="5"/>
  <c r="X7" i="5"/>
  <c r="D10" i="2"/>
  <c r="E25" i="2"/>
  <c r="C33" i="2"/>
  <c r="G11" i="2"/>
  <c r="H11" i="2" s="1"/>
  <c r="B33" i="2"/>
  <c r="E33" i="2" s="1"/>
  <c r="G25" i="2"/>
  <c r="Y7" i="5"/>
  <c r="F25" i="2"/>
  <c r="G12" i="2"/>
  <c r="H12" i="2" s="1"/>
  <c r="G10" i="2"/>
  <c r="G13" i="2"/>
  <c r="H13" i="2" s="1"/>
  <c r="D13" i="2"/>
  <c r="E13" i="2" s="1"/>
  <c r="D25" i="2"/>
  <c r="D11" i="2"/>
  <c r="E11" i="2" s="1"/>
  <c r="F11" i="2" s="1"/>
  <c r="D12" i="2"/>
  <c r="E12" i="2" s="1"/>
  <c r="X8" i="5"/>
  <c r="Y8" i="5"/>
  <c r="Y47" i="5"/>
  <c r="X47" i="5"/>
  <c r="X9" i="5"/>
  <c r="Y9" i="5"/>
  <c r="X21" i="5"/>
  <c r="Y21" i="5"/>
  <c r="X42" i="5"/>
  <c r="Y42" i="5"/>
  <c r="X43" i="5"/>
  <c r="Y43" i="5"/>
  <c r="B42" i="2"/>
  <c r="E42" i="2" s="1"/>
  <c r="C42" i="2"/>
  <c r="X73" i="5"/>
  <c r="Y73" i="5"/>
  <c r="Y75" i="5"/>
  <c r="B39" i="2"/>
  <c r="E39" i="2" s="1"/>
  <c r="C39" i="2"/>
  <c r="X75" i="5"/>
  <c r="X112" i="5"/>
  <c r="Y112" i="5"/>
  <c r="X129" i="5"/>
  <c r="Y129" i="5"/>
  <c r="X498" i="5"/>
  <c r="Y498" i="5"/>
  <c r="Y509" i="5"/>
  <c r="X509" i="5"/>
  <c r="Y541" i="5"/>
  <c r="X541" i="5"/>
  <c r="Y550" i="5"/>
  <c r="X550" i="5"/>
  <c r="X552" i="5"/>
  <c r="Y552" i="5"/>
  <c r="X19" i="5"/>
  <c r="C35" i="2"/>
  <c r="Y19" i="5"/>
  <c r="B35" i="2"/>
  <c r="E35" i="2" s="1"/>
  <c r="X25" i="5"/>
  <c r="Y25" i="5"/>
  <c r="Y88" i="5"/>
  <c r="X88" i="5"/>
  <c r="X105" i="5"/>
  <c r="Y105" i="5"/>
  <c r="Y130" i="5"/>
  <c r="X130" i="5"/>
  <c r="Y522" i="5"/>
  <c r="X522" i="5"/>
  <c r="X533" i="5"/>
  <c r="Y533" i="5"/>
  <c r="X553" i="5"/>
  <c r="Y553" i="5"/>
  <c r="X910" i="5"/>
  <c r="Y910" i="5"/>
  <c r="X978" i="5"/>
  <c r="Y978" i="5"/>
  <c r="Y979" i="5"/>
  <c r="X979" i="5"/>
  <c r="X85" i="5"/>
  <c r="Y85" i="5"/>
  <c r="X162" i="5"/>
  <c r="Y162" i="5"/>
  <c r="X172" i="5"/>
  <c r="Y172" i="5"/>
  <c r="X189" i="5"/>
  <c r="Y189" i="5"/>
  <c r="X190" i="5"/>
  <c r="Y190" i="5"/>
  <c r="X234" i="5"/>
  <c r="Y234" i="5"/>
  <c r="X239" i="5"/>
  <c r="Y239" i="5"/>
  <c r="Y245" i="5"/>
  <c r="X245" i="5"/>
  <c r="X266" i="5"/>
  <c r="Y266" i="5"/>
  <c r="X267" i="5"/>
  <c r="Y267" i="5"/>
  <c r="Y269" i="5"/>
  <c r="X269" i="5"/>
  <c r="Y270" i="5"/>
  <c r="X270" i="5"/>
  <c r="X284" i="5"/>
  <c r="Y284" i="5"/>
  <c r="X288" i="5"/>
  <c r="Y288" i="5"/>
  <c r="X289" i="5"/>
  <c r="Y289" i="5"/>
  <c r="Y294" i="5"/>
  <c r="X294" i="5"/>
  <c r="Y303" i="5"/>
  <c r="X303" i="5"/>
  <c r="X307" i="5"/>
  <c r="Y307" i="5"/>
  <c r="Y308" i="5"/>
  <c r="X308" i="5"/>
  <c r="X310" i="5"/>
  <c r="Y310" i="5"/>
  <c r="X311" i="5"/>
  <c r="Y311" i="5"/>
  <c r="X322" i="5"/>
  <c r="Y322" i="5"/>
  <c r="Y89" i="5"/>
  <c r="X89" i="5"/>
  <c r="Y96" i="5"/>
  <c r="X96" i="5"/>
  <c r="X160" i="5"/>
  <c r="Y160" i="5"/>
  <c r="X191" i="5"/>
  <c r="Y191" i="5"/>
  <c r="X230" i="5"/>
  <c r="Y230" i="5"/>
  <c r="Y233" i="5"/>
  <c r="X233" i="5"/>
  <c r="X372" i="5"/>
  <c r="Y372" i="5"/>
  <c r="X373" i="5"/>
  <c r="Y373" i="5"/>
  <c r="G24" i="2"/>
  <c r="F24" i="2"/>
  <c r="C44" i="2"/>
  <c r="D24" i="2"/>
  <c r="Y10" i="5"/>
  <c r="X10" i="5"/>
  <c r="B44" i="2"/>
  <c r="E44" i="2" s="1"/>
  <c r="E24" i="2"/>
  <c r="Y24" i="5"/>
  <c r="X24" i="5"/>
  <c r="Y61" i="5"/>
  <c r="X61" i="5"/>
  <c r="Y147" i="5"/>
  <c r="X147" i="5"/>
  <c r="Y69" i="5"/>
  <c r="X69" i="5"/>
  <c r="Y70" i="5"/>
  <c r="X70" i="5"/>
  <c r="X80" i="5"/>
  <c r="Y80" i="5"/>
  <c r="Y137" i="5"/>
  <c r="X137" i="5"/>
  <c r="Y138" i="5"/>
  <c r="X138" i="5"/>
  <c r="X573" i="5"/>
  <c r="Y573" i="5"/>
  <c r="X524" i="5"/>
  <c r="Y524" i="5"/>
  <c r="X835" i="5"/>
  <c r="Y835" i="5"/>
  <c r="Y836" i="5"/>
  <c r="X836" i="5"/>
  <c r="X837" i="5"/>
  <c r="Y837" i="5"/>
  <c r="X838" i="5"/>
  <c r="Y838" i="5"/>
  <c r="X503" i="5"/>
  <c r="Y503" i="5"/>
  <c r="X862" i="5"/>
  <c r="Y862" i="5"/>
  <c r="X863" i="5"/>
  <c r="Y863" i="5"/>
  <c r="Y865" i="5"/>
  <c r="X865" i="5"/>
  <c r="Y866" i="5"/>
  <c r="X866" i="5"/>
  <c r="X867" i="5"/>
  <c r="Y867" i="5"/>
  <c r="Y868" i="5"/>
  <c r="X868" i="5"/>
  <c r="Y869" i="5"/>
  <c r="X869" i="5"/>
  <c r="Y870" i="5"/>
  <c r="X870" i="5"/>
  <c r="Y871" i="5"/>
  <c r="X871" i="5"/>
  <c r="Y872" i="5"/>
  <c r="X872" i="5"/>
  <c r="Y873" i="5"/>
  <c r="X873" i="5"/>
  <c r="X896" i="5"/>
  <c r="Y896" i="5"/>
  <c r="X897" i="5"/>
  <c r="Y897" i="5"/>
  <c r="Y273" i="5"/>
  <c r="X273" i="5"/>
  <c r="X281" i="5"/>
  <c r="Y281" i="5"/>
  <c r="Y312" i="5"/>
  <c r="X312" i="5"/>
  <c r="Y328" i="5"/>
  <c r="X328" i="5"/>
  <c r="Y339" i="5"/>
  <c r="X339" i="5"/>
  <c r="Y340" i="5"/>
  <c r="X340" i="5"/>
  <c r="X342" i="5"/>
  <c r="Y342" i="5"/>
  <c r="Y343" i="5"/>
  <c r="X343" i="5"/>
  <c r="X226" i="5"/>
  <c r="Y226" i="5"/>
  <c r="X404" i="5"/>
  <c r="Y404" i="5"/>
  <c r="Y405" i="5"/>
  <c r="X405" i="5"/>
  <c r="X67" i="5"/>
  <c r="Y67" i="5"/>
  <c r="C57" i="2"/>
  <c r="Y139" i="5"/>
  <c r="B57" i="2"/>
  <c r="E57" i="2" s="1"/>
  <c r="X139" i="5"/>
  <c r="Y839" i="5"/>
  <c r="X839" i="5"/>
  <c r="X56" i="5"/>
  <c r="F19" i="2"/>
  <c r="Y56" i="5"/>
  <c r="X861" i="5"/>
  <c r="Y861" i="5"/>
  <c r="X864" i="5"/>
  <c r="Y864" i="5"/>
  <c r="X874" i="5"/>
  <c r="Y874" i="5"/>
  <c r="X875" i="5"/>
  <c r="Y875" i="5"/>
  <c r="X876" i="5"/>
  <c r="Y876" i="5"/>
  <c r="X877" i="5"/>
  <c r="Y877" i="5"/>
  <c r="X878" i="5"/>
  <c r="Y878" i="5"/>
  <c r="Y879" i="5"/>
  <c r="X879" i="5"/>
  <c r="X880" i="5"/>
  <c r="Y880" i="5"/>
  <c r="X881" i="5"/>
  <c r="Y881" i="5"/>
  <c r="X882" i="5"/>
  <c r="Y882" i="5"/>
  <c r="Y895" i="5"/>
  <c r="X895" i="5"/>
  <c r="Y898" i="5"/>
  <c r="X898" i="5"/>
  <c r="G19" i="2"/>
  <c r="X933" i="5"/>
  <c r="Y933" i="5"/>
  <c r="X610" i="5"/>
  <c r="Y610" i="5"/>
  <c r="H10" i="2"/>
  <c r="G14" i="2"/>
  <c r="H14" i="2" s="1"/>
  <c r="E10" i="2"/>
  <c r="F10" i="2" s="1"/>
  <c r="D14" i="2"/>
  <c r="E14" i="2" s="1"/>
  <c r="F14" i="2" s="1"/>
  <c r="Y418" i="5"/>
  <c r="X418" i="5"/>
  <c r="X437" i="5"/>
  <c r="Y437" i="5"/>
  <c r="Y450" i="5"/>
  <c r="X450" i="5"/>
  <c r="Y474" i="5"/>
  <c r="X474" i="5"/>
  <c r="X475" i="5"/>
  <c r="Y475" i="5"/>
  <c r="X478" i="5"/>
  <c r="Y478" i="5"/>
  <c r="X479" i="5"/>
  <c r="Y479" i="5"/>
  <c r="Y577" i="5"/>
  <c r="X577" i="5"/>
  <c r="Y492" i="5"/>
  <c r="X492" i="5"/>
  <c r="Y511" i="5"/>
  <c r="X511" i="5"/>
  <c r="X658" i="5"/>
  <c r="Y658" i="5"/>
  <c r="X710" i="5"/>
  <c r="Y710" i="5"/>
  <c r="X731" i="5"/>
  <c r="Y731" i="5"/>
  <c r="X732" i="5"/>
  <c r="Y732" i="5"/>
  <c r="X733" i="5"/>
  <c r="Y733" i="5"/>
  <c r="X507" i="5"/>
  <c r="Y507" i="5"/>
  <c r="X525" i="5"/>
  <c r="Y525" i="5"/>
  <c r="Y647" i="5"/>
  <c r="X647" i="5"/>
  <c r="Y741" i="5"/>
  <c r="X741" i="5"/>
  <c r="X772" i="5"/>
  <c r="Y772" i="5"/>
  <c r="Y810" i="5"/>
  <c r="X810" i="5"/>
  <c r="Y833" i="5"/>
  <c r="X833" i="5"/>
  <c r="Y834" i="5"/>
  <c r="X834" i="5"/>
  <c r="X526" i="5"/>
  <c r="Y526" i="5"/>
  <c r="X549" i="5"/>
  <c r="Y549" i="5"/>
  <c r="Y646" i="5"/>
  <c r="X646" i="5"/>
  <c r="X983" i="5"/>
  <c r="Y983" i="5"/>
  <c r="X237" i="5"/>
  <c r="Y237" i="5"/>
  <c r="Y238" i="5"/>
  <c r="X238" i="5"/>
  <c r="X243" i="5"/>
  <c r="Y243" i="5"/>
  <c r="Y244" i="5"/>
  <c r="X244" i="5"/>
  <c r="X264" i="5"/>
  <c r="Y264" i="5"/>
  <c r="Y275" i="5"/>
  <c r="X275" i="5"/>
  <c r="X293" i="5"/>
  <c r="Y293" i="5"/>
  <c r="X305" i="5"/>
  <c r="Y305" i="5"/>
  <c r="Y315" i="5"/>
  <c r="X315" i="5"/>
  <c r="Y316" i="5"/>
  <c r="X316" i="5"/>
  <c r="Y324" i="5"/>
  <c r="X324" i="5"/>
  <c r="X375" i="5"/>
  <c r="Y375" i="5"/>
  <c r="X376" i="5"/>
  <c r="Y376" i="5"/>
  <c r="X378" i="5"/>
  <c r="Y378" i="5"/>
  <c r="X379" i="5"/>
  <c r="Y379" i="5"/>
  <c r="X393" i="5"/>
  <c r="Y393" i="5"/>
  <c r="Y401" i="5"/>
  <c r="X401" i="5"/>
  <c r="X436" i="5"/>
  <c r="Y436" i="5"/>
  <c r="Y451" i="5"/>
  <c r="X451" i="5"/>
  <c r="X470" i="5"/>
  <c r="Y470" i="5"/>
  <c r="X471" i="5"/>
  <c r="Y471" i="5"/>
  <c r="Y574" i="5"/>
  <c r="X574" i="5"/>
  <c r="Y508" i="5"/>
  <c r="X508" i="5"/>
  <c r="Y514" i="5"/>
  <c r="X514" i="5"/>
  <c r="X540" i="5"/>
  <c r="Y540" i="5"/>
  <c r="X653" i="5"/>
  <c r="Y653" i="5"/>
  <c r="Y713" i="5"/>
  <c r="X713" i="5"/>
  <c r="X714" i="5"/>
  <c r="Y714" i="5"/>
  <c r="X715" i="5"/>
  <c r="Y715" i="5"/>
  <c r="X125" i="5"/>
  <c r="Y125" i="5"/>
  <c r="B53" i="2"/>
  <c r="E53" i="2" s="1"/>
  <c r="Y513" i="5"/>
  <c r="X513" i="5"/>
  <c r="C53" i="2"/>
  <c r="Y632" i="5"/>
  <c r="X632" i="5"/>
  <c r="B54" i="2"/>
  <c r="E54" i="2" s="1"/>
  <c r="C54" i="2"/>
  <c r="X756" i="5"/>
  <c r="Y756" i="5"/>
  <c r="Y123" i="5"/>
  <c r="X123" i="5"/>
  <c r="X142" i="5"/>
  <c r="Y142" i="5"/>
  <c r="X499" i="5"/>
  <c r="Y499" i="5"/>
  <c r="X900" i="5"/>
  <c r="Y900" i="5"/>
  <c r="X201" i="5"/>
  <c r="Y201" i="5"/>
  <c r="X203" i="5"/>
  <c r="Y203" i="5"/>
  <c r="X206" i="5"/>
  <c r="Y206" i="5"/>
  <c r="Y228" i="5"/>
  <c r="X228" i="5"/>
  <c r="X241" i="5"/>
  <c r="Y241" i="5"/>
  <c r="Y252" i="5"/>
  <c r="X252" i="5"/>
  <c r="Y262" i="5"/>
  <c r="X262" i="5"/>
  <c r="Y263" i="5"/>
  <c r="X263" i="5"/>
  <c r="X265" i="5"/>
  <c r="Y265" i="5"/>
  <c r="X268" i="5"/>
  <c r="Y268" i="5"/>
  <c r="X278" i="5"/>
  <c r="Y278" i="5"/>
  <c r="X280" i="5"/>
  <c r="Y280" i="5"/>
  <c r="X282" i="5"/>
  <c r="Y282" i="5"/>
  <c r="Y283" i="5"/>
  <c r="X283" i="5"/>
  <c r="X285" i="5"/>
  <c r="Y285" i="5"/>
  <c r="X295" i="5"/>
  <c r="Y295" i="5"/>
  <c r="X299" i="5"/>
  <c r="Y299" i="5"/>
  <c r="X300" i="5"/>
  <c r="Y300" i="5"/>
  <c r="X301" i="5"/>
  <c r="Y301" i="5"/>
  <c r="X304" i="5"/>
  <c r="Y304" i="5"/>
  <c r="Y306" i="5"/>
  <c r="X306" i="5"/>
  <c r="Y309" i="5"/>
  <c r="X309" i="5"/>
  <c r="X318" i="5"/>
  <c r="Y318" i="5"/>
  <c r="X319" i="5"/>
  <c r="Y319" i="5"/>
  <c r="X320" i="5"/>
  <c r="Y320" i="5"/>
  <c r="Y321" i="5"/>
  <c r="X321" i="5"/>
  <c r="Y325" i="5"/>
  <c r="X325" i="5"/>
  <c r="X326" i="5"/>
  <c r="Y326" i="5"/>
  <c r="X329" i="5"/>
  <c r="Y329" i="5"/>
  <c r="X346" i="5"/>
  <c r="Y346" i="5"/>
  <c r="X348" i="5"/>
  <c r="Y348" i="5"/>
  <c r="X349" i="5"/>
  <c r="Y349" i="5"/>
  <c r="B50" i="2"/>
  <c r="E50" i="2" s="1"/>
  <c r="X71" i="5"/>
  <c r="Y71" i="5"/>
  <c r="C50" i="2"/>
  <c r="Y77" i="5"/>
  <c r="X77" i="5"/>
  <c r="Y91" i="5"/>
  <c r="X91" i="5"/>
  <c r="Y92" i="5"/>
  <c r="X92" i="5"/>
  <c r="Y95" i="5"/>
  <c r="X95" i="5"/>
  <c r="B48" i="2"/>
  <c r="E48" i="2" s="1"/>
  <c r="Y102" i="5"/>
  <c r="X102" i="5"/>
  <c r="C48" i="2"/>
  <c r="X108" i="5"/>
  <c r="Y108" i="5"/>
  <c r="X115" i="5"/>
  <c r="Y115" i="5"/>
  <c r="X128" i="5"/>
  <c r="Y128" i="5"/>
  <c r="Y195" i="5"/>
  <c r="X195" i="5"/>
  <c r="Y204" i="5"/>
  <c r="X204" i="5"/>
  <c r="X207" i="5"/>
  <c r="Y207" i="5"/>
  <c r="Y229" i="5"/>
  <c r="X229" i="5"/>
  <c r="X369" i="5"/>
  <c r="Y369" i="5"/>
  <c r="X370" i="5"/>
  <c r="Y370" i="5"/>
  <c r="Y394" i="5"/>
  <c r="X394" i="5"/>
  <c r="X397" i="5"/>
  <c r="Y397" i="5"/>
  <c r="Y452" i="5"/>
  <c r="X452" i="5"/>
  <c r="Y477" i="5"/>
  <c r="X477" i="5"/>
  <c r="X481" i="5"/>
  <c r="Y481" i="5"/>
  <c r="Y568" i="5"/>
  <c r="X568" i="5"/>
  <c r="Y569" i="5"/>
  <c r="X569" i="5"/>
  <c r="X570" i="5"/>
  <c r="Y570" i="5"/>
  <c r="X571" i="5"/>
  <c r="Y571" i="5"/>
  <c r="X572" i="5"/>
  <c r="Y572" i="5"/>
  <c r="Y597" i="5"/>
  <c r="X597" i="5"/>
  <c r="X83" i="5"/>
  <c r="Y83" i="5"/>
  <c r="X109" i="5"/>
  <c r="Y109" i="5"/>
  <c r="Y114" i="5"/>
  <c r="X114" i="5"/>
  <c r="X118" i="5"/>
  <c r="Y118" i="5"/>
  <c r="X136" i="5"/>
  <c r="Y136" i="5"/>
  <c r="X145" i="5"/>
  <c r="Y145" i="5"/>
  <c r="X146" i="5"/>
  <c r="Y146" i="5"/>
  <c r="X485" i="5"/>
  <c r="Y485" i="5"/>
  <c r="X506" i="5"/>
  <c r="Y506" i="5"/>
  <c r="X518" i="5"/>
  <c r="Y518" i="5"/>
  <c r="Y643" i="5"/>
  <c r="X643" i="5"/>
  <c r="Y651" i="5"/>
  <c r="X651" i="5"/>
  <c r="Y654" i="5"/>
  <c r="X654" i="5"/>
  <c r="Y693" i="5"/>
  <c r="X693" i="5"/>
  <c r="X697" i="5"/>
  <c r="Y697" i="5"/>
  <c r="Y698" i="5"/>
  <c r="X698" i="5"/>
  <c r="Y711" i="5"/>
  <c r="X711" i="5"/>
  <c r="Y712" i="5"/>
  <c r="X712" i="5"/>
  <c r="Y718" i="5"/>
  <c r="X718" i="5"/>
  <c r="Y719" i="5"/>
  <c r="X719" i="5"/>
  <c r="Y720" i="5"/>
  <c r="X720" i="5"/>
  <c r="X721" i="5"/>
  <c r="Y721" i="5"/>
  <c r="X52" i="5"/>
  <c r="Y52" i="5"/>
  <c r="Y55" i="5"/>
  <c r="X55" i="5"/>
  <c r="Y628" i="5"/>
  <c r="X628" i="5"/>
  <c r="X650" i="5"/>
  <c r="Y650" i="5"/>
  <c r="X800" i="5"/>
  <c r="Y800" i="5"/>
  <c r="Y805" i="5"/>
  <c r="X805" i="5"/>
  <c r="X806" i="5"/>
  <c r="Y806" i="5"/>
  <c r="X814" i="5"/>
  <c r="Y814" i="5"/>
  <c r="X815" i="5"/>
  <c r="Y815" i="5"/>
  <c r="X832" i="5"/>
  <c r="Y832" i="5"/>
  <c r="X627" i="5"/>
  <c r="Y627" i="5"/>
  <c r="Y407" i="5"/>
  <c r="X407" i="5"/>
  <c r="Y454" i="5"/>
  <c r="X454" i="5"/>
  <c r="Y455" i="5"/>
  <c r="X455" i="5"/>
  <c r="X622" i="5"/>
  <c r="Y622" i="5"/>
  <c r="Y699" i="5"/>
  <c r="X699" i="5"/>
  <c r="X700" i="5"/>
  <c r="Y700" i="5"/>
  <c r="Y706" i="5"/>
  <c r="X706" i="5"/>
  <c r="X707" i="5"/>
  <c r="Y707" i="5"/>
  <c r="Y708" i="5"/>
  <c r="X708" i="5"/>
  <c r="X726" i="5"/>
  <c r="Y726" i="5"/>
  <c r="X504" i="5"/>
  <c r="Y504" i="5"/>
  <c r="Y554" i="5"/>
  <c r="X554" i="5"/>
  <c r="Y560" i="5"/>
  <c r="X560" i="5"/>
  <c r="X639" i="5"/>
  <c r="Y639" i="5"/>
  <c r="Y742" i="5"/>
  <c r="X742" i="5"/>
  <c r="X743" i="5"/>
  <c r="Y743" i="5"/>
  <c r="Y744" i="5"/>
  <c r="X744" i="5"/>
  <c r="X745" i="5"/>
  <c r="Y745" i="5"/>
  <c r="X746" i="5"/>
  <c r="Y746" i="5"/>
  <c r="X747" i="5"/>
  <c r="Y747" i="5"/>
  <c r="Y748" i="5"/>
  <c r="X748" i="5"/>
  <c r="X749" i="5"/>
  <c r="Y749" i="5"/>
  <c r="Y750" i="5"/>
  <c r="X750" i="5"/>
  <c r="Y751" i="5"/>
  <c r="X751" i="5"/>
  <c r="Y752" i="5"/>
  <c r="X752" i="5"/>
  <c r="Y753" i="5"/>
  <c r="X753" i="5"/>
  <c r="X754" i="5"/>
  <c r="Y754" i="5"/>
  <c r="Y830" i="5"/>
  <c r="X830" i="5"/>
  <c r="X502" i="5"/>
  <c r="Y502" i="5"/>
  <c r="Y555" i="5"/>
  <c r="X555" i="5"/>
  <c r="X559" i="5"/>
  <c r="Y559" i="5"/>
  <c r="X618" i="5"/>
  <c r="Y618" i="5"/>
  <c r="X624" i="5"/>
  <c r="Y624" i="5"/>
  <c r="Y631" i="5"/>
  <c r="X631" i="5"/>
  <c r="Y963" i="5"/>
  <c r="X963" i="5"/>
  <c r="X964" i="5"/>
  <c r="Y964" i="5"/>
  <c r="Y965" i="5"/>
  <c r="X965" i="5"/>
  <c r="Y970" i="5"/>
  <c r="X970" i="5"/>
  <c r="X971" i="5"/>
  <c r="Y971" i="5"/>
  <c r="Y972" i="5"/>
  <c r="X972" i="5"/>
  <c r="Y982" i="5"/>
  <c r="X982" i="5"/>
  <c r="Y271" i="5"/>
  <c r="X271" i="5"/>
  <c r="Y290" i="5"/>
  <c r="X290" i="5"/>
  <c r="X291" i="5"/>
  <c r="Y291" i="5"/>
  <c r="Y296" i="5"/>
  <c r="X296" i="5"/>
  <c r="Y323" i="5"/>
  <c r="X323" i="5"/>
  <c r="Y327" i="5"/>
  <c r="X327" i="5"/>
  <c r="Y331" i="5"/>
  <c r="X331" i="5"/>
  <c r="Y333" i="5"/>
  <c r="X333" i="5"/>
  <c r="X368" i="5"/>
  <c r="Y368" i="5"/>
  <c r="Y371" i="5"/>
  <c r="X371" i="5"/>
  <c r="X377" i="5"/>
  <c r="Y377" i="5"/>
  <c r="X384" i="5"/>
  <c r="Y384" i="5"/>
  <c r="X385" i="5"/>
  <c r="Y385" i="5"/>
  <c r="Y386" i="5"/>
  <c r="X386" i="5"/>
  <c r="X387" i="5"/>
  <c r="Y387" i="5"/>
  <c r="X388" i="5"/>
  <c r="Y388" i="5"/>
  <c r="X408" i="5"/>
  <c r="Y408" i="5"/>
  <c r="Y409" i="5"/>
  <c r="X409" i="5"/>
  <c r="X410" i="5"/>
  <c r="Y410" i="5"/>
  <c r="Y439" i="5"/>
  <c r="X439" i="5"/>
  <c r="X456" i="5"/>
  <c r="Y456" i="5"/>
  <c r="X457" i="5"/>
  <c r="Y457" i="5"/>
  <c r="Y458" i="5"/>
  <c r="X458" i="5"/>
  <c r="Y459" i="5"/>
  <c r="X459" i="5"/>
  <c r="X460" i="5"/>
  <c r="Y460" i="5"/>
  <c r="X461" i="5"/>
  <c r="Y461" i="5"/>
  <c r="X462" i="5"/>
  <c r="Y462" i="5"/>
  <c r="X463" i="5"/>
  <c r="Y463" i="5"/>
  <c r="X464" i="5"/>
  <c r="Y464" i="5"/>
  <c r="X465" i="5"/>
  <c r="Y465" i="5"/>
  <c r="X466" i="5"/>
  <c r="Y466" i="5"/>
  <c r="Y467" i="5"/>
  <c r="X467" i="5"/>
  <c r="X468" i="5"/>
  <c r="Y468" i="5"/>
  <c r="X469" i="5"/>
  <c r="Y469" i="5"/>
  <c r="X482" i="5"/>
  <c r="Y482" i="5"/>
  <c r="Y483" i="5"/>
  <c r="X483" i="5"/>
  <c r="Y562" i="5"/>
  <c r="X562" i="5"/>
  <c r="X598" i="5"/>
  <c r="Y598" i="5"/>
  <c r="X500" i="5"/>
  <c r="Y500" i="5"/>
  <c r="X523" i="5"/>
  <c r="Y523" i="5"/>
  <c r="Y557" i="5"/>
  <c r="X557" i="5"/>
  <c r="Y633" i="5"/>
  <c r="X633" i="5"/>
  <c r="X634" i="5"/>
  <c r="Y634" i="5"/>
  <c r="X640" i="5"/>
  <c r="Y640" i="5"/>
  <c r="Y701" i="5"/>
  <c r="X701" i="5"/>
  <c r="X702" i="5"/>
  <c r="Y702" i="5"/>
  <c r="X703" i="5"/>
  <c r="Y703" i="5"/>
  <c r="X709" i="5"/>
  <c r="Y709" i="5"/>
  <c r="X723" i="5"/>
  <c r="Y723" i="5"/>
  <c r="Y724" i="5"/>
  <c r="X724" i="5"/>
  <c r="X725" i="5"/>
  <c r="Y725" i="5"/>
  <c r="X505" i="5"/>
  <c r="Y505" i="5"/>
  <c r="X556" i="5"/>
  <c r="Y556" i="5"/>
  <c r="X558" i="5"/>
  <c r="Y558" i="5"/>
  <c r="Y561" i="5"/>
  <c r="X561" i="5"/>
  <c r="Y619" i="5"/>
  <c r="X619" i="5"/>
  <c r="Y623" i="5"/>
  <c r="X623" i="5"/>
  <c r="Y625" i="5"/>
  <c r="X625" i="5"/>
  <c r="X635" i="5"/>
  <c r="Y635" i="5"/>
  <c r="X637" i="5"/>
  <c r="Y637" i="5"/>
  <c r="X642" i="5"/>
  <c r="Y642" i="5"/>
  <c r="X644" i="5"/>
  <c r="Y644" i="5"/>
  <c r="Y667" i="5"/>
  <c r="X667" i="5"/>
  <c r="Y755" i="5"/>
  <c r="X755" i="5"/>
  <c r="X769" i="5"/>
  <c r="Y769" i="5"/>
  <c r="Y770" i="5"/>
  <c r="X770" i="5"/>
  <c r="Y790" i="5"/>
  <c r="X790" i="5"/>
  <c r="X793" i="5"/>
  <c r="Y793" i="5"/>
  <c r="X801" i="5"/>
  <c r="Y801" i="5"/>
  <c r="X802" i="5"/>
  <c r="Y802" i="5"/>
  <c r="Y803" i="5"/>
  <c r="X803" i="5"/>
  <c r="Y821" i="5"/>
  <c r="X821" i="5"/>
  <c r="X831" i="5"/>
  <c r="Y831" i="5"/>
  <c r="Y855" i="5"/>
  <c r="X855" i="5"/>
  <c r="Y856" i="5"/>
  <c r="X856" i="5"/>
  <c r="Y858" i="5"/>
  <c r="X858" i="5"/>
  <c r="X860" i="5"/>
  <c r="Y860" i="5"/>
  <c r="Y510" i="5"/>
  <c r="X510" i="5"/>
  <c r="X626" i="5"/>
  <c r="Y626" i="5"/>
  <c r="Y641" i="5"/>
  <c r="X641" i="5"/>
  <c r="X645" i="5"/>
  <c r="Y645" i="5"/>
  <c r="Y911" i="5"/>
  <c r="X911" i="5"/>
  <c r="Y912" i="5"/>
  <c r="X912" i="5"/>
  <c r="Y918" i="5"/>
  <c r="X918" i="5"/>
  <c r="Y966" i="5"/>
  <c r="X966" i="5"/>
  <c r="Y973" i="5"/>
  <c r="X973" i="5"/>
  <c r="Y974" i="5"/>
  <c r="X974" i="5"/>
  <c r="X975" i="5"/>
  <c r="Y975" i="5"/>
  <c r="X976" i="5"/>
  <c r="Y976" i="5"/>
  <c r="X977" i="5"/>
  <c r="Y977" i="5"/>
  <c r="Y980" i="5"/>
  <c r="X980" i="5"/>
  <c r="Y175" i="5"/>
  <c r="X175" i="5"/>
  <c r="X176" i="5"/>
  <c r="Y176" i="5"/>
  <c r="Y178" i="5"/>
  <c r="X178" i="5"/>
  <c r="X179" i="5"/>
  <c r="Y179" i="5"/>
  <c r="Y181" i="5"/>
  <c r="X181" i="5"/>
  <c r="Y182" i="5"/>
  <c r="X182" i="5"/>
  <c r="Y183" i="5"/>
  <c r="X183" i="5"/>
  <c r="X185" i="5"/>
  <c r="Y185" i="5"/>
  <c r="Y186" i="5"/>
  <c r="X186" i="5"/>
  <c r="X187" i="5"/>
  <c r="Y187" i="5"/>
  <c r="Y286" i="5"/>
  <c r="X286" i="5"/>
  <c r="Y292" i="5"/>
  <c r="X292" i="5"/>
  <c r="Y297" i="5"/>
  <c r="X297" i="5"/>
  <c r="X335" i="5"/>
  <c r="Y335" i="5"/>
  <c r="X153" i="5"/>
  <c r="Y153" i="5"/>
  <c r="Y173" i="5"/>
  <c r="X173" i="5"/>
  <c r="Y174" i="5"/>
  <c r="X174" i="5"/>
  <c r="X177" i="5"/>
  <c r="Y177" i="5"/>
  <c r="X180" i="5"/>
  <c r="Y180" i="5"/>
  <c r="X184" i="5"/>
  <c r="Y184" i="5"/>
  <c r="Y188" i="5"/>
  <c r="X188" i="5"/>
  <c r="X380" i="5"/>
  <c r="Y380" i="5"/>
  <c r="Y391" i="5"/>
  <c r="X391" i="5"/>
  <c r="Y398" i="5"/>
  <c r="X398" i="5"/>
  <c r="Y415" i="5"/>
  <c r="X415" i="5"/>
  <c r="Y416" i="5"/>
  <c r="X416" i="5"/>
  <c r="X440" i="5"/>
  <c r="Y440" i="5"/>
  <c r="Y441" i="5"/>
  <c r="X441" i="5"/>
  <c r="X442" i="5"/>
  <c r="Y442" i="5"/>
  <c r="Y443" i="5"/>
  <c r="X443" i="5"/>
  <c r="Y445" i="5"/>
  <c r="X445" i="5"/>
  <c r="X446" i="5"/>
  <c r="Y446" i="5"/>
  <c r="Y447" i="5"/>
  <c r="X447" i="5"/>
  <c r="Y448" i="5"/>
  <c r="X448" i="5"/>
  <c r="X599" i="5"/>
  <c r="Y599" i="5"/>
  <c r="X601" i="5"/>
  <c r="Y601" i="5"/>
  <c r="X602" i="5"/>
  <c r="Y602" i="5"/>
  <c r="X603" i="5"/>
  <c r="Y603" i="5"/>
  <c r="Y604" i="5"/>
  <c r="X604" i="5"/>
  <c r="X605" i="5"/>
  <c r="Y605" i="5"/>
  <c r="Y606" i="5"/>
  <c r="X606" i="5"/>
  <c r="Y607" i="5"/>
  <c r="X607" i="5"/>
  <c r="X117" i="5"/>
  <c r="Y117" i="5"/>
  <c r="X489" i="5"/>
  <c r="Y489" i="5"/>
  <c r="Y543" i="5"/>
  <c r="X543" i="5"/>
  <c r="X546" i="5"/>
  <c r="Y546" i="5"/>
  <c r="Y551" i="5"/>
  <c r="X551" i="5"/>
  <c r="X621" i="5"/>
  <c r="Y621" i="5"/>
  <c r="X630" i="5"/>
  <c r="Y630" i="5"/>
  <c r="Y655" i="5"/>
  <c r="X655" i="5"/>
  <c r="X694" i="5"/>
  <c r="Y694" i="5"/>
  <c r="Y695" i="5"/>
  <c r="X695" i="5"/>
  <c r="Y696" i="5"/>
  <c r="X696" i="5"/>
  <c r="Y704" i="5"/>
  <c r="X704" i="5"/>
  <c r="X705" i="5"/>
  <c r="Y705" i="5"/>
  <c r="X734" i="5"/>
  <c r="Y734" i="5"/>
  <c r="Y735" i="5"/>
  <c r="X735" i="5"/>
  <c r="X65" i="5"/>
  <c r="Y65" i="5"/>
  <c r="Y491" i="5"/>
  <c r="X491" i="5"/>
  <c r="X527" i="5"/>
  <c r="Y527" i="5"/>
  <c r="X547" i="5"/>
  <c r="Y547" i="5"/>
  <c r="Y548" i="5"/>
  <c r="X548" i="5"/>
  <c r="Y736" i="5"/>
  <c r="X736" i="5"/>
  <c r="Y737" i="5"/>
  <c r="X737" i="5"/>
  <c r="X738" i="5"/>
  <c r="Y738" i="5"/>
  <c r="Y739" i="5"/>
  <c r="X739" i="5"/>
  <c r="X740" i="5"/>
  <c r="Y740" i="5"/>
  <c r="Y786" i="5"/>
  <c r="X786" i="5"/>
  <c r="Y787" i="5"/>
  <c r="X787" i="5"/>
  <c r="Y791" i="5"/>
  <c r="X791" i="5"/>
  <c r="Y792" i="5"/>
  <c r="X792" i="5"/>
  <c r="X794" i="5"/>
  <c r="Y794" i="5"/>
  <c r="X795" i="5"/>
  <c r="Y795" i="5"/>
  <c r="X796" i="5"/>
  <c r="Y796" i="5"/>
  <c r="X797" i="5"/>
  <c r="Y797" i="5"/>
  <c r="X798" i="5"/>
  <c r="Y798" i="5"/>
  <c r="X799" i="5"/>
  <c r="Y799" i="5"/>
  <c r="Y816" i="5"/>
  <c r="X816" i="5"/>
  <c r="X817" i="5"/>
  <c r="Y817" i="5"/>
  <c r="Y847" i="5"/>
  <c r="X847" i="5"/>
  <c r="Y850" i="5"/>
  <c r="X850" i="5"/>
  <c r="Y851" i="5"/>
  <c r="X851" i="5"/>
  <c r="Y852" i="5"/>
  <c r="X852" i="5"/>
  <c r="X859" i="5"/>
  <c r="Y859" i="5"/>
  <c r="Y154" i="5"/>
  <c r="C52" i="2"/>
  <c r="X154" i="5"/>
  <c r="B52" i="2"/>
  <c r="E52" i="2" s="1"/>
  <c r="Y155" i="5"/>
  <c r="X155" i="5"/>
  <c r="Y490" i="5"/>
  <c r="X490" i="5"/>
  <c r="Y542" i="5"/>
  <c r="X542" i="5"/>
  <c r="X545" i="5"/>
  <c r="Y545" i="5"/>
  <c r="Y620" i="5"/>
  <c r="X620" i="5"/>
  <c r="X629" i="5"/>
  <c r="C49" i="2"/>
  <c r="B49" i="2"/>
  <c r="E49" i="2" s="1"/>
  <c r="Y629" i="5"/>
  <c r="X902" i="5"/>
  <c r="Y902" i="5"/>
  <c r="Y905" i="5"/>
  <c r="X905" i="5"/>
  <c r="X906" i="5"/>
  <c r="Y906" i="5"/>
  <c r="X907" i="5"/>
  <c r="Y907" i="5"/>
  <c r="X913" i="5"/>
  <c r="Y913" i="5"/>
  <c r="X949" i="5"/>
  <c r="Y949" i="5"/>
  <c r="Y950" i="5"/>
  <c r="X950" i="5"/>
  <c r="X951" i="5"/>
  <c r="Y951" i="5"/>
  <c r="X952" i="5"/>
  <c r="Y952" i="5"/>
  <c r="X953" i="5"/>
  <c r="Y953" i="5"/>
  <c r="Y954" i="5"/>
  <c r="X954" i="5"/>
  <c r="Y955" i="5"/>
  <c r="X955" i="5"/>
  <c r="Y956" i="5"/>
  <c r="X956" i="5"/>
  <c r="Y957" i="5"/>
  <c r="X957" i="5"/>
  <c r="Y958" i="5"/>
  <c r="X958" i="5"/>
  <c r="Y959" i="5"/>
  <c r="X959" i="5"/>
  <c r="X960" i="5"/>
  <c r="Y960" i="5"/>
  <c r="Y961" i="5"/>
  <c r="X961" i="5"/>
  <c r="Y962" i="5"/>
  <c r="X962" i="5"/>
  <c r="Y63" i="5"/>
  <c r="X63" i="5"/>
  <c r="C55" i="2"/>
  <c r="B55" i="2"/>
  <c r="E55" i="2" s="1"/>
  <c r="X76" i="5"/>
  <c r="Y76" i="5"/>
  <c r="X98" i="5"/>
  <c r="Y98" i="5"/>
  <c r="Y100" i="5"/>
  <c r="X100" i="5"/>
  <c r="Y126" i="5"/>
  <c r="X126" i="5"/>
  <c r="X157" i="5"/>
  <c r="Y157" i="5"/>
  <c r="Y199" i="5"/>
  <c r="X199" i="5"/>
  <c r="X211" i="5"/>
  <c r="Y211" i="5"/>
  <c r="X212" i="5"/>
  <c r="Y212" i="5"/>
  <c r="Y214" i="5"/>
  <c r="X214" i="5"/>
  <c r="Y215" i="5"/>
  <c r="X215" i="5"/>
  <c r="X217" i="5"/>
  <c r="Y217" i="5"/>
  <c r="X222" i="5"/>
  <c r="Y222" i="5"/>
  <c r="Y223" i="5"/>
  <c r="X223" i="5"/>
  <c r="X242" i="5"/>
  <c r="Y242" i="5"/>
  <c r="X246" i="5"/>
  <c r="Y246" i="5"/>
  <c r="X247" i="5"/>
  <c r="Y247" i="5"/>
  <c r="X256" i="5"/>
  <c r="Y256" i="5"/>
  <c r="X257" i="5"/>
  <c r="Y257" i="5"/>
  <c r="X258" i="5"/>
  <c r="Y258" i="5"/>
  <c r="Y259" i="5"/>
  <c r="X259" i="5"/>
  <c r="Y260" i="5"/>
  <c r="X260" i="5"/>
  <c r="X261" i="5"/>
  <c r="Y261" i="5"/>
  <c r="X272" i="5"/>
  <c r="Y272" i="5"/>
  <c r="Y274" i="5"/>
  <c r="X274" i="5"/>
  <c r="X279" i="5"/>
  <c r="Y279" i="5"/>
  <c r="X298" i="5"/>
  <c r="Y298" i="5"/>
  <c r="X313" i="5"/>
  <c r="Y313" i="5"/>
  <c r="X332" i="5"/>
  <c r="Y332" i="5"/>
  <c r="X334" i="5"/>
  <c r="Y334" i="5"/>
  <c r="X347" i="5"/>
  <c r="Y347" i="5"/>
  <c r="X350" i="5"/>
  <c r="Y350" i="5"/>
  <c r="Y351" i="5"/>
  <c r="X351" i="5"/>
  <c r="X352" i="5"/>
  <c r="Y352" i="5"/>
  <c r="X353" i="5"/>
  <c r="Y353" i="5"/>
  <c r="Y354" i="5"/>
  <c r="X354" i="5"/>
  <c r="Y355" i="5"/>
  <c r="X355" i="5"/>
  <c r="X356" i="5"/>
  <c r="Y356" i="5"/>
  <c r="Y357" i="5"/>
  <c r="X357" i="5"/>
  <c r="X358" i="5"/>
  <c r="Y358" i="5"/>
  <c r="Y359" i="5"/>
  <c r="X359" i="5"/>
  <c r="X31" i="5"/>
  <c r="Y31" i="5"/>
  <c r="X32" i="5"/>
  <c r="Y32" i="5"/>
  <c r="X33" i="5"/>
  <c r="Y33" i="5"/>
  <c r="X46" i="5"/>
  <c r="Y46" i="5"/>
  <c r="X99" i="5"/>
  <c r="Y99" i="5"/>
  <c r="Y111" i="5"/>
  <c r="X111" i="5"/>
  <c r="C45" i="2"/>
  <c r="B45" i="2"/>
  <c r="E45" i="2" s="1"/>
  <c r="X121" i="5"/>
  <c r="Y121" i="5"/>
  <c r="X198" i="5"/>
  <c r="Y198" i="5"/>
  <c r="Y210" i="5"/>
  <c r="X210" i="5"/>
  <c r="X213" i="5"/>
  <c r="Y213" i="5"/>
  <c r="X216" i="5"/>
  <c r="Y216" i="5"/>
  <c r="X218" i="5"/>
  <c r="Y218" i="5"/>
  <c r="X220" i="5"/>
  <c r="Y220" i="5"/>
  <c r="X231" i="5"/>
  <c r="Y231" i="5"/>
  <c r="X360" i="5"/>
  <c r="Y360" i="5"/>
  <c r="X361" i="5"/>
  <c r="Y361" i="5"/>
  <c r="Y362" i="5"/>
  <c r="X362" i="5"/>
  <c r="X363" i="5"/>
  <c r="Y363" i="5"/>
  <c r="X364" i="5"/>
  <c r="Y364" i="5"/>
  <c r="Y365" i="5"/>
  <c r="X365" i="5"/>
  <c r="Y366" i="5"/>
  <c r="X366" i="5"/>
  <c r="Y367" i="5"/>
  <c r="X367" i="5"/>
  <c r="Y381" i="5"/>
  <c r="X381" i="5"/>
  <c r="Y382" i="5"/>
  <c r="X382" i="5"/>
  <c r="Y383" i="5"/>
  <c r="X383" i="5"/>
  <c r="X389" i="5"/>
  <c r="Y389" i="5"/>
  <c r="Y390" i="5"/>
  <c r="X390" i="5"/>
  <c r="Y412" i="5"/>
  <c r="X412" i="5"/>
  <c r="Y413" i="5"/>
  <c r="X413" i="5"/>
  <c r="X414" i="5"/>
  <c r="Y414" i="5"/>
  <c r="X417" i="5"/>
  <c r="Y417" i="5"/>
  <c r="X419" i="5"/>
  <c r="Y419" i="5"/>
  <c r="X420" i="5"/>
  <c r="Y420" i="5"/>
  <c r="Y421" i="5"/>
  <c r="X421" i="5"/>
  <c r="Y422" i="5"/>
  <c r="X422" i="5"/>
  <c r="X423" i="5"/>
  <c r="Y423" i="5"/>
  <c r="X424" i="5"/>
  <c r="Y424" i="5"/>
  <c r="X425" i="5"/>
  <c r="Y425" i="5"/>
  <c r="Y426" i="5"/>
  <c r="X426" i="5"/>
  <c r="X427" i="5"/>
  <c r="Y427" i="5"/>
  <c r="X428" i="5"/>
  <c r="Y428" i="5"/>
  <c r="X429" i="5"/>
  <c r="Y429" i="5"/>
  <c r="Y430" i="5"/>
  <c r="X430" i="5"/>
  <c r="X431" i="5"/>
  <c r="Y431" i="5"/>
  <c r="X432" i="5"/>
  <c r="Y432" i="5"/>
  <c r="Y433" i="5"/>
  <c r="X433" i="5"/>
  <c r="Y434" i="5"/>
  <c r="X434" i="5"/>
  <c r="Y435" i="5"/>
  <c r="X435" i="5"/>
  <c r="X438" i="5"/>
  <c r="Y438" i="5"/>
  <c r="Y444" i="5"/>
  <c r="X444" i="5"/>
  <c r="Y449" i="5"/>
  <c r="X449" i="5"/>
  <c r="Y472" i="5"/>
  <c r="X472" i="5"/>
  <c r="X473" i="5"/>
  <c r="Y473" i="5"/>
  <c r="X476" i="5"/>
  <c r="Y476" i="5"/>
  <c r="Y575" i="5"/>
  <c r="X575" i="5"/>
  <c r="Y576" i="5"/>
  <c r="X576" i="5"/>
  <c r="X578" i="5"/>
  <c r="Y578" i="5"/>
  <c r="Y579" i="5"/>
  <c r="X579" i="5"/>
  <c r="Y580" i="5"/>
  <c r="X580" i="5"/>
  <c r="Y581" i="5"/>
  <c r="X581" i="5"/>
  <c r="Y582" i="5"/>
  <c r="X582" i="5"/>
  <c r="Y583" i="5"/>
  <c r="X583" i="5"/>
  <c r="X584" i="5"/>
  <c r="Y584" i="5"/>
  <c r="Y585" i="5"/>
  <c r="X585" i="5"/>
  <c r="Y586" i="5"/>
  <c r="X586" i="5"/>
  <c r="Y587" i="5"/>
  <c r="X587" i="5"/>
  <c r="X588" i="5"/>
  <c r="Y588" i="5"/>
  <c r="Y589" i="5"/>
  <c r="X589" i="5"/>
  <c r="Y590" i="5"/>
  <c r="X590" i="5"/>
  <c r="Y591" i="5"/>
  <c r="X591" i="5"/>
  <c r="X592" i="5"/>
  <c r="Y592" i="5"/>
  <c r="X593" i="5"/>
  <c r="Y593" i="5"/>
  <c r="Y594" i="5"/>
  <c r="X594" i="5"/>
  <c r="Y595" i="5"/>
  <c r="X595" i="5"/>
  <c r="Y596" i="5"/>
  <c r="X596" i="5"/>
  <c r="X608" i="5"/>
  <c r="Y608" i="5"/>
  <c r="X609" i="5"/>
  <c r="Y609" i="5"/>
  <c r="Y64" i="5"/>
  <c r="X64" i="5"/>
  <c r="X486" i="5"/>
  <c r="Y486" i="5"/>
  <c r="X497" i="5"/>
  <c r="Y497" i="5"/>
  <c r="Y515" i="5"/>
  <c r="X515" i="5"/>
  <c r="X516" i="5"/>
  <c r="Y516" i="5"/>
  <c r="Y519" i="5"/>
  <c r="X519" i="5"/>
  <c r="X535" i="5"/>
  <c r="Y535" i="5"/>
  <c r="X615" i="5"/>
  <c r="Y615" i="5"/>
  <c r="Y648" i="5"/>
  <c r="X648" i="5"/>
  <c r="Y666" i="5"/>
  <c r="X666" i="5"/>
  <c r="X668" i="5"/>
  <c r="Y668" i="5"/>
  <c r="Y669" i="5"/>
  <c r="X669" i="5"/>
  <c r="X673" i="5"/>
  <c r="Y673" i="5"/>
  <c r="X674" i="5"/>
  <c r="Y674" i="5"/>
  <c r="X676" i="5"/>
  <c r="Y676" i="5"/>
  <c r="X678" i="5"/>
  <c r="Y678" i="5"/>
  <c r="X679" i="5"/>
  <c r="Y679" i="5"/>
  <c r="Y680" i="5"/>
  <c r="X680" i="5"/>
  <c r="X681" i="5"/>
  <c r="Y681" i="5"/>
  <c r="Y682" i="5"/>
  <c r="X682" i="5"/>
  <c r="Y683" i="5"/>
  <c r="X683" i="5"/>
  <c r="Y684" i="5"/>
  <c r="X684" i="5"/>
  <c r="Y685" i="5"/>
  <c r="X685" i="5"/>
  <c r="Y686" i="5"/>
  <c r="X686" i="5"/>
  <c r="Y687" i="5"/>
  <c r="X687" i="5"/>
  <c r="B37" i="2"/>
  <c r="E37" i="2" s="1"/>
  <c r="Y688" i="5"/>
  <c r="X688" i="5"/>
  <c r="C37" i="2"/>
  <c r="Y689" i="5"/>
  <c r="X689" i="5"/>
  <c r="Y690" i="5"/>
  <c r="X690" i="5"/>
  <c r="Y691" i="5"/>
  <c r="X691" i="5"/>
  <c r="Y692" i="5"/>
  <c r="X692" i="5"/>
  <c r="Y722" i="5"/>
  <c r="X722" i="5"/>
  <c r="Y727" i="5"/>
  <c r="X727" i="5"/>
  <c r="Y728" i="5"/>
  <c r="X728" i="5"/>
  <c r="X729" i="5"/>
  <c r="Y729" i="5"/>
  <c r="Y730" i="5"/>
  <c r="X730" i="5"/>
  <c r="X27" i="5"/>
  <c r="Y27" i="5"/>
  <c r="X66" i="5"/>
  <c r="Y66" i="5"/>
  <c r="B34" i="2"/>
  <c r="E34" i="2" s="1"/>
  <c r="C34" i="2"/>
  <c r="Y134" i="5"/>
  <c r="X134" i="5"/>
  <c r="X135" i="5"/>
  <c r="B56" i="2"/>
  <c r="E56" i="2" s="1"/>
  <c r="C56" i="2"/>
  <c r="Y135" i="5"/>
  <c r="Y141" i="5"/>
  <c r="X141" i="5"/>
  <c r="B43" i="2"/>
  <c r="E43" i="2" s="1"/>
  <c r="X149" i="5"/>
  <c r="Y149" i="5"/>
  <c r="C43" i="2"/>
  <c r="X488" i="5"/>
  <c r="Y488" i="5"/>
  <c r="X495" i="5"/>
  <c r="Y495" i="5"/>
  <c r="Y520" i="5"/>
  <c r="X520" i="5"/>
  <c r="Y528" i="5"/>
  <c r="X528" i="5"/>
  <c r="Y532" i="5"/>
  <c r="X532" i="5"/>
  <c r="X534" i="5"/>
  <c r="Y534" i="5"/>
  <c r="Y536" i="5"/>
  <c r="X536" i="5"/>
  <c r="X538" i="5"/>
  <c r="Y538" i="5"/>
  <c r="Y612" i="5"/>
  <c r="X612" i="5"/>
  <c r="Y614" i="5"/>
  <c r="X614" i="5"/>
  <c r="Y638" i="5"/>
  <c r="X638" i="5"/>
  <c r="X649" i="5"/>
  <c r="Y649" i="5"/>
  <c r="X665" i="5"/>
  <c r="Y665" i="5"/>
  <c r="Y670" i="5"/>
  <c r="X670" i="5"/>
  <c r="X671" i="5"/>
  <c r="Y671" i="5"/>
  <c r="Y672" i="5"/>
  <c r="X672" i="5"/>
  <c r="Y675" i="5"/>
  <c r="X675" i="5"/>
  <c r="Y677" i="5"/>
  <c r="X677" i="5"/>
  <c r="X771" i="5"/>
  <c r="Y771" i="5"/>
  <c r="Y773" i="5"/>
  <c r="X773" i="5"/>
  <c r="Y774" i="5"/>
  <c r="X774" i="5"/>
  <c r="X775" i="5"/>
  <c r="Y775" i="5"/>
  <c r="X776" i="5"/>
  <c r="Y776" i="5"/>
  <c r="Y777" i="5"/>
  <c r="X777" i="5"/>
  <c r="Y778" i="5"/>
  <c r="X778" i="5"/>
  <c r="X779" i="5"/>
  <c r="Y779" i="5"/>
  <c r="Y780" i="5"/>
  <c r="X780" i="5"/>
  <c r="X781" i="5"/>
  <c r="Y781" i="5"/>
  <c r="X782" i="5"/>
  <c r="Y782" i="5"/>
  <c r="X783" i="5"/>
  <c r="Y783" i="5"/>
  <c r="X784" i="5"/>
  <c r="Y784" i="5"/>
  <c r="X788" i="5"/>
  <c r="Y788" i="5"/>
  <c r="X789" i="5"/>
  <c r="Y789" i="5"/>
  <c r="Y804" i="5"/>
  <c r="X804" i="5"/>
  <c r="Y811" i="5"/>
  <c r="X811" i="5"/>
  <c r="Y812" i="5"/>
  <c r="X812" i="5"/>
  <c r="Y813" i="5"/>
  <c r="X813" i="5"/>
  <c r="Y822" i="5"/>
  <c r="X822" i="5"/>
  <c r="Y823" i="5"/>
  <c r="X823" i="5"/>
  <c r="X824" i="5"/>
  <c r="Y824" i="5"/>
  <c r="X825" i="5"/>
  <c r="Y825" i="5"/>
  <c r="X826" i="5"/>
  <c r="Y826" i="5"/>
  <c r="X827" i="5"/>
  <c r="Y827" i="5"/>
  <c r="X840" i="5"/>
  <c r="Y840" i="5"/>
  <c r="Y841" i="5"/>
  <c r="X841" i="5"/>
  <c r="Y842" i="5"/>
  <c r="X842" i="5"/>
  <c r="Y843" i="5"/>
  <c r="X843" i="5"/>
  <c r="X844" i="5"/>
  <c r="Y844" i="5"/>
  <c r="Y845" i="5"/>
  <c r="X845" i="5"/>
  <c r="Y846" i="5"/>
  <c r="X846" i="5"/>
  <c r="Y848" i="5"/>
  <c r="X848" i="5"/>
  <c r="X849" i="5"/>
  <c r="Y849" i="5"/>
  <c r="X78" i="5"/>
  <c r="Y78" i="5"/>
  <c r="Y487" i="5"/>
  <c r="X487" i="5"/>
  <c r="X493" i="5"/>
  <c r="Y493" i="5"/>
  <c r="X494" i="5"/>
  <c r="Y494" i="5"/>
  <c r="X496" i="5"/>
  <c r="Y496" i="5"/>
  <c r="Y517" i="5"/>
  <c r="X517" i="5"/>
  <c r="X521" i="5"/>
  <c r="Y521" i="5"/>
  <c r="Y529" i="5"/>
  <c r="X529" i="5"/>
  <c r="X530" i="5"/>
  <c r="Y530" i="5"/>
  <c r="X531" i="5"/>
  <c r="Y531" i="5"/>
  <c r="Y537" i="5"/>
  <c r="X537" i="5"/>
  <c r="Y539" i="5"/>
  <c r="X539" i="5"/>
  <c r="Y611" i="5"/>
  <c r="X611" i="5"/>
  <c r="X613" i="5"/>
  <c r="Y613" i="5"/>
  <c r="X616" i="5"/>
  <c r="Y616" i="5"/>
  <c r="X617" i="5"/>
  <c r="Y617" i="5"/>
  <c r="X636" i="5"/>
  <c r="Y636" i="5"/>
  <c r="X652" i="5"/>
  <c r="Y652" i="5"/>
  <c r="X884" i="5"/>
  <c r="Y884" i="5"/>
  <c r="Y885" i="5"/>
  <c r="X885" i="5"/>
  <c r="Y886" i="5"/>
  <c r="X886" i="5"/>
  <c r="X887" i="5"/>
  <c r="Y887" i="5"/>
  <c r="Y888" i="5"/>
  <c r="X888" i="5"/>
  <c r="Y889" i="5"/>
  <c r="X889" i="5"/>
  <c r="Y890" i="5"/>
  <c r="X890" i="5"/>
  <c r="Y891" i="5"/>
  <c r="X891" i="5"/>
  <c r="Y892" i="5"/>
  <c r="X892" i="5"/>
  <c r="Y893" i="5"/>
  <c r="X893" i="5"/>
  <c r="Y894" i="5"/>
  <c r="X894" i="5"/>
  <c r="Y901" i="5"/>
  <c r="X901" i="5"/>
  <c r="Y903" i="5"/>
  <c r="X903" i="5"/>
  <c r="X904" i="5"/>
  <c r="Y904" i="5"/>
  <c r="Y930" i="5"/>
  <c r="X930" i="5"/>
  <c r="Y931" i="5"/>
  <c r="X931" i="5"/>
  <c r="X932" i="5"/>
  <c r="Y932" i="5"/>
  <c r="X934" i="5"/>
  <c r="Y934" i="5"/>
  <c r="Y935" i="5"/>
  <c r="X935" i="5"/>
  <c r="X936" i="5"/>
  <c r="Y936" i="5"/>
  <c r="Y937" i="5"/>
  <c r="X937" i="5"/>
  <c r="X938" i="5"/>
  <c r="Y938" i="5"/>
  <c r="X939" i="5"/>
  <c r="Y939" i="5"/>
  <c r="X940" i="5"/>
  <c r="Y940" i="5"/>
  <c r="X941" i="5"/>
  <c r="Y941" i="5"/>
  <c r="Y942" i="5"/>
  <c r="X942" i="5"/>
  <c r="Y943" i="5"/>
  <c r="X943" i="5"/>
  <c r="X944" i="5"/>
  <c r="Y944" i="5"/>
  <c r="X945" i="5"/>
  <c r="Y945" i="5"/>
  <c r="Y946" i="5"/>
  <c r="X946" i="5"/>
  <c r="Y947" i="5"/>
  <c r="X947" i="5"/>
  <c r="Y948" i="5"/>
  <c r="X948" i="5"/>
  <c r="X967" i="5"/>
  <c r="Y967" i="5"/>
  <c r="X968" i="5"/>
  <c r="Y968" i="5"/>
  <c r="X969" i="5"/>
  <c r="Y969" i="5"/>
  <c r="Y981" i="5"/>
  <c r="X981" i="5"/>
  <c r="X254" i="5"/>
  <c r="Y254" i="5"/>
  <c r="X276" i="5"/>
  <c r="Y276" i="5"/>
  <c r="Y314" i="5"/>
  <c r="X314" i="5"/>
  <c r="Y330" i="5"/>
  <c r="X330" i="5"/>
  <c r="X341" i="5"/>
  <c r="Y341" i="5"/>
  <c r="E20" i="2"/>
  <c r="X68" i="5"/>
  <c r="Y68" i="5"/>
  <c r="F20" i="2"/>
  <c r="D20" i="2"/>
  <c r="B51" i="2"/>
  <c r="E51" i="2" s="1"/>
  <c r="C51" i="2"/>
  <c r="G20" i="2"/>
  <c r="Y194" i="5"/>
  <c r="X194" i="5"/>
  <c r="X395" i="5"/>
  <c r="Y395" i="5"/>
  <c r="X396" i="5"/>
  <c r="Y396" i="5"/>
  <c r="Y403" i="5"/>
  <c r="X403" i="5"/>
  <c r="Y453" i="5"/>
  <c r="X453" i="5"/>
  <c r="Y564" i="5"/>
  <c r="X564" i="5"/>
  <c r="X565" i="5"/>
  <c r="Y565" i="5"/>
  <c r="X566" i="5"/>
  <c r="Y566" i="5"/>
  <c r="X567" i="5"/>
  <c r="Y567" i="5"/>
  <c r="Y716" i="5"/>
  <c r="X716" i="5"/>
  <c r="X656" i="5"/>
  <c r="Y656" i="5"/>
  <c r="X659" i="5"/>
  <c r="Y659" i="5"/>
  <c r="X660" i="5"/>
  <c r="Y660" i="5"/>
  <c r="X757" i="5"/>
  <c r="Y757" i="5"/>
  <c r="Y758" i="5"/>
  <c r="X758" i="5"/>
  <c r="X759" i="5"/>
  <c r="Y759" i="5"/>
  <c r="X760" i="5"/>
  <c r="Y760" i="5"/>
  <c r="Y761" i="5"/>
  <c r="X761" i="5"/>
  <c r="Y762" i="5"/>
  <c r="X762" i="5"/>
  <c r="Y818" i="5"/>
  <c r="X818" i="5"/>
  <c r="Y819" i="5"/>
  <c r="X819" i="5"/>
  <c r="X829" i="5"/>
  <c r="Y829" i="5"/>
  <c r="Y406" i="5"/>
  <c r="X406" i="5"/>
  <c r="X411" i="5"/>
  <c r="Y411" i="5"/>
  <c r="X480" i="5"/>
  <c r="Y480" i="5"/>
  <c r="X484" i="5"/>
  <c r="Y484" i="5"/>
  <c r="X563" i="5"/>
  <c r="Y563" i="5"/>
  <c r="X600" i="5"/>
  <c r="Y600" i="5"/>
  <c r="X512" i="5"/>
  <c r="Y512" i="5"/>
  <c r="Y544" i="5"/>
  <c r="X544" i="5"/>
  <c r="Y662" i="5"/>
  <c r="X662" i="5"/>
  <c r="X717" i="5"/>
  <c r="Y717" i="5"/>
  <c r="X501" i="5"/>
  <c r="Y501" i="5"/>
  <c r="Y657" i="5"/>
  <c r="X657" i="5"/>
  <c r="X661" i="5"/>
  <c r="Y661" i="5"/>
  <c r="X663" i="5"/>
  <c r="Y663" i="5"/>
  <c r="Y664" i="5"/>
  <c r="X664" i="5"/>
  <c r="Y763" i="5"/>
  <c r="X763" i="5"/>
  <c r="X764" i="5"/>
  <c r="Y764" i="5"/>
  <c r="Y765" i="5"/>
  <c r="X765" i="5"/>
  <c r="Y766" i="5"/>
  <c r="X766" i="5"/>
  <c r="Y767" i="5"/>
  <c r="X767" i="5"/>
  <c r="Y768" i="5"/>
  <c r="X768" i="5"/>
  <c r="Y785" i="5"/>
  <c r="X785" i="5"/>
  <c r="X807" i="5"/>
  <c r="Y807" i="5"/>
  <c r="Y808" i="5"/>
  <c r="X808" i="5"/>
  <c r="X809" i="5"/>
  <c r="Y809" i="5"/>
  <c r="X820" i="5"/>
  <c r="Y820" i="5"/>
  <c r="Y828" i="5"/>
  <c r="X828" i="5"/>
  <c r="A108" i="5" l="1"/>
  <c r="A229" i="5"/>
  <c r="A369" i="5"/>
  <c r="A370" i="5"/>
  <c r="A394" i="5"/>
  <c r="F29" i="2"/>
  <c r="E29" i="2"/>
  <c r="D29" i="2"/>
  <c r="G29" i="2"/>
  <c r="F15" i="2"/>
  <c r="H15" i="2"/>
  <c r="A5" i="5"/>
  <c r="A27" i="5"/>
  <c r="A610" i="5"/>
  <c r="A418" i="5"/>
  <c r="A437" i="5"/>
  <c r="A450" i="5"/>
  <c r="A474" i="5"/>
  <c r="A475" i="5"/>
  <c r="A478" i="5"/>
  <c r="A479" i="5"/>
  <c r="A577" i="5"/>
  <c r="A492" i="5"/>
  <c r="A511" i="5"/>
  <c r="A658" i="5"/>
  <c r="A710" i="5"/>
  <c r="A263" i="5"/>
  <c r="A265" i="5"/>
  <c r="A268" i="5"/>
  <c r="A278" i="5"/>
  <c r="A280" i="5"/>
  <c r="A282" i="5"/>
  <c r="A283" i="5"/>
  <c r="A285" i="5"/>
  <c r="A295" i="5"/>
  <c r="A299" i="5"/>
  <c r="A300" i="5"/>
  <c r="A301" i="5"/>
  <c r="A304" i="5"/>
  <c r="A306" i="5"/>
  <c r="A309" i="5"/>
  <c r="A318" i="5"/>
  <c r="A319" i="5"/>
  <c r="A320" i="5"/>
  <c r="A321" i="5"/>
  <c r="A325" i="5"/>
  <c r="A326" i="5"/>
  <c r="A329" i="5"/>
  <c r="A128" i="5"/>
  <c r="A731" i="5"/>
  <c r="A732" i="5"/>
  <c r="A733" i="5"/>
  <c r="A507" i="5"/>
  <c r="A525" i="5"/>
  <c r="A647" i="5"/>
  <c r="A741" i="5"/>
  <c r="A772" i="5"/>
  <c r="A810" i="5"/>
  <c r="A833" i="5"/>
  <c r="A834" i="5"/>
  <c r="A526" i="5"/>
  <c r="A549" i="5"/>
  <c r="A646" i="5"/>
  <c r="A983" i="5"/>
  <c r="A237" i="5"/>
  <c r="A238" i="5"/>
  <c r="A243" i="5"/>
  <c r="A244" i="5"/>
  <c r="A264" i="5"/>
  <c r="A275" i="5"/>
  <c r="A293" i="5"/>
  <c r="A305" i="5"/>
  <c r="A315" i="5"/>
  <c r="A316" i="5"/>
  <c r="A324" i="5"/>
  <c r="A375" i="5"/>
  <c r="A376" i="5"/>
  <c r="A378" i="5"/>
  <c r="A379" i="5"/>
  <c r="A393" i="5"/>
  <c r="A401" i="5"/>
  <c r="A436" i="5"/>
  <c r="A451" i="5"/>
  <c r="A470" i="5"/>
  <c r="A471" i="5"/>
  <c r="A574" i="5"/>
  <c r="A508" i="5"/>
  <c r="A514" i="5"/>
  <c r="A540" i="5"/>
  <c r="A653" i="5"/>
  <c r="A713" i="5"/>
  <c r="A714" i="5"/>
  <c r="A715" i="5"/>
  <c r="A125" i="5"/>
  <c r="A513" i="5"/>
  <c r="A632" i="5"/>
  <c r="A756" i="5"/>
  <c r="A123" i="5"/>
  <c r="A142" i="5"/>
  <c r="A499" i="5"/>
  <c r="A900" i="5"/>
  <c r="A201" i="5"/>
  <c r="A203" i="5"/>
  <c r="A206" i="5"/>
  <c r="A228" i="5"/>
  <c r="A241" i="5"/>
  <c r="A252" i="5"/>
  <c r="A262" i="5"/>
  <c r="A397" i="5"/>
  <c r="A452" i="5"/>
  <c r="A477" i="5"/>
  <c r="A481" i="5"/>
  <c r="A568" i="5"/>
  <c r="A569" i="5"/>
  <c r="A570" i="5"/>
  <c r="A571" i="5"/>
  <c r="A572" i="5"/>
  <c r="A597" i="5"/>
  <c r="A83" i="5"/>
  <c r="A109" i="5"/>
  <c r="A114" i="5"/>
  <c r="A118" i="5"/>
  <c r="A136" i="5"/>
  <c r="A145" i="5"/>
  <c r="A146" i="5"/>
  <c r="A485" i="5"/>
  <c r="A506" i="5"/>
  <c r="A518" i="5"/>
  <c r="A643" i="5"/>
  <c r="A651" i="5"/>
  <c r="A654" i="5"/>
  <c r="A693" i="5"/>
  <c r="A697" i="5"/>
  <c r="A698" i="5"/>
  <c r="A711" i="5"/>
  <c r="A712" i="5"/>
  <c r="A718" i="5"/>
  <c r="A719" i="5"/>
  <c r="A720" i="5"/>
  <c r="A721" i="5"/>
  <c r="A52" i="5"/>
  <c r="A55" i="5"/>
  <c r="A628" i="5"/>
  <c r="A650" i="5"/>
  <c r="A800" i="5"/>
  <c r="A805" i="5"/>
  <c r="A806" i="5"/>
  <c r="A814" i="5"/>
  <c r="A815" i="5"/>
  <c r="A832" i="5"/>
  <c r="A627" i="5"/>
  <c r="A407" i="5"/>
  <c r="A454" i="5"/>
  <c r="A455" i="5"/>
  <c r="A622" i="5"/>
  <c r="A699" i="5"/>
  <c r="A700" i="5"/>
  <c r="A706" i="5"/>
  <c r="A707" i="5"/>
  <c r="A708" i="5"/>
  <c r="A726" i="5"/>
  <c r="A504" i="5"/>
  <c r="A554" i="5"/>
  <c r="A560" i="5"/>
  <c r="A639" i="5"/>
  <c r="A742" i="5"/>
  <c r="A743" i="5"/>
  <c r="A744" i="5"/>
  <c r="A745" i="5"/>
  <c r="A746" i="5"/>
  <c r="A747" i="5"/>
  <c r="A748" i="5"/>
  <c r="A749" i="5"/>
  <c r="A750" i="5"/>
  <c r="A751" i="5"/>
  <c r="A752" i="5"/>
  <c r="A753" i="5"/>
  <c r="A754" i="5"/>
  <c r="A830" i="5"/>
  <c r="A502" i="5"/>
  <c r="A555" i="5"/>
  <c r="A559" i="5"/>
  <c r="A618" i="5"/>
  <c r="A624" i="5"/>
  <c r="A631" i="5"/>
  <c r="A963" i="5"/>
  <c r="A964" i="5"/>
  <c r="A965" i="5"/>
  <c r="A970" i="5"/>
  <c r="A971" i="5"/>
  <c r="A972" i="5"/>
  <c r="A982" i="5"/>
  <c r="A271" i="5"/>
  <c r="A290" i="5"/>
  <c r="A291" i="5"/>
  <c r="A296" i="5"/>
  <c r="A323" i="5"/>
  <c r="A327" i="5"/>
  <c r="A331" i="5"/>
  <c r="A333" i="5"/>
  <c r="A368" i="5"/>
  <c r="A371" i="5"/>
  <c r="A377" i="5"/>
  <c r="A384" i="5"/>
  <c r="A385" i="5"/>
  <c r="A386" i="5"/>
  <c r="A387" i="5"/>
  <c r="A388" i="5"/>
  <c r="A408" i="5"/>
  <c r="A409" i="5"/>
  <c r="A297" i="5"/>
  <c r="A335" i="5"/>
  <c r="A174" i="5"/>
  <c r="A180" i="5"/>
  <c r="A188" i="5"/>
  <c r="A415" i="5"/>
  <c r="A441" i="5"/>
  <c r="A442" i="5"/>
  <c r="A443" i="5"/>
  <c r="A799" i="5"/>
  <c r="A816" i="5"/>
  <c r="A817" i="5"/>
  <c r="A847" i="5"/>
  <c r="A850" i="5"/>
  <c r="A851" i="5"/>
  <c r="A852" i="5"/>
  <c r="A859" i="5"/>
  <c r="A154" i="5"/>
  <c r="A155" i="5"/>
  <c r="A490" i="5"/>
  <c r="A542" i="5"/>
  <c r="A545" i="5"/>
  <c r="A620" i="5"/>
  <c r="A629" i="5"/>
  <c r="A902" i="5"/>
  <c r="A905" i="5"/>
  <c r="A906" i="5"/>
  <c r="A907" i="5"/>
  <c r="A913" i="5"/>
  <c r="A949" i="5"/>
  <c r="A950" i="5"/>
  <c r="A951" i="5"/>
  <c r="A952" i="5"/>
  <c r="A953" i="5"/>
  <c r="A954" i="5"/>
  <c r="A955" i="5"/>
  <c r="A956" i="5"/>
  <c r="A957" i="5"/>
  <c r="A958" i="5"/>
  <c r="A959" i="5"/>
  <c r="A960" i="5"/>
  <c r="A961" i="5"/>
  <c r="A962" i="5"/>
  <c r="A63" i="5"/>
  <c r="A76" i="5"/>
  <c r="A98" i="5"/>
  <c r="A126" i="5"/>
  <c r="A157" i="5"/>
  <c r="A211" i="5"/>
  <c r="A212" i="5"/>
  <c r="A215" i="5"/>
  <c r="A222" i="5"/>
  <c r="A246" i="5"/>
  <c r="A256" i="5"/>
  <c r="A258" i="5"/>
  <c r="A334" i="5"/>
  <c r="A351" i="5"/>
  <c r="A355" i="5"/>
  <c r="A358" i="5"/>
  <c r="A33" i="5"/>
  <c r="A216" i="5"/>
  <c r="A362" i="5"/>
  <c r="A366" i="5"/>
  <c r="A390" i="5"/>
  <c r="A414" i="5"/>
  <c r="A421" i="5"/>
  <c r="A423" i="5"/>
  <c r="A426" i="5"/>
  <c r="A430" i="5"/>
  <c r="A438" i="5"/>
  <c r="A472" i="5"/>
  <c r="A575" i="5"/>
  <c r="A579" i="5"/>
  <c r="A581" i="5"/>
  <c r="A585" i="5"/>
  <c r="A587" i="5"/>
  <c r="A591" i="5"/>
  <c r="A594" i="5"/>
  <c r="A609" i="5"/>
  <c r="A497" i="5"/>
  <c r="A564" i="5"/>
  <c r="A716" i="5"/>
  <c r="A660" i="5"/>
  <c r="A759" i="5"/>
  <c r="A480" i="5"/>
  <c r="A544" i="5"/>
  <c r="A657" i="5"/>
  <c r="A763" i="5"/>
  <c r="A768" i="5"/>
  <c r="A820" i="5"/>
  <c r="A71" i="5"/>
  <c r="A92" i="5"/>
  <c r="A204" i="5"/>
  <c r="A410" i="5"/>
  <c r="A439" i="5"/>
  <c r="A456" i="5"/>
  <c r="A457" i="5"/>
  <c r="A458" i="5"/>
  <c r="A459" i="5"/>
  <c r="A460" i="5"/>
  <c r="A461" i="5"/>
  <c r="A462" i="5"/>
  <c r="A463" i="5"/>
  <c r="A464" i="5"/>
  <c r="A465" i="5"/>
  <c r="A466" i="5"/>
  <c r="A467" i="5"/>
  <c r="A468" i="5"/>
  <c r="A469" i="5"/>
  <c r="A482" i="5"/>
  <c r="A483" i="5"/>
  <c r="A562" i="5"/>
  <c r="A598" i="5"/>
  <c r="A500" i="5"/>
  <c r="A523" i="5"/>
  <c r="A557" i="5"/>
  <c r="A633" i="5"/>
  <c r="A634" i="5"/>
  <c r="A640" i="5"/>
  <c r="A701" i="5"/>
  <c r="A702" i="5"/>
  <c r="A703" i="5"/>
  <c r="A709" i="5"/>
  <c r="A723" i="5"/>
  <c r="A724" i="5"/>
  <c r="A725" i="5"/>
  <c r="A505" i="5"/>
  <c r="A556" i="5"/>
  <c r="A558" i="5"/>
  <c r="A561" i="5"/>
  <c r="A619" i="5"/>
  <c r="A623" i="5"/>
  <c r="A625" i="5"/>
  <c r="A635" i="5"/>
  <c r="A637" i="5"/>
  <c r="A642" i="5"/>
  <c r="A644" i="5"/>
  <c r="A667" i="5"/>
  <c r="A755" i="5"/>
  <c r="A769" i="5"/>
  <c r="A770" i="5"/>
  <c r="A790" i="5"/>
  <c r="A793" i="5"/>
  <c r="A801" i="5"/>
  <c r="A802" i="5"/>
  <c r="A803" i="5"/>
  <c r="A821" i="5"/>
  <c r="A831" i="5"/>
  <c r="A855" i="5"/>
  <c r="A856" i="5"/>
  <c r="A858" i="5"/>
  <c r="A860" i="5"/>
  <c r="A510" i="5"/>
  <c r="A626" i="5"/>
  <c r="A641" i="5"/>
  <c r="A645" i="5"/>
  <c r="A911" i="5"/>
  <c r="A912" i="5"/>
  <c r="A918" i="5"/>
  <c r="A966" i="5"/>
  <c r="A973" i="5"/>
  <c r="A974" i="5"/>
  <c r="A975" i="5"/>
  <c r="A976" i="5"/>
  <c r="A977" i="5"/>
  <c r="A980" i="5"/>
  <c r="A175" i="5"/>
  <c r="A176" i="5"/>
  <c r="A178" i="5"/>
  <c r="A179" i="5"/>
  <c r="A181" i="5"/>
  <c r="A182" i="5"/>
  <c r="A183" i="5"/>
  <c r="A185" i="5"/>
  <c r="A186" i="5"/>
  <c r="A187" i="5"/>
  <c r="A286" i="5"/>
  <c r="A292" i="5"/>
  <c r="A153" i="5"/>
  <c r="A173" i="5"/>
  <c r="A177" i="5"/>
  <c r="A184" i="5"/>
  <c r="A380" i="5"/>
  <c r="A391" i="5"/>
  <c r="A398" i="5"/>
  <c r="A416" i="5"/>
  <c r="A440" i="5"/>
  <c r="A100" i="5"/>
  <c r="A199" i="5"/>
  <c r="A214" i="5"/>
  <c r="A217" i="5"/>
  <c r="A223" i="5"/>
  <c r="A247" i="5"/>
  <c r="A257" i="5"/>
  <c r="A347" i="5"/>
  <c r="A352" i="5"/>
  <c r="A356" i="5"/>
  <c r="A31" i="5"/>
  <c r="A46" i="5"/>
  <c r="A231" i="5"/>
  <c r="A363" i="5"/>
  <c r="A367" i="5"/>
  <c r="A383" i="5"/>
  <c r="A413" i="5"/>
  <c r="A420" i="5"/>
  <c r="A425" i="5"/>
  <c r="A429" i="5"/>
  <c r="A431" i="5"/>
  <c r="A434" i="5"/>
  <c r="A449" i="5"/>
  <c r="A578" i="5"/>
  <c r="A582" i="5"/>
  <c r="A586" i="5"/>
  <c r="A590" i="5"/>
  <c r="A595" i="5"/>
  <c r="A486" i="5"/>
  <c r="A395" i="5"/>
  <c r="A567" i="5"/>
  <c r="A659" i="5"/>
  <c r="A760" i="5"/>
  <c r="A819" i="5"/>
  <c r="A563" i="5"/>
  <c r="A501" i="5"/>
  <c r="A765" i="5"/>
  <c r="A808" i="5"/>
  <c r="A348" i="5"/>
  <c r="A77" i="5"/>
  <c r="A95" i="5"/>
  <c r="A115" i="5"/>
  <c r="A445" i="5"/>
  <c r="A446" i="5"/>
  <c r="A447" i="5"/>
  <c r="A448" i="5"/>
  <c r="A599" i="5"/>
  <c r="A601" i="5"/>
  <c r="A602" i="5"/>
  <c r="A603" i="5"/>
  <c r="A604" i="5"/>
  <c r="A605" i="5"/>
  <c r="A606" i="5"/>
  <c r="A607" i="5"/>
  <c r="A117" i="5"/>
  <c r="A489" i="5"/>
  <c r="A543" i="5"/>
  <c r="A546" i="5"/>
  <c r="A551" i="5"/>
  <c r="A621" i="5"/>
  <c r="A630" i="5"/>
  <c r="A655" i="5"/>
  <c r="A694" i="5"/>
  <c r="A695" i="5"/>
  <c r="A696" i="5"/>
  <c r="A704" i="5"/>
  <c r="A705" i="5"/>
  <c r="A734" i="5"/>
  <c r="A735" i="5"/>
  <c r="A65" i="5"/>
  <c r="A491" i="5"/>
  <c r="A527" i="5"/>
  <c r="A547" i="5"/>
  <c r="A548" i="5"/>
  <c r="A736" i="5"/>
  <c r="A737" i="5"/>
  <c r="A738" i="5"/>
  <c r="A739" i="5"/>
  <c r="A740" i="5"/>
  <c r="A786" i="5"/>
  <c r="A787" i="5"/>
  <c r="A791" i="5"/>
  <c r="A792" i="5"/>
  <c r="A794" i="5"/>
  <c r="A795" i="5"/>
  <c r="A796" i="5"/>
  <c r="A797" i="5"/>
  <c r="A798" i="5"/>
  <c r="A242" i="5"/>
  <c r="A332" i="5"/>
  <c r="A353" i="5"/>
  <c r="A357" i="5"/>
  <c r="A32" i="5"/>
  <c r="A111" i="5"/>
  <c r="A121" i="5"/>
  <c r="A210" i="5"/>
  <c r="A218" i="5"/>
  <c r="A361" i="5"/>
  <c r="A365" i="5"/>
  <c r="A381" i="5"/>
  <c r="A389" i="5"/>
  <c r="A417" i="5"/>
  <c r="A424" i="5"/>
  <c r="A427" i="5"/>
  <c r="A433" i="5"/>
  <c r="A444" i="5"/>
  <c r="A476" i="5"/>
  <c r="A580" i="5"/>
  <c r="A584" i="5"/>
  <c r="A589" i="5"/>
  <c r="A592" i="5"/>
  <c r="A596" i="5"/>
  <c r="A64" i="5"/>
  <c r="A515" i="5"/>
  <c r="A403" i="5"/>
  <c r="A565" i="5"/>
  <c r="A656" i="5"/>
  <c r="A762" i="5"/>
  <c r="A406" i="5"/>
  <c r="A512" i="5"/>
  <c r="A717" i="5"/>
  <c r="A663" i="5"/>
  <c r="A766" i="5"/>
  <c r="A807" i="5"/>
  <c r="A828" i="5"/>
  <c r="A102" i="5"/>
  <c r="A195" i="5"/>
  <c r="A259" i="5"/>
  <c r="A260" i="5"/>
  <c r="A261" i="5"/>
  <c r="A272" i="5"/>
  <c r="A274" i="5"/>
  <c r="A279" i="5"/>
  <c r="A298" i="5"/>
  <c r="A313" i="5"/>
  <c r="A350" i="5"/>
  <c r="A354" i="5"/>
  <c r="A359" i="5"/>
  <c r="A99" i="5"/>
  <c r="A198" i="5"/>
  <c r="A213" i="5"/>
  <c r="A220" i="5"/>
  <c r="A360" i="5"/>
  <c r="A364" i="5"/>
  <c r="A382" i="5"/>
  <c r="A412" i="5"/>
  <c r="A419" i="5"/>
  <c r="A422" i="5"/>
  <c r="A428" i="5"/>
  <c r="A432" i="5"/>
  <c r="A435" i="5"/>
  <c r="A473" i="5"/>
  <c r="A576" i="5"/>
  <c r="A583" i="5"/>
  <c r="A588" i="5"/>
  <c r="A593" i="5"/>
  <c r="A608" i="5"/>
  <c r="A194" i="5"/>
  <c r="A453" i="5"/>
  <c r="A757" i="5"/>
  <c r="A761" i="5"/>
  <c r="A829" i="5"/>
  <c r="A484" i="5"/>
  <c r="A661" i="5"/>
  <c r="A764" i="5"/>
  <c r="A785" i="5"/>
  <c r="A346" i="5"/>
  <c r="A516" i="5"/>
  <c r="A519" i="5"/>
  <c r="A535" i="5"/>
  <c r="A615" i="5"/>
  <c r="A648" i="5"/>
  <c r="A666" i="5"/>
  <c r="A668" i="5"/>
  <c r="A669" i="5"/>
  <c r="A673" i="5"/>
  <c r="A674" i="5"/>
  <c r="A676" i="5"/>
  <c r="A678" i="5"/>
  <c r="A679" i="5"/>
  <c r="A680" i="5"/>
  <c r="A681" i="5"/>
  <c r="A682" i="5"/>
  <c r="A683" i="5"/>
  <c r="A684" i="5"/>
  <c r="A685" i="5"/>
  <c r="A686" i="5"/>
  <c r="A687" i="5"/>
  <c r="A688" i="5"/>
  <c r="A689" i="5"/>
  <c r="A690" i="5"/>
  <c r="A691" i="5"/>
  <c r="A692" i="5"/>
  <c r="A722" i="5"/>
  <c r="A727" i="5"/>
  <c r="A728" i="5"/>
  <c r="A729" i="5"/>
  <c r="A730" i="5"/>
  <c r="A66" i="5"/>
  <c r="A134" i="5"/>
  <c r="A135" i="5"/>
  <c r="A141" i="5"/>
  <c r="A149" i="5"/>
  <c r="A488" i="5"/>
  <c r="A495" i="5"/>
  <c r="A520" i="5"/>
  <c r="A528" i="5"/>
  <c r="A532" i="5"/>
  <c r="A534" i="5"/>
  <c r="A536" i="5"/>
  <c r="A538" i="5"/>
  <c r="A612" i="5"/>
  <c r="A614" i="5"/>
  <c r="A638" i="5"/>
  <c r="A649" i="5"/>
  <c r="A665" i="5"/>
  <c r="A670" i="5"/>
  <c r="A671" i="5"/>
  <c r="A672" i="5"/>
  <c r="A675" i="5"/>
  <c r="A677" i="5"/>
  <c r="A771" i="5"/>
  <c r="A773" i="5"/>
  <c r="A774" i="5"/>
  <c r="A775" i="5"/>
  <c r="A776" i="5"/>
  <c r="A777" i="5"/>
  <c r="A778" i="5"/>
  <c r="A779" i="5"/>
  <c r="A780" i="5"/>
  <c r="A781" i="5"/>
  <c r="A782" i="5"/>
  <c r="A783" i="5"/>
  <c r="A784" i="5"/>
  <c r="A788" i="5"/>
  <c r="A789" i="5"/>
  <c r="A804" i="5"/>
  <c r="A811" i="5"/>
  <c r="A812" i="5"/>
  <c r="A813" i="5"/>
  <c r="A822" i="5"/>
  <c r="A823" i="5"/>
  <c r="A824" i="5"/>
  <c r="A825" i="5"/>
  <c r="A826" i="5"/>
  <c r="A827" i="5"/>
  <c r="A840" i="5"/>
  <c r="A841" i="5"/>
  <c r="A842" i="5"/>
  <c r="A843" i="5"/>
  <c r="A844" i="5"/>
  <c r="A845" i="5"/>
  <c r="A846" i="5"/>
  <c r="A848" i="5"/>
  <c r="A849" i="5"/>
  <c r="A78" i="5"/>
  <c r="A487" i="5"/>
  <c r="A493" i="5"/>
  <c r="A494" i="5"/>
  <c r="A496" i="5"/>
  <c r="A517" i="5"/>
  <c r="A521" i="5"/>
  <c r="A529" i="5"/>
  <c r="A530" i="5"/>
  <c r="A531" i="5"/>
  <c r="A932" i="5"/>
  <c r="A934" i="5"/>
  <c r="A935" i="5"/>
  <c r="A936" i="5"/>
  <c r="A937" i="5"/>
  <c r="A938" i="5"/>
  <c r="A939" i="5"/>
  <c r="A940" i="5"/>
  <c r="A941" i="5"/>
  <c r="A942" i="5"/>
  <c r="A943" i="5"/>
  <c r="A944" i="5"/>
  <c r="A945" i="5"/>
  <c r="A946" i="5"/>
  <c r="A947" i="5"/>
  <c r="A948" i="5"/>
  <c r="A967" i="5"/>
  <c r="A968" i="5"/>
  <c r="A969" i="5"/>
  <c r="A981" i="5"/>
  <c r="A254" i="5"/>
  <c r="A276" i="5"/>
  <c r="A314" i="5"/>
  <c r="A330" i="5"/>
  <c r="A341" i="5"/>
  <c r="A68" i="5"/>
  <c r="A396" i="5"/>
  <c r="A566" i="5"/>
  <c r="A758" i="5"/>
  <c r="A818" i="5"/>
  <c r="A411" i="5"/>
  <c r="A600" i="5"/>
  <c r="A662" i="5"/>
  <c r="A664" i="5"/>
  <c r="A767" i="5"/>
  <c r="A809" i="5"/>
  <c r="A349" i="5"/>
  <c r="A91" i="5"/>
  <c r="A207" i="5"/>
  <c r="A537" i="5"/>
  <c r="A539" i="5"/>
  <c r="A611" i="5"/>
  <c r="A613" i="5"/>
  <c r="A616" i="5"/>
  <c r="A617" i="5"/>
  <c r="A636" i="5"/>
  <c r="A652" i="5"/>
  <c r="A884" i="5"/>
  <c r="A885" i="5"/>
  <c r="A886" i="5"/>
  <c r="A887" i="5"/>
  <c r="A888" i="5"/>
  <c r="A889" i="5"/>
  <c r="A890" i="5"/>
  <c r="A891" i="5"/>
  <c r="A892" i="5"/>
  <c r="A893" i="5"/>
  <c r="A894" i="5"/>
  <c r="A901" i="5"/>
  <c r="A903" i="5"/>
  <c r="A904" i="5"/>
  <c r="A930" i="5"/>
  <c r="A931" i="5"/>
  <c r="A101" i="5"/>
  <c r="A294" i="5"/>
  <c r="A317" i="5"/>
  <c r="A312" i="5"/>
  <c r="A311" i="5"/>
  <c r="A310" i="5"/>
  <c r="A308" i="5"/>
  <c r="A307" i="5"/>
  <c r="A303" i="5"/>
  <c r="A302" i="5"/>
  <c r="A289" i="5"/>
  <c r="A288" i="5"/>
  <c r="A287" i="5"/>
  <c r="A284" i="5"/>
  <c r="A281" i="5"/>
  <c r="A277" i="5"/>
  <c r="A273" i="5"/>
  <c r="A270" i="5"/>
  <c r="A269" i="5"/>
  <c r="A267" i="5"/>
  <c r="A266" i="5"/>
  <c r="A255" i="5"/>
  <c r="A253" i="5"/>
  <c r="A251" i="5"/>
  <c r="A250" i="5"/>
  <c r="A249" i="5"/>
  <c r="A248" i="5"/>
  <c r="A245" i="5"/>
  <c r="A240" i="5"/>
  <c r="A239" i="5"/>
  <c r="A236" i="5"/>
  <c r="A235" i="5"/>
  <c r="A234" i="5"/>
  <c r="A233" i="5"/>
  <c r="A232" i="5"/>
  <c r="A230" i="5"/>
  <c r="A227" i="5"/>
  <c r="A226" i="5"/>
  <c r="A225" i="5"/>
  <c r="A224" i="5"/>
  <c r="A221" i="5"/>
  <c r="A219" i="5"/>
  <c r="A209" i="5"/>
  <c r="A208" i="5"/>
  <c r="A205" i="5"/>
  <c r="A202" i="5"/>
  <c r="A200" i="5"/>
  <c r="A197" i="5"/>
  <c r="A196" i="5"/>
  <c r="A193" i="5"/>
  <c r="A192" i="5"/>
  <c r="A191" i="5"/>
  <c r="A190" i="5"/>
  <c r="A189" i="5"/>
  <c r="A172" i="5"/>
  <c r="A169" i="5"/>
  <c r="A167" i="5"/>
  <c r="A164" i="5"/>
  <c r="A161" i="5"/>
  <c r="A156" i="5"/>
  <c r="A151" i="5"/>
  <c r="A148" i="5"/>
  <c r="A144" i="5"/>
  <c r="A139" i="5"/>
  <c r="A132" i="5"/>
  <c r="A130" i="5"/>
  <c r="A127" i="5"/>
  <c r="A122" i="5"/>
  <c r="A120" i="5"/>
  <c r="A116" i="5"/>
  <c r="A112" i="5"/>
  <c r="A110" i="5"/>
  <c r="A106" i="5"/>
  <c r="A104" i="5"/>
  <c r="A96" i="5"/>
  <c r="A94" i="5"/>
  <c r="A90" i="5"/>
  <c r="A88" i="5"/>
  <c r="A85" i="5"/>
  <c r="A81" i="5"/>
  <c r="A79" i="5"/>
  <c r="A74" i="5"/>
  <c r="A72" i="5"/>
  <c r="A67" i="5"/>
  <c r="A60" i="5"/>
  <c r="A58" i="5"/>
  <c r="A56" i="5"/>
  <c r="A49" i="5"/>
  <c r="A45" i="5"/>
  <c r="A42" i="5"/>
  <c r="A41" i="5"/>
  <c r="A38" i="5"/>
  <c r="A35" i="5"/>
  <c r="A30" i="5"/>
  <c r="A26" i="5"/>
  <c r="A23" i="5"/>
  <c r="A22" i="5"/>
  <c r="A21" i="5"/>
  <c r="A20" i="5"/>
  <c r="A19" i="5"/>
  <c r="A18" i="5"/>
  <c r="A17" i="5"/>
  <c r="A16" i="5"/>
  <c r="A15" i="5"/>
  <c r="A14" i="5"/>
  <c r="A13" i="5"/>
  <c r="A51" i="5"/>
  <c r="A50" i="5"/>
  <c r="A48" i="5"/>
  <c r="A47" i="5"/>
  <c r="A44" i="5"/>
  <c r="A43" i="5"/>
  <c r="A40" i="5"/>
  <c r="A39" i="5"/>
  <c r="A37" i="5"/>
  <c r="A36" i="5"/>
  <c r="A34" i="5"/>
  <c r="A29" i="5"/>
  <c r="A28" i="5"/>
  <c r="A25" i="5"/>
  <c r="A24" i="5"/>
  <c r="A9" i="5"/>
  <c r="A7" i="5"/>
  <c r="A573" i="5"/>
  <c r="A553" i="5"/>
  <c r="A552" i="5"/>
  <c r="A550" i="5"/>
  <c r="A541" i="5"/>
  <c r="A533" i="5"/>
  <c r="A524" i="5"/>
  <c r="A882" i="5"/>
  <c r="A509" i="5"/>
  <c r="A503" i="5"/>
  <c r="A498" i="5"/>
  <c r="A405" i="5"/>
  <c r="A404" i="5"/>
  <c r="A402" i="5"/>
  <c r="A400" i="5"/>
  <c r="A399" i="5"/>
  <c r="A392" i="5"/>
  <c r="A374" i="5"/>
  <c r="A373" i="5"/>
  <c r="A372" i="5"/>
  <c r="A345" i="5"/>
  <c r="A344" i="5"/>
  <c r="A343" i="5"/>
  <c r="A342" i="5"/>
  <c r="A340" i="5"/>
  <c r="A339" i="5"/>
  <c r="A338" i="5"/>
  <c r="A337" i="5"/>
  <c r="A336" i="5"/>
  <c r="A328" i="5"/>
  <c r="A322" i="5"/>
  <c r="A11" i="5"/>
  <c r="A8" i="5"/>
  <c r="A6" i="5"/>
  <c r="A12" i="5"/>
  <c r="A10" i="5"/>
  <c r="A979" i="5"/>
  <c r="A978" i="5"/>
  <c r="A933" i="5"/>
  <c r="A522" i="5"/>
  <c r="A929" i="5"/>
  <c r="A928" i="5"/>
  <c r="A927" i="5"/>
  <c r="A926" i="5"/>
  <c r="A925" i="5"/>
  <c r="A924" i="5"/>
  <c r="A923" i="5"/>
  <c r="A922" i="5"/>
  <c r="A921" i="5"/>
  <c r="A920" i="5"/>
  <c r="A919" i="5"/>
  <c r="A917" i="5"/>
  <c r="A916" i="5"/>
  <c r="A915" i="5"/>
  <c r="A914" i="5"/>
  <c r="A910" i="5"/>
  <c r="A909" i="5"/>
  <c r="A908" i="5"/>
  <c r="A899" i="5"/>
  <c r="A898" i="5"/>
  <c r="A897" i="5"/>
  <c r="A896" i="5"/>
  <c r="A895" i="5"/>
  <c r="A883" i="5"/>
  <c r="A881" i="5"/>
  <c r="A880" i="5"/>
  <c r="A879" i="5"/>
  <c r="A878" i="5"/>
  <c r="A877" i="5"/>
  <c r="A876" i="5"/>
  <c r="A875" i="5"/>
  <c r="A874" i="5"/>
  <c r="A873" i="5"/>
  <c r="A872" i="5"/>
  <c r="A871" i="5"/>
  <c r="A870" i="5"/>
  <c r="A869" i="5"/>
  <c r="A868" i="5"/>
  <c r="A867" i="5"/>
  <c r="A866" i="5"/>
  <c r="A865" i="5"/>
  <c r="A864" i="5"/>
  <c r="A863" i="5"/>
  <c r="A862" i="5"/>
  <c r="A861" i="5"/>
  <c r="A857" i="5"/>
  <c r="A854" i="5"/>
  <c r="A853" i="5"/>
  <c r="A839" i="5"/>
  <c r="A838" i="5"/>
  <c r="A837" i="5"/>
  <c r="A836" i="5"/>
  <c r="A835" i="5"/>
  <c r="A171" i="5"/>
  <c r="A170" i="5"/>
  <c r="A168" i="5"/>
  <c r="A166" i="5"/>
  <c r="A165" i="5"/>
  <c r="A163" i="5"/>
  <c r="A162" i="5"/>
  <c r="A160" i="5"/>
  <c r="A159" i="5"/>
  <c r="A158" i="5"/>
  <c r="A152" i="5"/>
  <c r="A70" i="5"/>
  <c r="A150" i="5"/>
  <c r="A147" i="5"/>
  <c r="A143" i="5"/>
  <c r="A140" i="5"/>
  <c r="A138" i="5"/>
  <c r="A137" i="5"/>
  <c r="A133" i="5"/>
  <c r="A131" i="5"/>
  <c r="A129" i="5"/>
  <c r="A124" i="5"/>
  <c r="A119" i="5"/>
  <c r="A113" i="5"/>
  <c r="A107" i="5"/>
  <c r="A105" i="5"/>
  <c r="A103" i="5"/>
  <c r="A97" i="5"/>
  <c r="A93" i="5"/>
  <c r="A89" i="5"/>
  <c r="A87" i="5"/>
  <c r="A86" i="5"/>
  <c r="A84" i="5"/>
  <c r="A82" i="5"/>
  <c r="A80" i="5"/>
  <c r="A75" i="5"/>
  <c r="A73" i="5"/>
  <c r="A69" i="5"/>
  <c r="A62" i="5"/>
  <c r="A61" i="5"/>
  <c r="A59" i="5"/>
  <c r="A57" i="5"/>
  <c r="A54" i="5"/>
  <c r="A53" i="5"/>
</calcChain>
</file>

<file path=xl/sharedStrings.xml><?xml version="1.0" encoding="utf-8"?>
<sst xmlns="http://schemas.openxmlformats.org/spreadsheetml/2006/main" count="12528" uniqueCount="2178">
  <si>
    <t>Sugestão de prioridades: Urgente e Alta</t>
  </si>
  <si>
    <t>Projeto Next · Processos · lista "Implantação de Melhorias (5W2H)" · lida em 27/10/2026 · todas as atividades, de todos os status · proposta para validação</t>
  </si>
  <si>
    <t>O que é</t>
  </si>
  <si>
    <t>A matriz de prioridades aplicada a todas as 979 atividades do ClickUp (398 abertas, 502 concluídas e 79 canceladas). Mostra quais ficariam em Urgente e em Alta. A prioridade que já estava no ClickUp NÃO foi usada.</t>
  </si>
  <si>
    <t>Resultado</t>
  </si>
  <si>
    <t>Urgente: 56 atividades (5.7% do total). Alta: 166 atividades (17.0% do total). Faixas de referência: Urgente 5% a 10% e Alta 15% a 25%. Veja a aba Resumo.</t>
  </si>
  <si>
    <t>Como foi pontuado</t>
  </si>
  <si>
    <t>Cada atividade recebe nota de 1 a 5 em cinco critérios: risco de fraude e erro (30%), impacto financeiro (20%), obra e entrega (20%), exigência legal/CEF/compliance (15%) e dependência (15%). A média é multiplicada pelo fator do processo (0,9 a 1,1) e somada ao ajuste da natureza (controle +0,3; indicador −0,3; treinamento −0,2). Esforço não entra na nota: só desempata.</t>
  </si>
  <si>
    <t>Cortes e vetos</t>
  </si>
  <si>
    <t>Urgente a partir de 3,9; Alta a partir de 3,3; Normal a partir de 2,5. Risco 5 sobe a atividade para, no mínimo, Alta. "Para obra ou repasse da CEF" sobe para Urgente. O corte de Urgente era 4,0 na proposta anterior; com ele ficavam 41 atividades (4,2%), abaixo da faixa mínima de 5%. Baixei para 3,9.</t>
  </si>
  <si>
    <t>Quem pontuou</t>
  </si>
  <si>
    <t>515 atividades foram pontuadas por mim, uma a uma, a partir do nome, do processo, do status e do contexto que li do Projeto Next. As outras 464 usaram uma regra automática por palavras do nome, limitada a nota 3 em cada critério, e só aparecem nas listas se isso bastar para chegar lá (a coluna "Origem da nota" mostra qual foi).</t>
  </si>
  <si>
    <t>Limites desta leitura</t>
  </si>
  <si>
    <t>Li o NOME da atividade, não a descrição completa nem o histórico. As notas são PROPOSTA minha e devem ser contestadas pelo responsável e pelo gestor da área. Concluídas e canceladas entram para mostrar se a matriz concorda com o que a equipe fez; para decidir o que fazer agora, filtre Situação = Aberta. Atividades duplicadas entre Gadens e Make It recebem a mesma nota.</t>
  </si>
  <si>
    <t>Atenção</t>
  </si>
  <si>
    <t>Entre as abertas, Urgente + Alta ficam acima da trava de capacidade de 30% (veja a aba Resumo). Isso indica excesso de coisa importante para a equipe tocar ao mesmo tempo, e não necessariamente erro da escala.</t>
  </si>
  <si>
    <t>Abas</t>
  </si>
  <si>
    <t>Resumo: faixas, processos e responsáveis · Urgente e Alta: as listas sugeridas (abertas primeiro, concluídas e canceladas em cinza) · Todas: as atividades com a conta (fórmulas vivas) · Parametros: pesos, cortes, vetos e fatores editáveis.</t>
  </si>
  <si>
    <t>Cores</t>
  </si>
  <si>
    <t>Azul em fundo amarelo = pode editar. Fundo cinza = fórmula. Prioridade com as cores das bandeiras do ClickUp: vermelho Urgente, amarelo Alta, azul Normal, cinza Baixa.</t>
  </si>
  <si>
    <t>Resumo: as faixas de prioridade</t>
  </si>
  <si>
    <t>Tudo calculado a partir da aba Todas. As faixas (azul) são a proposta de referência.</t>
  </si>
  <si>
    <t>Total de atividades</t>
  </si>
  <si>
    <t>Abertas hoje</t>
  </si>
  <si>
    <t>Concluídas</t>
  </si>
  <si>
    <t>Canceladas</t>
  </si>
  <si>
    <t>Categoria</t>
  </si>
  <si>
    <t>Faixa mín.</t>
  </si>
  <si>
    <t>Faixa máx.</t>
  </si>
  <si>
    <t>Quantidade
(total)</t>
  </si>
  <si>
    <t>% do total</t>
  </si>
  <si>
    <t>Situação
no total</t>
  </si>
  <si>
    <t>Abertas</t>
  </si>
  <si>
    <t>% das
abertas</t>
  </si>
  <si>
    <t>4 · Urgente</t>
  </si>
  <si>
    <t>3 · Alta</t>
  </si>
  <si>
    <t>2 · Normal</t>
  </si>
  <si>
    <t>—</t>
  </si>
  <si>
    <t>1 · Baixa</t>
  </si>
  <si>
    <t>Urgente + Alta</t>
  </si>
  <si>
    <t>Trava de capacidade nas abertas (Urgente + Alta ≤)</t>
  </si>
  <si>
    <t>A faixa vale para o total (as concluídas mostram se a matriz concorda com o que a equipe já fez). A trava de capacidade vale para as abertas: é o que a equipe ainda precisa tocar.</t>
  </si>
  <si>
    <t>Processo</t>
  </si>
  <si>
    <t>Total</t>
  </si>
  <si>
    <t>Urgente
(total)</t>
  </si>
  <si>
    <t>Alta
(total)</t>
  </si>
  <si>
    <t>Urgente
(abertas)</t>
  </si>
  <si>
    <t>Alta
(abertas)</t>
  </si>
  <si>
    <t>Incorporação Make It</t>
  </si>
  <si>
    <t>Incorporação Gadens</t>
  </si>
  <si>
    <t>Engenharia</t>
  </si>
  <si>
    <t>Novos Negócios</t>
  </si>
  <si>
    <t>Suprimentos</t>
  </si>
  <si>
    <t>Financeiro</t>
  </si>
  <si>
    <t>GMO</t>
  </si>
  <si>
    <t>Comercial Make It</t>
  </si>
  <si>
    <t>Comercial Gadens</t>
  </si>
  <si>
    <t>Sem processo definido</t>
  </si>
  <si>
    <t>Urgentes abertas por responsável principal</t>
  </si>
  <si>
    <t>Limite por pessoa:</t>
  </si>
  <si>
    <t>Responsável</t>
  </si>
  <si>
    <t>Total
abertas</t>
  </si>
  <si>
    <t>Situação</t>
  </si>
  <si>
    <t>Bruna Oliveira Ribeiro</t>
  </si>
  <si>
    <t>Alexandre Marchiori Cruz</t>
  </si>
  <si>
    <t>Alessandro Braz</t>
  </si>
  <si>
    <t>Cleber Colin</t>
  </si>
  <si>
    <t>Vanderlei Maturicio</t>
  </si>
  <si>
    <t>Cleverton Parnoff</t>
  </si>
  <si>
    <t>Edgard Machado Ferreira Junior</t>
  </si>
  <si>
    <t>Hellen Venturoso</t>
  </si>
  <si>
    <t>Mônica Massaneiro</t>
  </si>
  <si>
    <t>Lizandra de Liz</t>
  </si>
  <si>
    <t>Danielle Moraes</t>
  </si>
  <si>
    <t>Roberto Dias</t>
  </si>
  <si>
    <t>Lucas Lopes</t>
  </si>
  <si>
    <t>Paulo Tavares</t>
  </si>
  <si>
    <t>Érica Ferreira Tavares Silva Caldeira</t>
  </si>
  <si>
    <t>Andressa Gazolla Gutmann</t>
  </si>
  <si>
    <t>André Garcia Vilas Boas</t>
  </si>
  <si>
    <t>Grazielle de Oliveira</t>
  </si>
  <si>
    <t>Mariane Cristine Machado Scandelari</t>
  </si>
  <si>
    <t>Paula de Mattos Ribeiro</t>
  </si>
  <si>
    <t>Eraldo Portela</t>
  </si>
  <si>
    <t>Marcelo Renato Nascimento Cerqueira</t>
  </si>
  <si>
    <t>Eduardo Rosa</t>
  </si>
  <si>
    <t>Fernando Okraska</t>
  </si>
  <si>
    <t>Marcela Schneider</t>
  </si>
  <si>
    <t>Sugestão: Urgente</t>
  </si>
  <si>
    <t>Faixa sugerida de 5% a 10% do total. Total: 56 (32 abertas e 24 já concluídas ou canceladas). Fotografia do cálculo; para recalcular use a aba Todas.</t>
  </si>
  <si>
    <t>#</t>
  </si>
  <si>
    <t>Ordem
geral</t>
  </si>
  <si>
    <t>Atividade (link no ClickUp)</t>
  </si>
  <si>
    <t>Responsável
principal</t>
  </si>
  <si>
    <t>Status no
ClickUp</t>
  </si>
  <si>
    <t>Natureza</t>
  </si>
  <si>
    <t>Nota
final</t>
  </si>
  <si>
    <t>Cat. pela
nota</t>
  </si>
  <si>
    <t>Veto
aplicado?</t>
  </si>
  <si>
    <t>Risco</t>
  </si>
  <si>
    <t>Fin.</t>
  </si>
  <si>
    <t>Obra</t>
  </si>
  <si>
    <t>Legal</t>
  </si>
  <si>
    <t>Dep.</t>
  </si>
  <si>
    <t>Esforço</t>
  </si>
  <si>
    <t>Por que entrou aqui</t>
  </si>
  <si>
    <t>Estruturar e aprovar Plano de Alçadas formal para aprovações de compras e contratações e disponibilizar em manual corporativo. (Falta de definição de plano de alçadas e autonomia.)</t>
  </si>
  <si>
    <t>em atraso</t>
  </si>
  <si>
    <t>Aberta</t>
  </si>
  <si>
    <t>Controle</t>
  </si>
  <si>
    <t>risco de fraude/erro 5; impacto financeiro 5; dependência 5. é controle (+0,3).</t>
  </si>
  <si>
    <t>Definir alçada de assinaturas para contratação de mão de obra (Política de Contratos)</t>
  </si>
  <si>
    <t>em progresso</t>
  </si>
  <si>
    <t>risco de fraude/erro 5; dependência 5; impacto financeiro 4; exigência legal/CEF 4. é controle (+0,3).</t>
  </si>
  <si>
    <t>Definir fluxo de aprovação de contratos de empreiteiros</t>
  </si>
  <si>
    <t>risco de fraude/erro 4; obra e entrega 4; impacto financeiro 4; exigência legal/CEF 4; dependência 4. é controle (+0,3).</t>
  </si>
  <si>
    <t>Definir regra de perfis de acesso / Revisão dos acessos (colaboradores transferidos de empresa área, desligados etc.)</t>
  </si>
  <si>
    <t>risco de fraude/erro 5; impacto financeiro 4; exigência legal/CEF 4; dependência 4. é controle (+0,3).</t>
  </si>
  <si>
    <t>Implementar Indicador - Avanço físico versus avanço financeiro (medição)</t>
  </si>
  <si>
    <t>pausado</t>
  </si>
  <si>
    <t>impacto financeiro 5; risco de fraude/erro 4; obra e entrega 4. é controle (+0,3).</t>
  </si>
  <si>
    <t>Elaborar Política - Política de compras e contratação de fornecedores, contemplando critérios de aquisição de materiais e serviços, regras de utilização entre pedido de compra e cartão corporativo, fluxo de compras emergenciais, homologação de fornecedores, alçadas, responsabilidades e controles aplicáveis ao processo.</t>
  </si>
  <si>
    <t>Documento normativo</t>
  </si>
  <si>
    <t>impacto financeiro 5; dependência 5; risco de fraude/erro 4; exigência legal/CEF 4.</t>
  </si>
  <si>
    <t>Elaborar POP - Procedimento de interrupção de obra por motivos de segurança POP</t>
  </si>
  <si>
    <t>obra e entrega 5; exigência legal/CEF 5; risco de fraude/erro 4.</t>
  </si>
  <si>
    <t>Aplicar as penalidades contempladas em contrato com a empreiteira/construtora quando do não cumprimento dos itens apontados na vistoria (Andressa / Apoio Alessandro e Hellen)"</t>
  </si>
  <si>
    <t>risco de fraude/erro 4; obra e entrega 4; impacto financeiro 4; exigência legal/CEF 4. é controle (+0,3).</t>
  </si>
  <si>
    <t>Avaliar relatório de revisão de desembolso obra</t>
  </si>
  <si>
    <t>impacto financeiro 5; risco de fraude/erro 4. é controle (+0,3).</t>
  </si>
  <si>
    <t>Implementar módulo de contratos de empreiteiros para contratos gerais</t>
  </si>
  <si>
    <t>Automação ou sistema</t>
  </si>
  <si>
    <t>dependência 5; risco de fraude/erro 4; obra e entrega 4; impacto financeiro 4; exigência legal/CEF 4.</t>
  </si>
  <si>
    <t>Bloquear aditivo de data e reajuste para as obras no Approvo</t>
  </si>
  <si>
    <t>sem prazo definido</t>
  </si>
  <si>
    <t>risco de fraude/erro 5; impacto financeiro 4. é controle (+0,3).</t>
  </si>
  <si>
    <t>Criar fluxo de auditoria de contrato vs serviço realizado</t>
  </si>
  <si>
    <t>Definir regra de aprovação p/ exceções (Bruna)</t>
  </si>
  <si>
    <t>risco de fraude/erro 5; impacto financeiro 4; dependência 4. é controle (+0,3).</t>
  </si>
  <si>
    <t>Elaborar POP - Critérios e diretrizes de avaliação de riscos, medidas de contenção de danos e minimização de impacto</t>
  </si>
  <si>
    <t>risco de fraude/erro 4; obra e entrega 4; impacto financeiro 4; exigência legal/CEF 4.</t>
  </si>
  <si>
    <t>Elaborar POP - Processo de Controladoria orçamentária (acompanhamento e atuação junto as áreas)</t>
  </si>
  <si>
    <t>impacto financeiro 5; risco de fraude/erro 4; dependência 4.</t>
  </si>
  <si>
    <t>Definir pedidos via sistema, exigindo formalização prévia e validação de compliance. (Pedido Livre x Pedido Técnico x Pedido Normal)</t>
  </si>
  <si>
    <t>risco de fraude/erro 4; impacto financeiro 4; exigência legal/CEF 4; dependência 4. é controle (+0,3).</t>
  </si>
  <si>
    <t>Incluir campos obrigatórios de preenchimento de dados bancários, data de vencimento e dados de pagamento Mega</t>
  </si>
  <si>
    <t>risco de fraude/erro 5; impacto financeiro 5. é controle (+0,3).</t>
  </si>
  <si>
    <t>Definição de alçada de aprovação das vendas</t>
  </si>
  <si>
    <t>risco de fraude/erro 5; dependência 5; impacto financeiro 4. é controle (+0,3).</t>
  </si>
  <si>
    <t>Elaborar Política - Segurança do Trabalho (Direitos, deveres e penalidades)</t>
  </si>
  <si>
    <t>exigência legal/CEF 5; risco de fraude/erro 4; dependência 4.</t>
  </si>
  <si>
    <t>Implementar estruturação definida para o setor de Segurança do Trabalho (Área Rodando)</t>
  </si>
  <si>
    <t>Definição ou decisão</t>
  </si>
  <si>
    <t>Definir regra de um cadastro de fornecedor ser apenas conta de PJ p/ serv. de PJ</t>
  </si>
  <si>
    <t>risco de fraude/erro 5; impacto financeiro 4; exigência legal/CEF 4. é controle (+0,3).</t>
  </si>
  <si>
    <t>Incluir na política de alçadas regra de alçada dos contratos de GMO</t>
  </si>
  <si>
    <t>Validar valor do contrato = valor da contratação no Mega</t>
  </si>
  <si>
    <t>Elaborar Política - processo de homologação de fornecedores para as incorporadoras Gadens e Make It, contemplando critérios de avaliação, documentação obrigatória, níveis de homologação, responsabilidades, fluxo de aprovação, periodicidade de reavaliação, controles aplicáveis etc.</t>
  </si>
  <si>
    <t>risco de fraude/erro 4; impacto financeiro 4; exigência legal/CEF 4; dependência 4.</t>
  </si>
  <si>
    <t>Integrar/cadastrar Plano de Autonomia formal (já definido) no ERP.</t>
  </si>
  <si>
    <t>risco de fraude/erro 4; impacto financeiro 4; dependência 4. é controle (+0,3).</t>
  </si>
  <si>
    <t>Implantar cálculo do valor do repasse ao terreneiro realizado sistemicamente (Gabriel Arantes)</t>
  </si>
  <si>
    <t>Incluir regras de medição / emissão de NFs / data de corte na medição</t>
  </si>
  <si>
    <t>Implantar aprovação do GMO no aditivo de data no Approvo</t>
  </si>
  <si>
    <t>risco de fraude/erro 4; impacto financeiro 4. é controle (+0,3).</t>
  </si>
  <si>
    <t>Elaborar POP - Estrutura e diretrizes de Memoriais CEF</t>
  </si>
  <si>
    <t>obra e entrega 5; exigência legal/CEF 4.</t>
  </si>
  <si>
    <t>Definir e implementar modelo de gestão e controle de pedidos guarda-chuva no ERP MEGA, contemplando critérios de utilização, regras para baixa parcial, controle de consumo do pedido “mãe”, escopo permitido, valor máximo, prazo de vigência, responsabilidades, alçadas e mecanismos de acompanhamento operacional.</t>
  </si>
  <si>
    <t>Operacionalizar alçada de aprovação</t>
  </si>
  <si>
    <t>Estruturar e aprovar Plano de Alçadas formal para aprovações de compras e contratações</t>
  </si>
  <si>
    <t>(sem responsável)</t>
  </si>
  <si>
    <t>concluído</t>
  </si>
  <si>
    <t>Concluída</t>
  </si>
  <si>
    <t>Serviço iniciado pela Obra sem contrato assinado</t>
  </si>
  <si>
    <t>risco de fraude/erro 5; obra e entrega 4; impacto financeiro 4; exigência legal/CEF 4. é controle (+0,3).</t>
  </si>
  <si>
    <t>Travas sistêmicas no input da nota fiscal no sistema / recebimento físico / fiscal (pedido, quantidade, preço, fornecedor etc.)</t>
  </si>
  <si>
    <t>Aps (R$ +5 MM) em aberto - necessário conciliar (pagamento vencido, não realizado, cancelado, duplicado etc.). Não existe fluxo de conciliação para contas a pagar</t>
  </si>
  <si>
    <t>risco de fraude/erro 5; impacto financeiro 5; dependência 4. é controle (+0,3).</t>
  </si>
  <si>
    <t>Alinhar inclusão de etapa de aprovação fiscal da NF das medições no Approvo (Grazielle Oliveira)</t>
  </si>
  <si>
    <t>risco de fraude/erro 4; impacto financeiro 4; exigência legal/CEF 4. é controle (+0,3).</t>
  </si>
  <si>
    <t>Elaborar POP - Medições</t>
  </si>
  <si>
    <t>impacto financeiro 5; risco de fraude/erro 4; exigência legal/CEF 4; dependência 4.</t>
  </si>
  <si>
    <t>"Definir rotina entre obra e qualidade para verificação das medições antes dos lançamentos</t>
  </si>
  <si>
    <t>Elaborar Política - Liberação de pagamento por analista - Definir alçada de aprovação no banco e no Approvo</t>
  </si>
  <si>
    <t>cancelado</t>
  </si>
  <si>
    <t>Cancelada</t>
  </si>
  <si>
    <t>risco de fraude/erro 5; impacto financeiro 5; dependência 5.</t>
  </si>
  <si>
    <t>Definir estruturação do setor de segurança do trabalho (Alessandro)</t>
  </si>
  <si>
    <t>Elaborar POP - Due Diligence Contábil</t>
  </si>
  <si>
    <t>impacto financeiro 5; exigência legal/CEF 5; risco de fraude/erro 4.</t>
  </si>
  <si>
    <t>Elaborar POP - Due Diligence Jurídica</t>
  </si>
  <si>
    <t>Elaborar POP - Formalização Contratual e Transição para Due Diligence</t>
  </si>
  <si>
    <t>Elaborar POP - Elaboração, Revisão e Negociação da Minuta Contratual</t>
  </si>
  <si>
    <t>Elaborar POP - Pós Aquisição de Terrenos</t>
  </si>
  <si>
    <t>Thiago Mello</t>
  </si>
  <si>
    <t>Elaborar POP - Realização da Aquisição do Terreno</t>
  </si>
  <si>
    <t>Avaliar boas práticas para cada tipo de aquisição de terrenos: compra e venda, permuta física, financeira, mista, física c/ torna, aquisição de cotas da Ltda.</t>
  </si>
  <si>
    <t>Travar Contrato livre no Mega (Alexandre)</t>
  </si>
  <si>
    <t>Padronizar solicitações de compras e contratações técnicas via Mega (Não há formalidade na solicitação de compras sem cotação)</t>
  </si>
  <si>
    <t>Plano de ação junto a Obra em caso de não conformidades de Segurança do Trabalho</t>
  </si>
  <si>
    <t>exigência legal/CEF 5; risco de fraude/erro 4. é controle (+0,3).</t>
  </si>
  <si>
    <t>Trava dos parâmetros da edição da alíquota dos impostos retidos</t>
  </si>
  <si>
    <t>risco de fraude/erro 5; exigência legal/CEF 5; impacto financeiro 4. é controle (+0,3).</t>
  </si>
  <si>
    <t>Utilizar o orçamento gerencial para registrar e definir o custo de incorporação. (Falta de orçamento definido / alinhado para Novos Negócios e Incorporação) // Incluir em orçamento gerencial para área de Incorporação a contratação de Projetistas e definir alçadas de aprovação</t>
  </si>
  <si>
    <t>Alinhar responsabilidade da averbação CVCO (Jurídico ou Incorporação) - Mariane</t>
  </si>
  <si>
    <t>Elaborar, definir e Implantar política de contratação de mão de obra</t>
  </si>
  <si>
    <t>Elaboração de memoriais CEF - Problema: Prazo por falta de priorização Solução: Comunicação para fortalecer importância, Treinamento e Utlização do ClickUp</t>
  </si>
  <si>
    <t>Sugestão: Alta</t>
  </si>
  <si>
    <t>Faixa sugerida de 15% a 25% do total. Total: 166 (108 abertas e 58 já concluídas ou canceladas). Fotografia do cálculo; para recalcular use a aba Todas.</t>
  </si>
  <si>
    <t>Validar vínculo do adiantamento com Contas a Pagar do Pedido de Compra e no AR (tem que aparecer no Financeiro)</t>
  </si>
  <si>
    <t>NFs de PJ não são lançadas no sistema - Ação: Definir regras contábeis e fiscais para o RH realizar o lançamento contábil das notas</t>
  </si>
  <si>
    <t>exigência legal/CEF 5; risco de fraude/erro 4; impacto financeiro 4. é controle (+0,3).</t>
  </si>
  <si>
    <t>Elaborar POP - Processo de elaboração das viabilidades (Gadens e Make It</t>
  </si>
  <si>
    <t>impacto financeiro 5; dependência 4.</t>
  </si>
  <si>
    <t>Padronização da EAP entre Orçamento e Planejamento (integração Prevision x Mega)</t>
  </si>
  <si>
    <t>dependência 5; obra e entrega 4; impacto financeiro 4.</t>
  </si>
  <si>
    <t>Integração Prevision e Mega // Avaliar EAP de planejamento e orçamento na integração do Mega (Estudo de upload das views do Prevision para o Mega) com automatização da ponderação (pesos) na integração. Padronizar EAP entre orçamento e Planejamento</t>
  </si>
  <si>
    <t>Avaliar a possibilidade de criar uma central de legalização</t>
  </si>
  <si>
    <t>obra e entrega 4; exigência legal/CEF 4; dependência 4.</t>
  </si>
  <si>
    <t>Validação do cadastro do agente do empreiteiro (regime tributário do empreiteiro)</t>
  </si>
  <si>
    <t>Criar fluxo de envio de contratos ao time de Segurança do Trabalho para conhecimento e plano de impedimento de acesso a obra em caso de divergências</t>
  </si>
  <si>
    <t>Estabelecer controles para garantir o cumprimento da Política Comercial do Empreendimento</t>
  </si>
  <si>
    <t>Implementar sistema de Due Diligence // Definir critérios de compliance (due diligence) para fornecedores // Avaliar Due Diligence para Fornecedores</t>
  </si>
  <si>
    <t>Criar fluxo de análise de consumo, considerando estoques, responsabilidade da baixa</t>
  </si>
  <si>
    <t>risco de fraude/erro 4; impacto financeiro 4; dependência 4.</t>
  </si>
  <si>
    <t>Padronização de solicitação de distrato pela Obra para o GMO e treinamento aos envolvidos</t>
  </si>
  <si>
    <t>risco de fraude/erro 4; obra e entrega 4; exigência legal/CEF 4.</t>
  </si>
  <si>
    <t>Contrato de fornecimento não puxa os itens da solicitação de compras no Mega</t>
  </si>
  <si>
    <t>impacto financeiro 4; exigência legal/CEF 4; dependência 4.</t>
  </si>
  <si>
    <t>Elaborar POP - Realização de Pagamentos Manuais</t>
  </si>
  <si>
    <t>risco de fraude/erro 5; impacto financeiro 5.</t>
  </si>
  <si>
    <t>Elaborar Política - Revisar quais itens são aplicáveis ter contrato (gestão de riscos) / negociações em whatsapp / e-mail / Definir Política de Contratos</t>
  </si>
  <si>
    <t>Elaborar Política - processo de cadastro e atualização cadastral de fornecedores, contemplando documentação obrigatória, critérios de validação, responsabilidades, periodicidade de atualização e controles aplicáveis.</t>
  </si>
  <si>
    <t>Habilitar módulo de aditivo de contrato no Mega (novos serviços de mesmo tipo) Verificar com Mega</t>
  </si>
  <si>
    <t>Avaliar contratação de uma pessoa dedicada integralmente para esta demanda</t>
  </si>
  <si>
    <t>obra e entrega 4; impacto financeiro 4.</t>
  </si>
  <si>
    <t>Implementar Indicador - Início de serviço sem contrato</t>
  </si>
  <si>
    <t>risco de fraude/erro 4; exigência legal/CEF 4. é controle (+0,3).</t>
  </si>
  <si>
    <t>Definir regras contábeis de distribuição de receitas e despesas em CNPJs diferentes</t>
  </si>
  <si>
    <t>Elaborar POP - Parametrização Fiscal do Contrato de Empreiteiros (Grazi)</t>
  </si>
  <si>
    <t>exigência legal/CEF 5; risco de fraude/erro 4; impacto financeiro 4.</t>
  </si>
  <si>
    <t>Elaborar IT - Parametrização Fiscal do Contrato de Empreiteiro(Grazi)</t>
  </si>
  <si>
    <t>Avaliar bloqueio de unidades permutadas dentro do Mega a partir do CV</t>
  </si>
  <si>
    <t>Elaborar POP - Procedimento Comercial do Empreendimento (Prazo, Condição de Pagamento, Riscos, modalidade e fonte de recurso, campanhas por empreendimento, etc.)</t>
  </si>
  <si>
    <t>dependência 5; risco de fraude/erro 4; impacto financeiro 4.</t>
  </si>
  <si>
    <t>Alinhar com Mega sobre integrações para realizar planejamento de compras</t>
  </si>
  <si>
    <t>obra e entrega 4; impacto financeiro 4; dependência 4.</t>
  </si>
  <si>
    <t>Estruturar processo de rituais de gestão de obra (Helen)</t>
  </si>
  <si>
    <t>Levantamento de contratos ativos do Grupo Gadens</t>
  </si>
  <si>
    <t>risco de fraude/erro 4; impacto financeiro 4; exigência legal/CEF 4.</t>
  </si>
  <si>
    <t>Definir regra para manter homologação de fornecedor válida (periodicamente)</t>
  </si>
  <si>
    <t>Contrato de fornecimento não puxa os itens da solicitação de compras no Mega ou plataforma similar que possa aparecer</t>
  </si>
  <si>
    <t>Criar processo de cadastro de fornecedores no Mega</t>
  </si>
  <si>
    <t>dependência 5; risco de fraude/erro 4; exigência legal/CEF 4.</t>
  </si>
  <si>
    <t>Puxar alinhamento para redefinição das alçadas de aprovação</t>
  </si>
  <si>
    <t>risco de fraude/erro 4; dependência 4. é controle (+0,3).</t>
  </si>
  <si>
    <t>Elaborar Política - Política Comercial do Empreendimento (Prazo, Condição de Pagamento, Riscos, modalidade e fonte de recurso, campanhas por empreendimento, etc.), depois, elaborar POP</t>
  </si>
  <si>
    <t>Elaborar POP - Critérios e diretrizes de vistoria interna (Copel, Sanepar e concessionarias) Finalização de Obra</t>
  </si>
  <si>
    <t>obra e entrega 4; exigência legal/CEF 4.</t>
  </si>
  <si>
    <t>Elaborar POP - Processo de Contas a Pagar</t>
  </si>
  <si>
    <t>Incluir processo de mapa de cotação no Mega</t>
  </si>
  <si>
    <t>"Incluir a retenção técnica no POP de Contrato de Empreiteiros</t>
  </si>
  <si>
    <t>Elaborar POP - Escrituras de Permutas</t>
  </si>
  <si>
    <t>Elaborar POP - Critérios de Conferência Financeira/Fiscal e tratativas de divergência e critérios de aprovação de AP</t>
  </si>
  <si>
    <t>Avaliar análise de crédito complementar na modalidade bancário</t>
  </si>
  <si>
    <t>Avaliar análise de crédito complementar na modalidade associativo</t>
  </si>
  <si>
    <t>Elaborar POP ou Política - Premissas Validação da Análise de Crédito Make It</t>
  </si>
  <si>
    <t>Avaliar análise de crédito interna para modalidade bancária</t>
  </si>
  <si>
    <t>Definir qual tipo de contrato será feito quando for unidades permutadas fora do empreendimento</t>
  </si>
  <si>
    <t>Avaliar qual melhor modelo para permuta intercompany e garantir aplicação no sistema e incluir no fluxo</t>
  </si>
  <si>
    <t>Definir regras de comercialização das unidades pelo permutante - Make It e Gadens</t>
  </si>
  <si>
    <t>Elaborar Regimento - Reunião de passagem de fases (todas as fases)</t>
  </si>
  <si>
    <t>obra e entrega 4; dependência 4.</t>
  </si>
  <si>
    <t>Elaborar POP - Processo de Reengenharia</t>
  </si>
  <si>
    <t>Definir processo de contingência de orçamento pré-executivo (Make It)</t>
  </si>
  <si>
    <t>Definir reuniões de passagem de fase com participação da Incorporação, Engenharia (complementares e obras) desde EP até EX. (Make It) Implementar relatório de "passagem de fase" (rever nome) em todas as fases aplicáveis. Problema: Momentos / etapas de compatibilização de projetos não estão bem definidos e formalizados nos fluxos dos processos impactando em retrabalho na execução das obras (Make It) '</t>
  </si>
  <si>
    <t>Consolidação do planejamento do histograma e materiais nas obras (Make It)</t>
  </si>
  <si>
    <t>Parametrização de fluxo de devolução de sinal no CV</t>
  </si>
  <si>
    <t>Incluir regras de comissionamento no CV para automatização</t>
  </si>
  <si>
    <t>Encerramento automático de contrato em caso de não pagamento de sinal</t>
  </si>
  <si>
    <t>Criar carteira de empreiteiros e plano de fidelização e plano de homologação</t>
  </si>
  <si>
    <t>Criar controle de acesso com focal para acompanhamento e definição de plantão para da entrada/saída diariamente e inclusive nos finais de semana e feriados. Definição de gestão da catraca (controle de acesso)</t>
  </si>
  <si>
    <t>Elaborar Política de Almoxarifado - Incluindo regras de inventário (periodicidade, ajustes, alçadas etc.)</t>
  </si>
  <si>
    <t>risco de fraude/erro 4; impacto financeiro 4.</t>
  </si>
  <si>
    <t>Elaborar POP ou Política - Premissas Validação da Análise de Crédito - Gadens</t>
  </si>
  <si>
    <t>Incluir 3ª reunião de avaliação de projetos, protocolo/comitê de projeto para o terreno (NN., ENG., COM., INC.).</t>
  </si>
  <si>
    <t>impacto financeiro 5.</t>
  </si>
  <si>
    <t>Incluir 2ª reunião de avaliação da oportunidades de aquisição, comitê de aquisição de terreno (NN., JUR., ENG., COM., INC.). Definir função de cada membro neste comitê.</t>
  </si>
  <si>
    <t>Elaborar POP - Critérios e diretrizes de vistoria e revistoria de Qualidade - Finalização de Obra</t>
  </si>
  <si>
    <t>obra e entrega 4.</t>
  </si>
  <si>
    <t>Elaborar POP - Processo de Adiantamento</t>
  </si>
  <si>
    <t>impacto financeiro 5; risco de fraude/erro 4.</t>
  </si>
  <si>
    <t>Elaborar POP - Processo de Conciliação da Tesouraria</t>
  </si>
  <si>
    <t>Elaborar POP - Processo de Remessa de Pagamento</t>
  </si>
  <si>
    <t>Incluir revisão de contrato personalizado pós jurídico</t>
  </si>
  <si>
    <t>Criar trava no campo prorrogado para data anterior a data de lançamento</t>
  </si>
  <si>
    <t>Parametrizar Mega para suportar cláusulas a serem inseridas no pedido de compra – Pedido de compra precisa ser “assinado” pelo fornecedor e incluir minuta padrão no sistema</t>
  </si>
  <si>
    <t>Alinhar responsabilidade Comercial ou Novos Negócios sobre o bloqueio das unidades permutadas fora do terreno negociado</t>
  </si>
  <si>
    <t>Elaborar POP - Critérios de Conferência Financeira/Fiscal no BPM</t>
  </si>
  <si>
    <t>Implementar módulo de controle de mútuos</t>
  </si>
  <si>
    <t>Atualizar POP de Due de Empreiteiros</t>
  </si>
  <si>
    <t>risco de fraude/erro 4; exigência legal/CEF 4.</t>
  </si>
  <si>
    <t>Definir critérios da venda direta</t>
  </si>
  <si>
    <t>Formalizar regras de fechamento mensal comercial</t>
  </si>
  <si>
    <t>Elaborar POP - Revisão de projeto e alinha junto ao orçamento – Alinhamento de critérios entre planejamento e orçamento</t>
  </si>
  <si>
    <t>Validação diária de quantitativos (revisão projeto e alinhamento junto ao orçamento (Helen)</t>
  </si>
  <si>
    <t>Avaliar trava no CV sobre comissão dos contratos vendidos por modalidade - Make It</t>
  </si>
  <si>
    <t>Estruturação do histograma e acompanhamento da produtividade da obra com controle de efetivo (deverá ser realizado no Planejamento Executivo)</t>
  </si>
  <si>
    <t>Ajustar datas em contrato com empreiteiros (5, 18 e 25)</t>
  </si>
  <si>
    <t>impacto financeiro 4.</t>
  </si>
  <si>
    <t>Definir documentação mínima de cadastro de fornecedores</t>
  </si>
  <si>
    <t>risco de fraude/erro 4; exigência legal/CEF 4; dependência 4.</t>
  </si>
  <si>
    <t>Elaborar POP - Estrutura e diretrizes de Ficha de Especificação de Projetos</t>
  </si>
  <si>
    <t>Elaborar POP - Estrutura e diretrizes de projeto de TAP</t>
  </si>
  <si>
    <t>Elaborar POP - Padrão de Desenvolvimento de Projeto de Terraplanagem e Croqui de Contenções</t>
  </si>
  <si>
    <t>Envio do termo de vistoria para o cliente</t>
  </si>
  <si>
    <t>Elaborar POP - Lista de escopo que não deveria ser alterada (ex. fundação, quadro, esquadrilha, vedação, posicionamento do esquadro) - Lucas Lopes + Talita e Nadi</t>
  </si>
  <si>
    <t>Incluir protocolo de avaliação e assinatura de pastas no processo de entrega, avaliação de projetos, orçamento e planejamento executivo pelo Engenheiro Residente. (ENG., Obras e Projetos) e protocolo via ClickUp</t>
  </si>
  <si>
    <t>Avaliar trava no CV sobre comissão dos contratos vendidos por modalidade - Gadens</t>
  </si>
  <si>
    <t>Analisar e implantar banco de dados de preços unitários em plataforma que atenda a demanda</t>
  </si>
  <si>
    <t>impacto financeiro 4; dependência 4.</t>
  </si>
  <si>
    <t>Avaliar a implementação do Portal de Fornecedores ou solução tecnológica equivalente para suportar os processos de cadastro, atualização cadastral e gestão documental de fornecedores.</t>
  </si>
  <si>
    <t>dependência 4.</t>
  </si>
  <si>
    <t>Implantação do módulo de qualificação de fornecedores (responsáveis: Cleber, Alessandro, Alexandre)</t>
  </si>
  <si>
    <t>Emissão de Guias de Pagamento - G-Control ou outra ferramenta futura que possa aparecer</t>
  </si>
  <si>
    <t>impacto financeiro 4; exigência legal/CEF 4.</t>
  </si>
  <si>
    <t>Revisar minutas contratuais em conjunto com a contabilidade e o jurídico, criando modelo único padronizado. (Falta de informações na minuta de contratos: definições contábeis)</t>
  </si>
  <si>
    <t>Definição do processo de recebimento de notas fiscais (com responsáveis, por empresas / áreas). Canal de Recebimento // Grupo de trabalho com Suprimentos, Financeiro, Incorporação Gadens, Incorporação Make It, TI e Jurídico</t>
  </si>
  <si>
    <t>Implementar processo de controle de estoque (inventários, auditoria, acuracidade, indicadores), incluindo as respectivas políticas e elaborar POPs, conforme aplicabilidade.</t>
  </si>
  <si>
    <t>Estruturação do GMO.</t>
  </si>
  <si>
    <t>Criar minuta contratual para fornecimento de material</t>
  </si>
  <si>
    <t>Definir data de corte p/ lançamento das medições</t>
  </si>
  <si>
    <t>Garantir controle do financeiro no processo de validação da documentação do empreiteiro - Erica</t>
  </si>
  <si>
    <t>Verificar possibilidade de aprovar alteração de contrato dentro do Mega pela Diretoria</t>
  </si>
  <si>
    <t>Parametrizar workflow de aprovação de adiantamento e avaliar BPM adiantamento integrado com Mega por meio de solicitação/pedido.</t>
  </si>
  <si>
    <t>Avaliar se 'vale a pena' deixar o terreno no nome do terrenista</t>
  </si>
  <si>
    <t>Estudar possibilidade de integração do planejamento de compras no Mega</t>
  </si>
  <si>
    <t>Avaliar alçada de aprovação de minutas (envolvendo diretorias)</t>
  </si>
  <si>
    <t>risco de fraude/erro 4; exigência legal/CEF 4; dependência 4. é controle (+0,3).</t>
  </si>
  <si>
    <t>Incluir alçadas no BPM (GMO)</t>
  </si>
  <si>
    <t>Alinhamento c/ os envolvidos a respeito do cumprimento do Contrato (critérios de medição / pgtos) (Andressa)</t>
  </si>
  <si>
    <t>Solicitação de alteração contratual pela obra - Padronizar e definir fluxo</t>
  </si>
  <si>
    <t>Elaborar Política - PGTOs (prazo médio etc.), incluindo adiantamentos e reembolso. (Incluindo a Central de Notas)</t>
  </si>
  <si>
    <t>Alinhar reunião para revisão da viabilidade antes de subir premissas para o sistema</t>
  </si>
  <si>
    <t>Elaborar meio de formalização de tratativas com empreiteiras via e-mail (Ata de Não Conformidade) (Lucas de Antonio).</t>
  </si>
  <si>
    <t>Fernando de Souza</t>
  </si>
  <si>
    <t>exigência legal/CEF 4. é controle (+0,3).</t>
  </si>
  <si>
    <t>Plano de ação junto a Obra em caso de não conformidades de Qualidade</t>
  </si>
  <si>
    <t>nenhum critério com nota 4 ou 5. é controle (+0,3).</t>
  </si>
  <si>
    <t>Definir se o mapa de cotação e lançamento de notas ficarão com GMO ou Suprimentos</t>
  </si>
  <si>
    <t>Identif. a possib. das áreas que necessitam incluir Contrato no Mega s/ utilizar Contrato livre (Bruna)</t>
  </si>
  <si>
    <t>risco de fraude/erro 4. é controle (+0,3).</t>
  </si>
  <si>
    <t>Nas situações de somente um fornecedor prospectado, definir o fluxo de aprovação</t>
  </si>
  <si>
    <t>Revisão das minutas contratuais de mão de obra / empreiteiros</t>
  </si>
  <si>
    <t>exigência legal/CEF 5; risco de fraude/erro 4.</t>
  </si>
  <si>
    <t>Elaborar POP para conferência no recebimento físico (nº do pedido, itens, quantidade, qualidade etc.). Itens obrigatórios de validação relação de materiais que almoxarifado precisa de apoio</t>
  </si>
  <si>
    <t>Elaborar POP - Análise das cotações / propostas</t>
  </si>
  <si>
    <t>Elaborar Política - Regras de inventário (periodicidade, ajustes, alçadas etc.)</t>
  </si>
  <si>
    <t>Treinar obra no marco de entrega de documentos finais CEF e demais marcos de entrega de documentação para que iniciem no momento adequado e evitem atraso.</t>
  </si>
  <si>
    <t>Treinamento</t>
  </si>
  <si>
    <t>obra e entrega 5; exigência legal/CEF 4. treinamento (-0,2).</t>
  </si>
  <si>
    <t>Verificar "trava" para opção de proposta sem menor preço (para o comprador)</t>
  </si>
  <si>
    <t>Implementar Indicador - Cumprimento da conciliação diária bancária</t>
  </si>
  <si>
    <t>Elaborar POP - Pré-Due Diligence – Gadens</t>
  </si>
  <si>
    <t>Elaborar POP - Estimativa de Due – Gadens</t>
  </si>
  <si>
    <t>Elaborar POP - Elaboração do Orçamento Paramétrico para Viabilidade V0</t>
  </si>
  <si>
    <t>Elaborar POP - Pré-Due Jurídica</t>
  </si>
  <si>
    <t>Elaborar POP - Consolidação da Due Diligence e Decisão – Gadens</t>
  </si>
  <si>
    <t>Elaborar POP - Due Diligence Técnica Integrada – Gadens</t>
  </si>
  <si>
    <t>Elaborar POP - Abertura e Governança da Due Diligence – Gadens</t>
  </si>
  <si>
    <t>Elaborar POP - Consolidação da Due Diligence – Make It</t>
  </si>
  <si>
    <t>Elaborar POP - Due Diligence Técnica Integrada – Make It</t>
  </si>
  <si>
    <t>Elaborar POP - Abertura e Governança da Due Diligence – Make It</t>
  </si>
  <si>
    <t>Elaborar POP - Pré-Due Diligence – Make It</t>
  </si>
  <si>
    <t>Elaborar POP - Viabilidade Financeira V0 - Gadens e Make It</t>
  </si>
  <si>
    <t>Elaborar POP - Estudo Preliminar de Viabilidade Econômica V0</t>
  </si>
  <si>
    <t>Elaborar POP - Elaboração do Estudo de Massa para Viabilidade V0</t>
  </si>
  <si>
    <t>Elaborar POP - Análise de Aderência Estratégica da Oportunidade</t>
  </si>
  <si>
    <t>Elaborar POP - Definição das Diretrizes de Prospecção</t>
  </si>
  <si>
    <t>Implementar análise gerencial APs em aberto, conciliação bancária e contábil</t>
  </si>
  <si>
    <t>Definir área responsável pela gestão do cadastro de fornecedores</t>
  </si>
  <si>
    <t>dependência 5; risco de fraude/erro 4.</t>
  </si>
  <si>
    <t>Avaliar momento de memoriais CEF no AP da Gadens</t>
  </si>
  <si>
    <t>Implantação do estoque de obra no Mega / Revisitar Mega para rodar o módulo de gestão de estoques</t>
  </si>
  <si>
    <t>Estudar se a diretoria aceita a definição de parceiros padrão para compras emergenciais com pagamento via boleto</t>
  </si>
  <si>
    <t>risco de fraude/erro 4.</t>
  </si>
  <si>
    <t>Verificar duplicidade - alerta CNPJ (pré cadastro)</t>
  </si>
  <si>
    <t>Bloquear cadastro de CNPJ já existente - Avaliar possibilidade</t>
  </si>
  <si>
    <t>Elaborar POP- Processo de orçamento pré-executivo/Executivo</t>
  </si>
  <si>
    <t>Leticia Gonçalves Bacchi</t>
  </si>
  <si>
    <t>Elaborar POP - Processo de Orçamento (Fase EP)</t>
  </si>
  <si>
    <t>Implementar sistemática de acompanhamento pela área de qualidade durante a obra</t>
  </si>
  <si>
    <t>Definir sistemática de acompanhamento pela área de qualidade durante a obra.(Gadens. Na Make it já acontece) (Alessandro)</t>
  </si>
  <si>
    <t>Elaborar POP - Regras para transferência de estoques entre obras</t>
  </si>
  <si>
    <t>Revisão - importação do orçamento (perda de pacote) Problema: Falta de integração entre os sistemas Maxor e Mega Sugestão de melhoria: Integração Maxor x Mega</t>
  </si>
  <si>
    <t>Todas as atividades do ClickUp com a prioridade sugerida</t>
  </si>
  <si>
    <t>Leitura do ClickUp em 27/10/2026 (todos os status). A prioridade que já estava no ClickUp não foi usada. Notas manuais e regra base são proposta minha; células amarelas podem ser editadas.</t>
  </si>
  <si>
    <t>ID</t>
  </si>
  <si>
    <t>Todos os
responsáveis</t>
  </si>
  <si>
    <t>Esforço
(1–5)</t>
  </si>
  <si>
    <t>Risco de
fraude e erro</t>
  </si>
  <si>
    <t>Impacto
financeiro</t>
  </si>
  <si>
    <t>Obra e
entrega</t>
  </si>
  <si>
    <t>Legal, CEF e
compliance</t>
  </si>
  <si>
    <t>Dependência</t>
  </si>
  <si>
    <t>Para obra ou
repasse CEF?</t>
  </si>
  <si>
    <t>Origem da
nota</t>
  </si>
  <si>
    <t>Média
ponderada</t>
  </si>
  <si>
    <t>Fator do
processo</t>
  </si>
  <si>
    <t>Ajuste da
natureza</t>
  </si>
  <si>
    <t>Cat.
final</t>
  </si>
  <si>
    <t>Prioridade
sugerida</t>
  </si>
  <si>
    <t>Chave</t>
  </si>
  <si>
    <t>Por que</t>
  </si>
  <si>
    <t>86acvyn3f</t>
  </si>
  <si>
    <t>Não</t>
  </si>
  <si>
    <t>Manual (proposta)</t>
  </si>
  <si>
    <t>86acmweg8</t>
  </si>
  <si>
    <t>86akm8zdk</t>
  </si>
  <si>
    <t>86aghrguf</t>
  </si>
  <si>
    <t>86akm8zd0</t>
  </si>
  <si>
    <t>86aghkwdz</t>
  </si>
  <si>
    <t>86aget7z8</t>
  </si>
  <si>
    <t>86aj81736</t>
  </si>
  <si>
    <t>86agetqqx</t>
  </si>
  <si>
    <t>86ahckp0b</t>
  </si>
  <si>
    <t>86agjaf19</t>
  </si>
  <si>
    <t>Edgard Machado Ferreira Junior, Andressa Gazolla Gutmann</t>
  </si>
  <si>
    <t>86ahcknyj</t>
  </si>
  <si>
    <t>17tpepcddc7</t>
  </si>
  <si>
    <t>17tpepcpu1m</t>
  </si>
  <si>
    <t>86akm8zcd</t>
  </si>
  <si>
    <t>86aghjy3t</t>
  </si>
  <si>
    <t>86aghvdeq</t>
  </si>
  <si>
    <t>86aj7bmyf</t>
  </si>
  <si>
    <t>86aj7c60y</t>
  </si>
  <si>
    <t>86agpfvd9</t>
  </si>
  <si>
    <t>86aghvde5</t>
  </si>
  <si>
    <t>86acmxhwv</t>
  </si>
  <si>
    <t>86agdhgp1</t>
  </si>
  <si>
    <t>86ahket8w</t>
  </si>
  <si>
    <t>86aghjy4b</t>
  </si>
  <si>
    <t>17tpepcdk0j</t>
  </si>
  <si>
    <t>86aj7bqh4</t>
  </si>
  <si>
    <t>86ahrhbbm</t>
  </si>
  <si>
    <t>86agja5mq</t>
  </si>
  <si>
    <t>86aj7nzvu</t>
  </si>
  <si>
    <t>86aj7nzvj</t>
  </si>
  <si>
    <t>86aj7nzvg</t>
  </si>
  <si>
    <t>86aj7nzvf</t>
  </si>
  <si>
    <t>86aj7nzuq</t>
  </si>
  <si>
    <t>86aj7nzum</t>
  </si>
  <si>
    <t>86acmxepj</t>
  </si>
  <si>
    <t>86aghg2zx</t>
  </si>
  <si>
    <t>86akm8zef</t>
  </si>
  <si>
    <t>86aghvmva</t>
  </si>
  <si>
    <t>86acmwekb</t>
  </si>
  <si>
    <t>86akm8zdu</t>
  </si>
  <si>
    <t>86ajrpdpt</t>
  </si>
  <si>
    <t>86aghuyu2</t>
  </si>
  <si>
    <t>86aget7yk</t>
  </si>
  <si>
    <t>86acmxh1v</t>
  </si>
  <si>
    <t>17tpepcprk3</t>
  </si>
  <si>
    <t>86acmx4dw</t>
  </si>
  <si>
    <t>86aghvmuc</t>
  </si>
  <si>
    <t>86aghpd64</t>
  </si>
  <si>
    <t>86aghrgth</t>
  </si>
  <si>
    <t>17tpepcpu1k</t>
  </si>
  <si>
    <t>86aj7b7pf</t>
  </si>
  <si>
    <t>Sim</t>
  </si>
  <si>
    <t>86agen80g</t>
  </si>
  <si>
    <t>86agc8a2d</t>
  </si>
  <si>
    <t>17tpepcpr2r</t>
  </si>
  <si>
    <t>17tpepcdaef</t>
  </si>
  <si>
    <t>86aghm6g1</t>
  </si>
  <si>
    <t>86aghjy4w</t>
  </si>
  <si>
    <t>86aj7c618</t>
  </si>
  <si>
    <t>86ah5hfzp</t>
  </si>
  <si>
    <t>86acmxf6b</t>
  </si>
  <si>
    <t>86agcx0kv</t>
  </si>
  <si>
    <t>86agc64qm</t>
  </si>
  <si>
    <t>86agc5vxc</t>
  </si>
  <si>
    <t>86aghccqb</t>
  </si>
  <si>
    <t>86aget0j9</t>
  </si>
  <si>
    <t>86akm8zd2</t>
  </si>
  <si>
    <t>Grazielle de Oliveira, Paulo Tavares</t>
  </si>
  <si>
    <t>86akm8zca</t>
  </si>
  <si>
    <t>86aghvddc</t>
  </si>
  <si>
    <t>17tpepcgpg2</t>
  </si>
  <si>
    <t>86aght78g</t>
  </si>
  <si>
    <t>17tpepcmy8d</t>
  </si>
  <si>
    <t>17tpepcpu1d</t>
  </si>
  <si>
    <t>17tpepcmy8e</t>
  </si>
  <si>
    <t>86ahxbzgc</t>
  </si>
  <si>
    <t>86agety0x</t>
  </si>
  <si>
    <t>86agetqtb</t>
  </si>
  <si>
    <t>Edgard Machado Ferreira Junior, Carlos Oliveira</t>
  </si>
  <si>
    <t>86aget7yz</t>
  </si>
  <si>
    <t>86akm8zde</t>
  </si>
  <si>
    <t>17tpepcgphr</t>
  </si>
  <si>
    <t>86aghg2z4</t>
  </si>
  <si>
    <t>17tpepcqf7n</t>
  </si>
  <si>
    <t>17tpepcpuv6</t>
  </si>
  <si>
    <t>86akam4qm</t>
  </si>
  <si>
    <t>86ahf81y6</t>
  </si>
  <si>
    <t>17tpepct4cj</t>
  </si>
  <si>
    <t>Paulo Tavares, Érica Ferreira Tavares Silva Caldeira</t>
  </si>
  <si>
    <t>86akm8zda</t>
  </si>
  <si>
    <t>86akm8zd7</t>
  </si>
  <si>
    <t>17tpepcprk9</t>
  </si>
  <si>
    <t>17tpepcgpg1</t>
  </si>
  <si>
    <t>86aght7az</t>
  </si>
  <si>
    <t>86aghkwe7</t>
  </si>
  <si>
    <t>86acmkafr</t>
  </si>
  <si>
    <t>17tpepcmy78</t>
  </si>
  <si>
    <t>86ahckp0x</t>
  </si>
  <si>
    <t>86agd8vu7</t>
  </si>
  <si>
    <t>86ahdhy4g</t>
  </si>
  <si>
    <t>86aght77a</t>
  </si>
  <si>
    <t>86aghccq2</t>
  </si>
  <si>
    <t>86agety10</t>
  </si>
  <si>
    <t>17tpepcpu01</t>
  </si>
  <si>
    <t>17tpepct4ch</t>
  </si>
  <si>
    <t>17tpepcpr2y</t>
  </si>
  <si>
    <t>86akm8zcg</t>
  </si>
  <si>
    <t>86aghrgy4</t>
  </si>
  <si>
    <t>17tpepcgphp</t>
  </si>
  <si>
    <t>86aj7bx9d</t>
  </si>
  <si>
    <t>86aghvdek</t>
  </si>
  <si>
    <t>86ahht4ef</t>
  </si>
  <si>
    <t>86aghv5gx</t>
  </si>
  <si>
    <t>86akm8zct</t>
  </si>
  <si>
    <t>86aghgbzt</t>
  </si>
  <si>
    <t>Érica Ferreira Tavares Silva Caldeira, Cleverton Parnoff</t>
  </si>
  <si>
    <t>86ah42zgr</t>
  </si>
  <si>
    <t>86akm8zdw</t>
  </si>
  <si>
    <t>17tpepct4cm</t>
  </si>
  <si>
    <t>86ahhrzff</t>
  </si>
  <si>
    <t>86ahckp17</t>
  </si>
  <si>
    <t>Fernando de Souza, andressa.ferreira@makeitconstrutora.com.br</t>
  </si>
  <si>
    <t>17tpepcgqwv</t>
  </si>
  <si>
    <t>17tpepcgqpc</t>
  </si>
  <si>
    <t>17tpepcent3</t>
  </si>
  <si>
    <t>17tpepcdam8</t>
  </si>
  <si>
    <t>86ajrpcp6</t>
  </si>
  <si>
    <t>17tpepct4ca</t>
  </si>
  <si>
    <t>86aghrgwq</t>
  </si>
  <si>
    <t>86aghvmv4</t>
  </si>
  <si>
    <t>86aght7a0</t>
  </si>
  <si>
    <t>17tpepcprk6</t>
  </si>
  <si>
    <t>17tpepcprjy</t>
  </si>
  <si>
    <t>86aj7b9g5</t>
  </si>
  <si>
    <t>86aj0bje9</t>
  </si>
  <si>
    <t>86ah20vy7</t>
  </si>
  <si>
    <t>Fernando Okraska, Leticia Gonçalves Bacchi</t>
  </si>
  <si>
    <t>86aghv5gn</t>
  </si>
  <si>
    <t>86aghccqj</t>
  </si>
  <si>
    <t>86aghccnf</t>
  </si>
  <si>
    <t>86agc69ak</t>
  </si>
  <si>
    <t>17tpepct4ck</t>
  </si>
  <si>
    <t>17tpepcmy8c</t>
  </si>
  <si>
    <t>17tpepcgkkw</t>
  </si>
  <si>
    <t>17tpepcghcd</t>
  </si>
  <si>
    <t>17tpepcenrt</t>
  </si>
  <si>
    <t>86akm8zba</t>
  </si>
  <si>
    <t>86akm8w63</t>
  </si>
  <si>
    <t>86aj7rq96</t>
  </si>
  <si>
    <t>86aget0jj</t>
  </si>
  <si>
    <t>86agjaf27</t>
  </si>
  <si>
    <t>17tpepcgqnn</t>
  </si>
  <si>
    <t>17tpepcgqnk</t>
  </si>
  <si>
    <t>17tpepcdama</t>
  </si>
  <si>
    <t>86aeukbue</t>
  </si>
  <si>
    <t>86acmwaua</t>
  </si>
  <si>
    <t>86acmwat3</t>
  </si>
  <si>
    <t>17tpepct4c8</t>
  </si>
  <si>
    <t>86aj7bx9m</t>
  </si>
  <si>
    <t>86ahxbyqh</t>
  </si>
  <si>
    <t>86ahxby7r</t>
  </si>
  <si>
    <t>86ahhve2r</t>
  </si>
  <si>
    <t>17tpepcggwd</t>
  </si>
  <si>
    <t>86aghmk4j</t>
  </si>
  <si>
    <t>86agervem</t>
  </si>
  <si>
    <t>17tpepcpr2u</t>
  </si>
  <si>
    <t>17tpepcpr2m</t>
  </si>
  <si>
    <t>86agetqtf</t>
  </si>
  <si>
    <t>17tpepcgkmf</t>
  </si>
  <si>
    <t>17tpepcghcf</t>
  </si>
  <si>
    <t>17tpepcdm30</t>
  </si>
  <si>
    <t>17tpepct4c7</t>
  </si>
  <si>
    <t>17tpepcggu2</t>
  </si>
  <si>
    <t>86ahxbj49</t>
  </si>
  <si>
    <t>86aj7qbvg</t>
  </si>
  <si>
    <t>86aj7nzvq</t>
  </si>
  <si>
    <t>86aj7nzvm</t>
  </si>
  <si>
    <t>86aj7nzvb</t>
  </si>
  <si>
    <t>86aj7nzv8</t>
  </si>
  <si>
    <t>86aj7nzv4</t>
  </si>
  <si>
    <t>86aj7nzv1</t>
  </si>
  <si>
    <t>86aj7nzv0</t>
  </si>
  <si>
    <t>86aj7nzux</t>
  </si>
  <si>
    <t>86aj7nzuw</t>
  </si>
  <si>
    <t>86aj7nzut</t>
  </si>
  <si>
    <t>86aj7nzub</t>
  </si>
  <si>
    <t>86aj7nzu6</t>
  </si>
  <si>
    <t>86aj7nzu0</t>
  </si>
  <si>
    <t>86aj7nztw</t>
  </si>
  <si>
    <t>86aj7nztv</t>
  </si>
  <si>
    <t>86ahht393</t>
  </si>
  <si>
    <t>86aghmk46</t>
  </si>
  <si>
    <t>86aghjy57</t>
  </si>
  <si>
    <t>86aget7z3</t>
  </si>
  <si>
    <t>17tpepct4c6</t>
  </si>
  <si>
    <t>86agj15wy</t>
  </si>
  <si>
    <t>17tpepcpu03</t>
  </si>
  <si>
    <t>17tpepcgqxk</t>
  </si>
  <si>
    <t>17tpepcgm2f</t>
  </si>
  <si>
    <t>86ahckp1w</t>
  </si>
  <si>
    <t>86ahckp0f</t>
  </si>
  <si>
    <t>17tpepcdm31</t>
  </si>
  <si>
    <t>86akm8zbv</t>
  </si>
  <si>
    <t>86aget0hz</t>
  </si>
  <si>
    <t>17tpepcpu04</t>
  </si>
  <si>
    <t>17tpepcpu02</t>
  </si>
  <si>
    <t>86aghd14b</t>
  </si>
  <si>
    <t>86aghvaad</t>
  </si>
  <si>
    <t>86aght78w</t>
  </si>
  <si>
    <t>17tpepcgqnq</t>
  </si>
  <si>
    <t>17tpepcgmj8</t>
  </si>
  <si>
    <t>86aj7b9g8</t>
  </si>
  <si>
    <t>86aj7b0va</t>
  </si>
  <si>
    <t>86aj7b0un</t>
  </si>
  <si>
    <t>86aj7b0ue</t>
  </si>
  <si>
    <t>86aj7a0kg</t>
  </si>
  <si>
    <t>86ahrherk</t>
  </si>
  <si>
    <t>86agzk4n5</t>
  </si>
  <si>
    <t>86agv9x68</t>
  </si>
  <si>
    <t>Lucas Lopes, Fernando Okraska</t>
  </si>
  <si>
    <t>86agjaf14</t>
  </si>
  <si>
    <t>86aghcynb</t>
  </si>
  <si>
    <t>86agedzgg</t>
  </si>
  <si>
    <t>17tpepcenxf</t>
  </si>
  <si>
    <t>86agd80q7</t>
  </si>
  <si>
    <t>86agnzdx8</t>
  </si>
  <si>
    <t>86aghmk4x</t>
  </si>
  <si>
    <t>86agety12</t>
  </si>
  <si>
    <t>86agb7nf0</t>
  </si>
  <si>
    <t>86agetcvz</t>
  </si>
  <si>
    <t>Criar avaliação de inspeção de qualidade para os solicitantes / usuários / responsáveis efetuarem (qualidade: formulário // envio para dentro do Mega: TI) - checklist de avaliação de fornecedor no lançamento da NF integrado no Mega.</t>
  </si>
  <si>
    <t>17tpepcptzx</t>
  </si>
  <si>
    <t>Incluir no POP de aprovação de pedidos (Planejamento e Controle) aprovação de pedidos e solicitações</t>
  </si>
  <si>
    <t>86akm8zby</t>
  </si>
  <si>
    <t>Realinhar/reforçar fluxo de comunicação (notificações verbais, escritas/extrajudiciais junto aos empreiteiros pela Obra, GMO e Jurídico</t>
  </si>
  <si>
    <t>exigência legal/CEF 4.</t>
  </si>
  <si>
    <t>86aghkwdk</t>
  </si>
  <si>
    <t>Abertura das inscrições estaduais para transferências e movimentações de estoque</t>
  </si>
  <si>
    <t>exigência legal/CEF 5.</t>
  </si>
  <si>
    <t>86agegcnh</t>
  </si>
  <si>
    <t>Rever escopo de contratos de projetos complementares para Make It. Problema: Escopo insuficiente de cada fase (Make It)</t>
  </si>
  <si>
    <t>nenhum critério com nota 4 ou 5.</t>
  </si>
  <si>
    <t>17tpepcdm33</t>
  </si>
  <si>
    <t>Definir fluxo de contratos personalizados no CV e treinar os envolvidos - Gadens</t>
  </si>
  <si>
    <t>86ahyemjf</t>
  </si>
  <si>
    <t>Implementar Indicador - Percentuais pagamentos indevidos</t>
  </si>
  <si>
    <t>86ahxbk65</t>
  </si>
  <si>
    <t>Implementar indicador de Saldo Acumulado de Adiantamento</t>
  </si>
  <si>
    <t>86ah4b34c</t>
  </si>
  <si>
    <t>Implementar indicador de Regularização com a finalidade de medir o percentual de compras que estão sendo realizdas por outras areas e fora da área de suprimentos e devem ser regularizadas.</t>
  </si>
  <si>
    <t>86agervek</t>
  </si>
  <si>
    <t>Avaliar possibilidade de Incluir justificativa para opção de proposta que não tem o melhor preço no mapa de cotação</t>
  </si>
  <si>
    <t>17tpepcent0</t>
  </si>
  <si>
    <t>Integrar CV com Mega - Gadens</t>
  </si>
  <si>
    <t>dependência 5; impacto financeiro 4.</t>
  </si>
  <si>
    <t>17tpepcdm34</t>
  </si>
  <si>
    <t>Melhorar integração CV com Mega - Make It</t>
  </si>
  <si>
    <t>86aghgbwp</t>
  </si>
  <si>
    <t>Elaborar Política - utilização de cartão corporativo e cartão pré-pago, contemplando critérios de concessão, responsabilidades, limites de utilização, tipos de despesas permitidas, prestação de contas, fluxo de aprovação e controles aplicáveis ao processo.</t>
  </si>
  <si>
    <t>86agy1hhy</t>
  </si>
  <si>
    <t>Automatizar processo de aprovação de ajustes de inventários no Approvo ou outro formato.</t>
  </si>
  <si>
    <t>17tpepcpu29</t>
  </si>
  <si>
    <t>Desenvolver o G-Control de cadastro de fornecedores homologados para atender as demandas de GMO e Suprimentos</t>
  </si>
  <si>
    <t>86ahcknyy</t>
  </si>
  <si>
    <t>Criar padrão e implementar de quadro de não conformidade nas Obras.</t>
  </si>
  <si>
    <t>17tpepct4ce</t>
  </si>
  <si>
    <t>Validar como será a definição das condições de pagamento, caso a caso, em permutas de materiais/serviços</t>
  </si>
  <si>
    <t>17tpepcgpg0</t>
  </si>
  <si>
    <t>Elaborar POP - Definição de Tabela de Preço</t>
  </si>
  <si>
    <t>86ahrw3e1</t>
  </si>
  <si>
    <t>Avaliar estruturação do processo de definição de custo para cobertura de exposição de caixa (Viabil) - Fluxo de Viabilidade Econômica Financeira</t>
  </si>
  <si>
    <t>86ahcknzr</t>
  </si>
  <si>
    <t>Verificar a criação da AST Avaliação da Segurança (Qualidade – Alessandro).</t>
  </si>
  <si>
    <t>86ahcknzf</t>
  </si>
  <si>
    <t>Verificar a criação do formulário de IDS Inspeção Diária de Segurança que será internalizado estruturar (Segurança - Alessandro).</t>
  </si>
  <si>
    <t>86aghd14n</t>
  </si>
  <si>
    <t>"Definir critérios para obtenção de preços unitários atualizados / automatização. Problema: Falta de preços unitários atualizados. Prazo de retorno de Suprimentos</t>
  </si>
  <si>
    <t>17tpepcdm35</t>
  </si>
  <si>
    <t>86aghcyku</t>
  </si>
  <si>
    <t>Verificar inclusão de cláusula no contrato sobre a inspeção de qualidade</t>
  </si>
  <si>
    <t>17tpepct4cc</t>
  </si>
  <si>
    <t>17tpepcpu06</t>
  </si>
  <si>
    <t>Criar plano de adaptação para nova regra de envio de medições</t>
  </si>
  <si>
    <t>17tpepcgphn</t>
  </si>
  <si>
    <t>86aghnk7c</t>
  </si>
  <si>
    <t>Incluir a Definição das verbas / orçamento das áreas na Due</t>
  </si>
  <si>
    <t>86agetcvd</t>
  </si>
  <si>
    <t>Criar checklist de avaliação de fornecedor (recebimento de materiais) no lançamento da nota fiscal</t>
  </si>
  <si>
    <t>86agcwqb7</t>
  </si>
  <si>
    <t>Definir linha do tempo entre alvará e Lançamento</t>
  </si>
  <si>
    <t>86ah25xb9</t>
  </si>
  <si>
    <t>Validação e manutenção da tabela de preços no módulo ADO do Mega</t>
  </si>
  <si>
    <t>86agzk67a</t>
  </si>
  <si>
    <t>Mapeamento do processo de extensões de rede</t>
  </si>
  <si>
    <t>86agnzcur</t>
  </si>
  <si>
    <t>Elaborar POP - Definição de critérios para atualização de valores unitários do orçamento</t>
  </si>
  <si>
    <t>86agjadkt</t>
  </si>
  <si>
    <t>Alinhamento interno de obras e orçamento para análise e atualização do relatório com as informações acordadas entre as partes (contemplar análises dos desvios, justificativas do estouro, ações corretivas) [Fernando e Letícia)</t>
  </si>
  <si>
    <t>86agcj1ga</t>
  </si>
  <si>
    <t>Desenvolver BI integrado com Mega (ou solução similar) puxando histórico de últimos preços praticados para utilizar no orçamento. Problema: Preços unitários desatualizados</t>
  </si>
  <si>
    <t>17tpepcpu18</t>
  </si>
  <si>
    <t>Criar rotina de gerar fluxo de previsão financeira de contrato de empreiteiros</t>
  </si>
  <si>
    <t>86akm8zc1</t>
  </si>
  <si>
    <t>Definição de sistema padrão para tabela de preços, bem como, treinamento para os envolvidos, criar critérios de atualização</t>
  </si>
  <si>
    <t>17tpepcprjb</t>
  </si>
  <si>
    <t>Formalizar envolvidos que não será mais permitido a personalização de unidades</t>
  </si>
  <si>
    <t>86aghvdfb</t>
  </si>
  <si>
    <t>Incluir data corte no contrato (Andressa)</t>
  </si>
  <si>
    <t>86ahkethw</t>
  </si>
  <si>
    <t>Verificação do fluxo de adiantamento (Origem do adiantamento)para refletir no fluxo</t>
  </si>
  <si>
    <t>86ahke96e</t>
  </si>
  <si>
    <t>Alinhamento entre financeiro e áreas demandantes sobre a baixa dos adiantamentos</t>
  </si>
  <si>
    <t>86aghrgv6</t>
  </si>
  <si>
    <t>Comunicação falha entre GMO X Jurídico x Obra x Qualidade para garantir gestão e cumprimento do contrato</t>
  </si>
  <si>
    <t>86aghmk5t</t>
  </si>
  <si>
    <t>Avaliar qual área ficará responsável pelo lançamento de NF (GMO X Fiscal)</t>
  </si>
  <si>
    <t>86aghg30k</t>
  </si>
  <si>
    <t>Avaliar a responsabilidade do lançamento fiscal (Financeiro x Contabilidade)</t>
  </si>
  <si>
    <t>86aghcynm</t>
  </si>
  <si>
    <t>Avaliar implementação do módulo de gestão de contratos no Mega</t>
  </si>
  <si>
    <t>86agd85n3</t>
  </si>
  <si>
    <t>Discussão sobre pré contratos de projetos que dependem da execução ( castelos d´agua)</t>
  </si>
  <si>
    <t>86agc5c94</t>
  </si>
  <si>
    <t>Solicitação de correção dos pagamentos em duplicidade (não há competência na área)</t>
  </si>
  <si>
    <t>86ahcknz7</t>
  </si>
  <si>
    <t>Elaborar POP - Tratativas com base na avaliação – Plano de ação junto as áreas de GMO, Obra, Eng, e Qualidade (Alessandro)</t>
  </si>
  <si>
    <t>17tpepcdaeg</t>
  </si>
  <si>
    <t>Melhorar o processo de análise crédito do cliente</t>
  </si>
  <si>
    <t>86aghpd4j</t>
  </si>
  <si>
    <t>Definir Grupo de Trabalho (GT) responsabilidade e aplicabilidade planilha de unidades, áreas e vagas vinculadas (Mariane)</t>
  </si>
  <si>
    <t>17tpepcpr29</t>
  </si>
  <si>
    <t>86akm8zcx</t>
  </si>
  <si>
    <t>Incluir SST na esteira de contratos no ClickUp</t>
  </si>
  <si>
    <t>86ahckp07</t>
  </si>
  <si>
    <t>Definir SLA de distrato (Jurídico).</t>
  </si>
  <si>
    <t>86aghvmuw</t>
  </si>
  <si>
    <t>Definir papéis e responsabilidades da gestão de Contratos no GMO (Bruna)</t>
  </si>
  <si>
    <t>86agc71jx</t>
  </si>
  <si>
    <t>Avaliar Padronização dos produtos (Make It). Problema: Falta de assertividade nos quantitativos devido a falta de informações e padronização.</t>
  </si>
  <si>
    <t>86aghv5h3</t>
  </si>
  <si>
    <t>Criar checklist de avaliação de fornecedor (GMO) no lançamento da nota fiscal</t>
  </si>
  <si>
    <t>86aghrgtv</t>
  </si>
  <si>
    <t>Avaliar separação de contratos por serviços e materiais / locações e serviços, no Mega</t>
  </si>
  <si>
    <t>86aghmk3u</t>
  </si>
  <si>
    <t>Rever processo para abertura e fechamento de contas bancárias</t>
  </si>
  <si>
    <t>86aght76p</t>
  </si>
  <si>
    <t>Garantir que todas as solicitações comecem pelo BPM</t>
  </si>
  <si>
    <t>86acmwf2n</t>
  </si>
  <si>
    <t>Teste Viabil x Viabilidade Mega</t>
  </si>
  <si>
    <t>17tpepcep2n</t>
  </si>
  <si>
    <t>86aghg303</t>
  </si>
  <si>
    <t>Boleto vencido é possível lançar – avaliar bloqueio no Mega</t>
  </si>
  <si>
    <t>86aghjy50</t>
  </si>
  <si>
    <t>Conciliar caixinhas das Incorporadoras</t>
  </si>
  <si>
    <t>86agety1j</t>
  </si>
  <si>
    <t>Regra de aprovação de itens, após a validação da contabilidade</t>
  </si>
  <si>
    <t>dependência 4. é controle (+0,3).</t>
  </si>
  <si>
    <t>86agetqt6</t>
  </si>
  <si>
    <t>Implementar fluxo de aprovação para cadastro de itens / níveis de aprovação (Contabilidade antes de Suprimentos)</t>
  </si>
  <si>
    <t>86acmx33z</t>
  </si>
  <si>
    <t>Padronizar nomenclatura de comprovantes no SharePoint e automatizar integração com o Mega para lançamento e estratificação gerencial de pagamentos</t>
  </si>
  <si>
    <t>17tpepcdahb</t>
  </si>
  <si>
    <t>Implantar formalização de contratação com as imobiliárias selecionadas/Correspondentes (Contrato de Parceiria - Foco LGPD)</t>
  </si>
  <si>
    <t>86agpfz97</t>
  </si>
  <si>
    <t>Avaliar utilização BPM X Approvo para lançamento de nota de medição</t>
  </si>
  <si>
    <t>86aghvdf2</t>
  </si>
  <si>
    <t>Avaliar rotina mensal de check documental, independente de medição (Lizandra)</t>
  </si>
  <si>
    <t>86aget0hc</t>
  </si>
  <si>
    <t>Implementar Requisição Interna de Material (RIM)</t>
  </si>
  <si>
    <t>86acmxhx0</t>
  </si>
  <si>
    <t>Abrir ST para contratação de serviços e pagamento durante a pré-due e due diligence no Mega.</t>
  </si>
  <si>
    <t>86agd825f</t>
  </si>
  <si>
    <t>Incluir no Projeto Executivo a trilha de distribuição após status de aprovação (AutoDoc com BPM). Avaliar uso do Power Automate para distribuição de projetos e orçamentos</t>
  </si>
  <si>
    <t>86aghvmum</t>
  </si>
  <si>
    <t>Definir SLA para obra enviar para central de notas (Medição - GMO)</t>
  </si>
  <si>
    <t>Érica Ferreira Tavares Silva Caldeira, Paulo Tavares</t>
  </si>
  <si>
    <t>86aghuyu6</t>
  </si>
  <si>
    <t>GMO enviará para Financeiro relatório das medições que não tem NF emitida para controle de provisão</t>
  </si>
  <si>
    <t>17tpepcptzw</t>
  </si>
  <si>
    <t>Elaborar POP - Análise da Carteira de Empreiteiros</t>
  </si>
  <si>
    <t>17tpepcep33</t>
  </si>
  <si>
    <t>86aghg2zh</t>
  </si>
  <si>
    <t>Fazer AR diretamente no gerenciador de NFs p/ materiais e serviços. Utilização integral do Gerenciador de NFs</t>
  </si>
  <si>
    <t>86aghrgxf</t>
  </si>
  <si>
    <t>GMO Responsável para acompanhamento das assinaturas das minutas (mão de obra)</t>
  </si>
  <si>
    <t>17tpepcghcc</t>
  </si>
  <si>
    <t>Automatizar data da venda e competência do contrato</t>
  </si>
  <si>
    <t>86aghvmtx</t>
  </si>
  <si>
    <t>Amarrar fluxo BPM p/ inclusão de NF de empreiteiros (Alexandre)</t>
  </si>
  <si>
    <t>86ahkern3</t>
  </si>
  <si>
    <t>Elaborar POP - Encerramento de Contas Bancárias</t>
  </si>
  <si>
    <t>86aghjnhg</t>
  </si>
  <si>
    <t>Revisão de classes financeiras e relação com plano de contas</t>
  </si>
  <si>
    <t>17tpepcpu1c</t>
  </si>
  <si>
    <t>Avaliar possibilidade de verificação da autenticidade de documentos via IA</t>
  </si>
  <si>
    <t>17tpepcddpp</t>
  </si>
  <si>
    <t>Definir plataforma de busca e gestão de documentos fiscais</t>
  </si>
  <si>
    <t>86ahketck</t>
  </si>
  <si>
    <t>Verificar alerta de adiantamento no momento do lançamento da nota</t>
  </si>
  <si>
    <t>86agc59nd</t>
  </si>
  <si>
    <t>Ajustes de CNAE e Impostos referente a notas fiscais e impostos - Solicitar a área para correção (não há competência)</t>
  </si>
  <si>
    <t>86ahckp1u</t>
  </si>
  <si>
    <t>Elaborar POP - Estrutura de sistemas de não conformidade para desvio do fluxo, incluindo regra de fluxo e comunicado de “Falta de remoção de restrição irá virar não conformidade”.</t>
  </si>
  <si>
    <t>86agnyyd6</t>
  </si>
  <si>
    <t>Definição de indicadores Gadens para redução de cronograma</t>
  </si>
  <si>
    <t>17tpepcprj8</t>
  </si>
  <si>
    <t>Realizar a validação de prazo de inclusão de data de opção de planta da unidade</t>
  </si>
  <si>
    <t>17tpepcprj5</t>
  </si>
  <si>
    <t>Avaliar com as construtoras prazo máximo para alteração de opção de planta</t>
  </si>
  <si>
    <t>17tpepcgkmw</t>
  </si>
  <si>
    <t>86akm8zdz</t>
  </si>
  <si>
    <t>Incluir informações de documentação parcial, completa, para contratação"</t>
  </si>
  <si>
    <t>86akm8zbq</t>
  </si>
  <si>
    <t>Definição do lead time do momento da solicitação aprovada até a assinatura do contrato (alinhar com áreas envolvidas), e sua devida formalização</t>
  </si>
  <si>
    <t>86aghrgz0</t>
  </si>
  <si>
    <t>Revisar lista de documentos para homologação de fornecedores GMO</t>
  </si>
  <si>
    <t>86aghrgvx</t>
  </si>
  <si>
    <t>Avaliar SLA de cada etapa do processo de GMO incluindo SLA para assinatura do contrato</t>
  </si>
  <si>
    <t>86aghg2yw</t>
  </si>
  <si>
    <t>Entender integração de anexos entre empreiteiros x Contas a Pagar no Mega</t>
  </si>
  <si>
    <t>Regra base</t>
  </si>
  <si>
    <t>86agetqr5</t>
  </si>
  <si>
    <t>Avaliar se o sistema Mega cria automaticamente o cronograma de compras com base nas informações do planejamento / orçamento</t>
  </si>
  <si>
    <t>17tpepcprk8</t>
  </si>
  <si>
    <t>Implementar informação da escolha das unidades/empreendimento no fluxo de permutas fora do terreno negociado no ClickUp</t>
  </si>
  <si>
    <t>86akm8ze3</t>
  </si>
  <si>
    <t>Elaborar Regimento - Reunião Mensal de Médio Prazo</t>
  </si>
  <si>
    <t>86akm8zbd</t>
  </si>
  <si>
    <t>Criar lead time para tratativas de urgência e ampliar base de empreiteiros</t>
  </si>
  <si>
    <t>86agety1h</t>
  </si>
  <si>
    <t>Criar gatilhos / alertas para as solicitações de materiais no Mega (controle de estoque)</t>
  </si>
  <si>
    <t>86agc6y33</t>
  </si>
  <si>
    <t>Estudo para internalização de Projetos Arquitetônicos (Make It) Ampliar o portfolio de fornecedores (exceto arquitetura)</t>
  </si>
  <si>
    <t>86akm8zbp</t>
  </si>
  <si>
    <t>Monitoramento da saúde do empreiteiro (produtividade, quantidade de pessoas para o serviço, etc)"</t>
  </si>
  <si>
    <t>86aghpd1m</t>
  </si>
  <si>
    <t>Incluir Reunião de Acompanhamento de Terrenos em EP</t>
  </si>
  <si>
    <t>86aget7yp</t>
  </si>
  <si>
    <t>Avaliar por quanto tempo a homologação fica válida / Definir validade da homologação</t>
  </si>
  <si>
    <t>86agehgv1</t>
  </si>
  <si>
    <t>Definir o melhor momento entre lançamento e orçamento / planejamento. Problema: Possibilidade de falta de informação necessária para Planejamento e Orçamento.</t>
  </si>
  <si>
    <t>86aghcck7</t>
  </si>
  <si>
    <t>Validação automática da duplicidade no cadastro de itens (Robô IA)</t>
  </si>
  <si>
    <t>86agcktet</t>
  </si>
  <si>
    <t>Sistema ERP MEGA – falta de relatório (custo por nível + detalhado) // Problema: Falta de relatórios (ex. previsto x realizado na estrutura de orçamento em excel) // Sugestão de Melhoria: Desenvolvimento de relatórios no Mega</t>
  </si>
  <si>
    <t>86acmx2h4</t>
  </si>
  <si>
    <t>Avaliar possível automação dos processos de abertura dos centros de custo por obra quando for definido o CNPJ e se o clickup é a melhor plataforma para incluir no fluxo o Financeiro e Orçamento da Incorporação</t>
  </si>
  <si>
    <t>17tpepcpr28</t>
  </si>
  <si>
    <t>17tpepcpr26</t>
  </si>
  <si>
    <t>17tpepcdam9</t>
  </si>
  <si>
    <t>Conceder acesso aos sistemas SPC e Serasa</t>
  </si>
  <si>
    <t>86ajaadj3</t>
  </si>
  <si>
    <t>Elaborar POP - Estrutura e diretrizes de relatório/Ata de passagem de fase (Fase de AP)</t>
  </si>
  <si>
    <t>Talita Knopf</t>
  </si>
  <si>
    <t>86aja97du</t>
  </si>
  <si>
    <t>Elaborar Regimento - Comitê de AP Make It</t>
  </si>
  <si>
    <t>86aj7b7kv</t>
  </si>
  <si>
    <t>Elaborar POP - Estrutura e diretrizes de relatório/Ata de passagem de fase</t>
  </si>
  <si>
    <t>86aj7b0uu</t>
  </si>
  <si>
    <t>Elaborar POP - Estrutura e diretrizes de relatório/Ata de passagem de fase (Fase de EP)</t>
  </si>
  <si>
    <t>86agc9qyd</t>
  </si>
  <si>
    <t>Problema: Definir responsabilidade a respeito das plotagens revisões de projetos (Make It) Sugestão de melhoria: Alinhamento sobre a responsabilidade das plotagens independente da versão (Make It)</t>
  </si>
  <si>
    <t>17tpepcpr2v</t>
  </si>
  <si>
    <t>17tpepcdk0p</t>
  </si>
  <si>
    <t>Elaborar POP - Critérios de seleção de correspondentes</t>
  </si>
  <si>
    <t>86aghuytq</t>
  </si>
  <si>
    <t>Avaliar possibilidade no mapa de medição ter assinatura eletrônica pelo empreiteiro - Mega / PowerAutomate</t>
  </si>
  <si>
    <t>86agcvtg4</t>
  </si>
  <si>
    <t>Base de Composições - Boas práticas em BD – orçamento, planejamento e execução (analisar banco de dados de composições) / Avaliar criação de BD de soluções orçamentárias</t>
  </si>
  <si>
    <t>17tpepcpu1h</t>
  </si>
  <si>
    <t>Avaliar automatização de sinalização de contratos a vencer no Mega (MI)</t>
  </si>
  <si>
    <t>86aght7ae</t>
  </si>
  <si>
    <t>Avaliar possibilidade de controlar a validade da documentação de homologação</t>
  </si>
  <si>
    <t>86ah28hmx</t>
  </si>
  <si>
    <t>Avaliar ferramenta para envio e apontamentos relativos ao orçamento (ClickUp x Email x Autodoc X Sharepoint)</t>
  </si>
  <si>
    <t>86ah27kta</t>
  </si>
  <si>
    <t>Avaliar Incremento de equipe de orçamento para trânsito de informações de PE para EX</t>
  </si>
  <si>
    <t>86ak1pxa5</t>
  </si>
  <si>
    <t>Elaborar Regimento - Comitês de Executivo</t>
  </si>
  <si>
    <t>86ak1px6x</t>
  </si>
  <si>
    <t>Elaborar Regimento - Comitês de Pré-executivo</t>
  </si>
  <si>
    <t>86ak1px4w</t>
  </si>
  <si>
    <t>Elaborar Regimento - Comitês de Anteprojeto</t>
  </si>
  <si>
    <t>86ak1px25</t>
  </si>
  <si>
    <t>Elaborar Regimento - Comitês de Estudo Preliminar</t>
  </si>
  <si>
    <t>86ak1pwc5</t>
  </si>
  <si>
    <t>Elaborar Regimento - Comitês de Due Diligence Gadens</t>
  </si>
  <si>
    <t>86ak1j0tf</t>
  </si>
  <si>
    <t>Elaborar Regimento - Comitês de Executivo - Make It</t>
  </si>
  <si>
    <t>86ak1hzqf</t>
  </si>
  <si>
    <t>Elaborar Regimento - Comitês de Pré-executivo - Make It</t>
  </si>
  <si>
    <t>86aj7bqgc</t>
  </si>
  <si>
    <t>Elaborar POP - Estrutura e diretrizes de relatório de acompanhamento de obra</t>
  </si>
  <si>
    <t>86aj7bmyp</t>
  </si>
  <si>
    <t>Elaborar POP - Processo de integração de novos colaboradores de obra</t>
  </si>
  <si>
    <t>86aj7bhxz</t>
  </si>
  <si>
    <t>Elaborar POP - Processo de Planejamento</t>
  </si>
  <si>
    <t>86aj7bdp1</t>
  </si>
  <si>
    <t>Elaborar Regimento - Comitê de Apresentação de Finalização de Projetos</t>
  </si>
  <si>
    <t>86aj7b9gd</t>
  </si>
  <si>
    <t>Elaborar POP - Pré-planejamento</t>
  </si>
  <si>
    <t>86aj7b9fy</t>
  </si>
  <si>
    <t>Elaborar Regimento - Regimento dos Comitês de Due Diligence - Make It</t>
  </si>
  <si>
    <t>86aj7b0ur</t>
  </si>
  <si>
    <t>Elaborar Regimento - Comitê de EP (Estrutura, tomada de decisões, inputs e outputs) - Make It</t>
  </si>
  <si>
    <t>86ahckp2g</t>
  </si>
  <si>
    <t>Elaborar relatório de indicador de qualidade Gadens/Make-It – Incorporação e Projetos Complementares – Mariane</t>
  </si>
  <si>
    <t>86agjaf1b</t>
  </si>
  <si>
    <t>"Definir qual setor da engenharia será responsável pelo lançamento das contas de consumo pelas obras (Gadens. Na Make it será obras) (Hellen)</t>
  </si>
  <si>
    <t>86aghccpp</t>
  </si>
  <si>
    <t>Suprimentos Responsável para acompanhamento das assinaturas das minutas (serviços e materiais)</t>
  </si>
  <si>
    <t>17tpepcpu1g</t>
  </si>
  <si>
    <t>Avaliar automação do distrato no Mega com a catraca (para obras novas)</t>
  </si>
  <si>
    <t>86akm8w6a</t>
  </si>
  <si>
    <t>Acesso de funcionários na catraca via Mobus</t>
  </si>
  <si>
    <t>86aghcym9</t>
  </si>
  <si>
    <t>Definir e treinar quem aciona o Jurídico e Suprimentos em todas as fases do processo</t>
  </si>
  <si>
    <t>86aghm6fy</t>
  </si>
  <si>
    <t>Avaliar possibilidade de integração NF BPM com módulo fiscal</t>
  </si>
  <si>
    <t>86aghgbyn</t>
  </si>
  <si>
    <t>Análise da informação do PIX no módulo fiscal</t>
  </si>
  <si>
    <t>17tpepcdg20</t>
  </si>
  <si>
    <t>Definir centro de custo e verba de manutenção de estoque</t>
  </si>
  <si>
    <t>17tpepcprj0</t>
  </si>
  <si>
    <t>Criar campo no CV para permutante e tipos de permuta</t>
  </si>
  <si>
    <t>17tpepcpr6k</t>
  </si>
  <si>
    <t>86aget7yr</t>
  </si>
  <si>
    <t>Definir área responsável pela homologação documental</t>
  </si>
  <si>
    <t>17tpepct4c4</t>
  </si>
  <si>
    <t>Analisar e implantar método de sinalização das áreas envolvidas sobre as permutas realizadas, utilizando ClickUp ou aplicativo padrão</t>
  </si>
  <si>
    <t>17tpepcprk2</t>
  </si>
  <si>
    <t>Avaliar informação automática sobre cadastro do contrato de permuta financeira, através do Mega Inteligence, ou solução similar</t>
  </si>
  <si>
    <t>86ajbu9jv</t>
  </si>
  <si>
    <t>Definir SLA de 2 dias úteis para assinatura do contrato</t>
  </si>
  <si>
    <t>86aj811pt</t>
  </si>
  <si>
    <t>Implementar Indicador - % em valores negociados no início de obra (Make It)</t>
  </si>
  <si>
    <t>Indicador</t>
  </si>
  <si>
    <t>impacto financeiro 4. indicador (-0,3).</t>
  </si>
  <si>
    <t>86aj7etg6</t>
  </si>
  <si>
    <t>Implementar Indicador - Desvio de Orçamento Lançamento e Due</t>
  </si>
  <si>
    <t>86aj7etg3</t>
  </si>
  <si>
    <t>Implementar Indicador - Desvio de Orçamento na Due/Paramétrico m²</t>
  </si>
  <si>
    <t>86agety1f</t>
  </si>
  <si>
    <t>Avaliar quantidade mínima e máxima de lote por percentual / estoque no Mega</t>
  </si>
  <si>
    <t>86agervec</t>
  </si>
  <si>
    <t>Avaliar a possibilidade de Segregar solicitações entre suprimentos x Gestão De Mão de Obra - GMO</t>
  </si>
  <si>
    <t>86agetcvj</t>
  </si>
  <si>
    <t>"Definir no sistema / fluxo, durante cadastro de novo material / item, se o mesmo é controlado pela qualidade.</t>
  </si>
  <si>
    <t>86aghcynu</t>
  </si>
  <si>
    <t>Definir indicador, relatório de perfomance e criticidade para abertura de não conformidade - avaliar criação de POP relacionado</t>
  </si>
  <si>
    <t>86agety14</t>
  </si>
  <si>
    <t>Banco de dados para verificação de qualidade de material aplicado por fornecedor e por obra para consulta durante processo de compras</t>
  </si>
  <si>
    <t>86aj7aaav</t>
  </si>
  <si>
    <t>Elaborar POP - Retroalimentação dos preços unitários dos serviços de empreitada (critérios)</t>
  </si>
  <si>
    <t>86age4g67</t>
  </si>
  <si>
    <t>Avaliar automação da planilha de Orçamento Paramétrico</t>
  </si>
  <si>
    <t>86acmwezp</t>
  </si>
  <si>
    <t>Automação das informações legais via Adobe e avaliação da informação para o Mega e ClickUp</t>
  </si>
  <si>
    <t>17tpepcpr24</t>
  </si>
  <si>
    <t>17tpepcdaha</t>
  </si>
  <si>
    <t>Revisar proposta para adequar à LGPD</t>
  </si>
  <si>
    <t>86akm8ze8</t>
  </si>
  <si>
    <t>Avaliar recebimento de documentos dos empreiteiros via WhatsApp, sob a luz do Compliance e LGPD</t>
  </si>
  <si>
    <t>86ah41e1f</t>
  </si>
  <si>
    <t>Incluir Comercial Gadens no Comitê de Terrenos</t>
  </si>
  <si>
    <t>86ah40h0v</t>
  </si>
  <si>
    <t>Alinhar prazo e organização / desenvolvimento de projeto de pré-due (Thiago Gadens)</t>
  </si>
  <si>
    <t>Thiago Gadens</t>
  </si>
  <si>
    <t>86aghvmvv</t>
  </si>
  <si>
    <t>Mega agrupa mesmo insumo c/ cód. estrut. diferente na medição</t>
  </si>
  <si>
    <t>86adp98np</t>
  </si>
  <si>
    <t>Utilizar a inteligência de mercado para adicionar informações competitivas ao produto - Criação da área de Inteligência junto com o Comercial e banco de dados de terrenos vão fornecer informação temporal para melhor definição de produto</t>
  </si>
  <si>
    <t>Julianna Cordeiro Strobel Negrini</t>
  </si>
  <si>
    <t>17tpepct4ac</t>
  </si>
  <si>
    <t>17tpepcpr2q</t>
  </si>
  <si>
    <t>17tpepcenrn</t>
  </si>
  <si>
    <t>Automatizar processo de contratação com imobiliárias selecionadas</t>
  </si>
  <si>
    <t>17tpepcdk0k</t>
  </si>
  <si>
    <t>Elaborar POP - Seleção de Imobiliárias (nível A, B e C)</t>
  </si>
  <si>
    <t>86aghpd94</t>
  </si>
  <si>
    <t>Ajustar escopo e participantes da reunião de Projetos (terças a tarde) (Gadens) // Orçamento estar envolvido no processo desde EP. Problema: Assertividade por falta de informação.</t>
  </si>
  <si>
    <t>86agc73rm</t>
  </si>
  <si>
    <t>Alinhamento para que a área de Orçamento esteja envolvida no processo desde EP</t>
  </si>
  <si>
    <t>86agc6tj9</t>
  </si>
  <si>
    <t>Problema: Prazo. Projetistas contratados tem dificuldades de cumprir os prazos acordados, de forma recorrente, e falta de agilidade nas definições internas Sugestão de Melhoria: Definir SLA de prazos internos no processo Avaliar possibilidade de revisar as penalidades do contrato Desenvolver fornecedor (projetista). Ajustar a forma de pagamento vinculando e incentivando a entrega no prazo</t>
  </si>
  <si>
    <t>Marcela Schneider, Talita Knopf</t>
  </si>
  <si>
    <t>86agbbmmb</t>
  </si>
  <si>
    <t>Comitê do Estudo Preliminar com o Coordenador de Obras, definindo soluções. / Consulta Engenharia (orçamento)</t>
  </si>
  <si>
    <t>86aghjnhp</t>
  </si>
  <si>
    <t>Mutirão para colocar em dia - central de notas (zerar pagamento de juros).</t>
  </si>
  <si>
    <t>86aghcym4</t>
  </si>
  <si>
    <t>Estudar viabilidade de alerta automático do prazo de pedido / entrega para o fornecedor - via whatsapp</t>
  </si>
  <si>
    <t>86agetcvg</t>
  </si>
  <si>
    <t>Definir tratativa para notas de avaliação dos fornecedores avaliados (critérios, pesos etc.)</t>
  </si>
  <si>
    <t>86aget0gr</t>
  </si>
  <si>
    <t>Ativar envio automático do pedido aprovado ao fornecedor</t>
  </si>
  <si>
    <t>86agc5773</t>
  </si>
  <si>
    <t>Definir solução para absorção do volume administrativo na Incorporação (contratação ou automação)</t>
  </si>
  <si>
    <t>86agnzfvp</t>
  </si>
  <si>
    <t>Definir lead time - tempo de resposta do Suprimentos para Orçamento (curva A)</t>
  </si>
  <si>
    <t>86age4306</t>
  </si>
  <si>
    <t>Verificar se o Mega permite importação de sobreposição de orçamento.</t>
  </si>
  <si>
    <t>86agd825m</t>
  </si>
  <si>
    <t>Incluir na etapa de Projeto Executivo reunião entre Projeto, Planejamento, Orçamento, Coordenação de Obra para Desenvolvimento da Pasta de Obra</t>
  </si>
  <si>
    <t>86acmkewk</t>
  </si>
  <si>
    <t>Entendimento do processo de cadastro e descarte de terrenos - Concluído -</t>
  </si>
  <si>
    <t>86acmkcv9</t>
  </si>
  <si>
    <t>Plataforma de cadastro de terrenos no ClickUp em fase de implementação junto a area de Novos Negócios, pontos a serem tratados: - Finalização da estrutura de cadastro - Responsável: Barbara Ribas - Migração de histórico da base de dados da planilha em Excel ao ClickUp - Responsável: Barbara Ribas - Definição de regras de cadastro de terrenos e descarte - Responsável: Barbara Ribas - Definição do BI para a base de dados de terreno - Responsável: Barbara Ribas</t>
  </si>
  <si>
    <t>17tpepcgtv4</t>
  </si>
  <si>
    <t>Apresentar e validar método de abertura de orçamento</t>
  </si>
  <si>
    <t>17tpepcep4z</t>
  </si>
  <si>
    <t>86ahckp1z</t>
  </si>
  <si>
    <t>Alinhamento sobre recurso/execução/responsabilidade para análise do orçamento Pré-Executivo e realização dos apontamentos – Fernando Souza</t>
  </si>
  <si>
    <t>86ahckp0m</t>
  </si>
  <si>
    <t>Elaboração da planilha de consumo de acordo com o orçamento</t>
  </si>
  <si>
    <t>86agnytv9</t>
  </si>
  <si>
    <t>Oficializar entrega de orçamento pelo AutoDoc</t>
  </si>
  <si>
    <t>86agjaf0z</t>
  </si>
  <si>
    <t>Definições de etapas/marcos de alinhamento entre projetos, orçamento e obras em toda a linha do tempo desde a concepção até a entrega da obra</t>
  </si>
  <si>
    <t>86aghpd6m</t>
  </si>
  <si>
    <t>Definir SLA de prazos internos no processo (quando aplicável) // Avaliar possibilidade de revisar as penalidades do contrato // Desenvolver fornecedor (projetista). // Ajustar a forma de pagamento vinculando e incentivando a entrega no prazo // Problema: Prazo. Projetistas contratados tem dificuldades de cumprir os prazos acordados, de forma recorrente, e falta de agilidade nas definições internas.</t>
  </si>
  <si>
    <t>86ageht27</t>
  </si>
  <si>
    <t>Problema: Apontamentos da obra sobre o orçamento sem retorno Sugestão de melhoria: 'Formalizar retorno por meio do ClickUp</t>
  </si>
  <si>
    <t>86ageg95w</t>
  </si>
  <si>
    <t>Revisar o SLA de prazo para entrega do estudo preliminar Definir SLA de prazos internos no processo Definir e alinhar as premissas para o projetista Estudo de internalizar algumas disciplinas (piloto para Make it e depois avaliar para replicar para Gadens) &gt; melhora no prazo, custo e qualidade // Definir SLA de prazos internos no processo Avaliar possibilidade de revisar as penalidades do contrato Desenvolver fornecedor (projetista). Ajustar a forma de pagamento vinculando e incentivando a entrega no prazo. Problema: Prazo. Prazo de retorno de definições / definição interna // Prazo. Projetistas contratados tem dificuldades de cumprir os prazos acordados, de forma recorrente, e falta de agilidade nas definições internas</t>
  </si>
  <si>
    <t>86aged7qr</t>
  </si>
  <si>
    <t>Informar de forma automatizada status de conclusão do Pré Planejamento e Planejamento</t>
  </si>
  <si>
    <t>86age41ph</t>
  </si>
  <si>
    <t>Automação do processo de aprovação e distribuição do orçamento executivo (conf. sub-processo "Desenvolve o orç. executivo (D+45)").</t>
  </si>
  <si>
    <t>86agdwe43</t>
  </si>
  <si>
    <t>Aumento da equipe para elaboração do orçamento executivo (de forma mais detalhada)</t>
  </si>
  <si>
    <t>86agdwatb</t>
  </si>
  <si>
    <t>86agdhgnx</t>
  </si>
  <si>
    <t>Revisão do processo de partição dos pedidos no Mega (Estoque de obra)</t>
  </si>
  <si>
    <t>86agd85nf</t>
  </si>
  <si>
    <t>Análise de quem comanda o resultado da empresa – orçamento ou viabilidade</t>
  </si>
  <si>
    <t>86agcx0k6</t>
  </si>
  <si>
    <t>Prazo de obra vs falta de projetos com impacto no orçamento</t>
  </si>
  <si>
    <t>86agcw425</t>
  </si>
  <si>
    <t>Analisar estudo do steal incluindo orçamento, planejamento e controladoria.</t>
  </si>
  <si>
    <t>86agckyvb</t>
  </si>
  <si>
    <t>Melhoria da estrutura do orçamento (+ analítico em nível de fita e veda rosca) Falta de detalhamento do orçamento que compromete o planejamento da compra Pedido não está carregando quantitativo e valor orçado (Orçamento não está aberto)</t>
  </si>
  <si>
    <t>86agckjn9</t>
  </si>
  <si>
    <t>Criar índices de controle de performance de orçamento (detalhado conforme estrutura da EAP. Ex. Torre, Infra, Complementares).</t>
  </si>
  <si>
    <t>17tpepcgqy3</t>
  </si>
  <si>
    <t>Avaliar impacto da reforma tributária na migração de pessoa física para pessoa jurídica</t>
  </si>
  <si>
    <t>17tpepcdm2z</t>
  </si>
  <si>
    <t>86agchn8u</t>
  </si>
  <si>
    <t>Estudar BIM – alteração de orçamento ao alterar E.V. (automação) Implantação BIM (Alteração de escopo do projetista para seleção de itens para quantitativo) Implementar Ferramenta de extração de quantitativos (a ser implantada) BIM</t>
  </si>
  <si>
    <t>86aghcckm</t>
  </si>
  <si>
    <t>Elaborar POP - Manutenção de cadastro de itens</t>
  </si>
  <si>
    <t>86acmxeyv</t>
  </si>
  <si>
    <t>Incluir processo de planejamento de novos negócios (áreas/regiões/tipo de terreno). (Falta de planejamento estruturado com metas definidas por objetivo e estratégia na Área de Novos Negócios)</t>
  </si>
  <si>
    <t>86acmwhyh</t>
  </si>
  <si>
    <t>Avaliar, via RPA, possível automação dos processos de abertura dos centros de custo por obra e forma de integração ou busca de informações na ferramenta de gestão utilizada (Clickup ou Planner).</t>
  </si>
  <si>
    <t>86acmwerr</t>
  </si>
  <si>
    <t>Incluir novas áreas na pré-due (orçamento, coord. de obras, comercial). (Iniciativa Estratégica)</t>
  </si>
  <si>
    <t>86acmwaq7</t>
  </si>
  <si>
    <t>Incluir 1ª reunião de avaliação da oportunidades de negociação de terreno. Fase de Prospecção, o comitê de avaliação de terreno (NN., COM., INC., INTELIGÊNCIA MERCADO).</t>
  </si>
  <si>
    <t>86agcx35x</t>
  </si>
  <si>
    <t>(Avaliar) Criar modelo Fair Trade com fornecedores de sondagens e ensaios de solo</t>
  </si>
  <si>
    <t>86acmxhx6</t>
  </si>
  <si>
    <t>Analisar o modelo de tabela de preço por fornecedor parceiro ou carta aceite para agilizar contratações de fornecedores de projetos e arquitetura via pedido Livre</t>
  </si>
  <si>
    <t>86acmx0ez</t>
  </si>
  <si>
    <t>Automatizar o envio de informações do novo projeto p/ todos líderes (ClickUp vs Mega Vs Viabil.)</t>
  </si>
  <si>
    <t>86acmwexu</t>
  </si>
  <si>
    <t>Evento com o dono do terreno para celebrar a sequência no projeto. (Marketing com Terrenistas)</t>
  </si>
  <si>
    <t>86acmwdxz</t>
  </si>
  <si>
    <t>Automação padronizada p/ distribuição das tarefas - Adotar (definir e comunicar) uma ferramenta de gestão de projetos com regras automáticas para atribuição de tarefas (Clickup, Planner etc.).</t>
  </si>
  <si>
    <t>86aj7bqgp</t>
  </si>
  <si>
    <t>Elaborar POP - Critérios de validação PLS</t>
  </si>
  <si>
    <t>17tpepcgqnr</t>
  </si>
  <si>
    <t>Avaliar impacto da reforma tributária na migração de pessoa física para pessoa jurídica (Investidor)</t>
  </si>
  <si>
    <t>17tpepcghca</t>
  </si>
  <si>
    <t>Automatizar baixa da reserva no CV</t>
  </si>
  <si>
    <t>86akm8zcn</t>
  </si>
  <si>
    <t>Montar planejamento de histograma (Excel)</t>
  </si>
  <si>
    <t>86aghnk69</t>
  </si>
  <si>
    <t>Inserir no processo o relatório / ppt de visita ao terreno feito por Incorporação e Eng (com participação de NN) na Pré-Due</t>
  </si>
  <si>
    <t>86aghjy3p</t>
  </si>
  <si>
    <t>Verificar se BPM vincula com orçamento</t>
  </si>
  <si>
    <t>86aghg2ye</t>
  </si>
  <si>
    <t>Avaliar possibilidade de salvar documentos no BPM ou Sistemas Similar e incluir campos obrigatórios se for obra (e quais itens da obra)</t>
  </si>
  <si>
    <t>86agetqrv</t>
  </si>
  <si>
    <t>Definir no momento de cadastro do item se o mesmo será de aplicação direta ou estoque</t>
  </si>
  <si>
    <t>86aget0hp</t>
  </si>
  <si>
    <t>Estudar reserva de estoque x solicitação de materiais</t>
  </si>
  <si>
    <t>86akbjqec</t>
  </si>
  <si>
    <t>Elaborar POP - Retirada de ferramentas do almoxarifado</t>
  </si>
  <si>
    <t>86akbjpp2</t>
  </si>
  <si>
    <t>Elaborar POP - Solicitação de cadastro de item</t>
  </si>
  <si>
    <t>86akbjp5q</t>
  </si>
  <si>
    <t>Elaborar POP - Retirada de material do almoxarifado</t>
  </si>
  <si>
    <t>86akbjnd8</t>
  </si>
  <si>
    <t>Elaborar POP - Aviso de recebimento de notas fiscais</t>
  </si>
  <si>
    <t>86akbjmw5</t>
  </si>
  <si>
    <t>Elaborar POP - Agendamento de entrega de materiais</t>
  </si>
  <si>
    <t>86aju2f6r</t>
  </si>
  <si>
    <t>Elaborar POP - Follow Up de Pedidos de Compra</t>
  </si>
  <si>
    <t>86aju2dr9</t>
  </si>
  <si>
    <t>Elaborar POP - Abertura de Solicitações de Compra no ERP Mega</t>
  </si>
  <si>
    <t>86ahfaxw1</t>
  </si>
  <si>
    <t>Avaliar disponibilidade da manutenção da tabela de preços no módulo ADO do Mega e respectivo treinamento</t>
  </si>
  <si>
    <t>86aghcymn</t>
  </si>
  <si>
    <t>Criar comitê de acompanhamento das entregas (fup de pedidos) - Suprimentos, Jurídico, Obras, Incorporação</t>
  </si>
  <si>
    <t>86agety0v</t>
  </si>
  <si>
    <t>Revisar a responsabilidade da atividade de angariação e negociação de empreiteiros que fornecem material / mão de obra – Hoje está com Obra. Seria de Suprimentos?</t>
  </si>
  <si>
    <t>86aget0j6</t>
  </si>
  <si>
    <t>Registro e Parametrização das informações de estoque mínimo, estoque de segurança etc.</t>
  </si>
  <si>
    <t>86agem639</t>
  </si>
  <si>
    <t>Elaborar IT - Instrução de Trabalho e treinamento p/ solicitação de compra (erros de solicitação) incluindo analistas de obras (treinamento ministrado pelos compradores). Englobando solicitação técnica e solicitação de obra</t>
  </si>
  <si>
    <t>17tpepcghc9</t>
  </si>
  <si>
    <t>Receber propostas direto no CV e integrar com VPL</t>
  </si>
  <si>
    <t>17tpepcenr4</t>
  </si>
  <si>
    <t>Viabilizar o recebimento de propostas no CV e integrar com VPL - Make It</t>
  </si>
  <si>
    <t>86ajbuubr</t>
  </si>
  <si>
    <t>Avaliar soluções para possibilitar a criação de cotação livre (ou algo similar) de forma automatizada</t>
  </si>
  <si>
    <t>86agdhgnr</t>
  </si>
  <si>
    <t>Definir no Mega Follow-Up de cotações/cotações em aberto e criar indicador</t>
  </si>
  <si>
    <t>17tpepcgkn9</t>
  </si>
  <si>
    <t>17tpepcdm32</t>
  </si>
  <si>
    <t>Fluxo de proposta via CV</t>
  </si>
  <si>
    <t>86agd932g</t>
  </si>
  <si>
    <t>Compras vs Volume – Relatório personalizado (SQL)</t>
  </si>
  <si>
    <t>17tpepcpu1w</t>
  </si>
  <si>
    <t>Avaliar contrato com empreiteiros por tipo de serviço (atividades correlatas)</t>
  </si>
  <si>
    <t>17tpepcgkp5</t>
  </si>
  <si>
    <t>17tpepcenqt</t>
  </si>
  <si>
    <t>Viabilizar o recebimento de propostas no CV e integrar com VPL - Gadens</t>
  </si>
  <si>
    <t>86ah1yu24</t>
  </si>
  <si>
    <t>Estabelecer o comitê de Anteprojeto (Make It)</t>
  </si>
  <si>
    <t>86aghvde0</t>
  </si>
  <si>
    <t>Alinhamento c/ todas as obras a respeito do espelho assinado p/ empreiteiro / engenheiro, c/ isso aguardar GMO p/ a emissão da NF (Lucas/Fernando)</t>
  </si>
  <si>
    <t>86agetqr9</t>
  </si>
  <si>
    <t>Avaliar inclusão de campos para registro de parecer pela área solicitante / técnica e fornecedores no momento da cotação (para itens técnicos ex. elevadores, edificio garagem etc.)</t>
  </si>
  <si>
    <t>86agerve1</t>
  </si>
  <si>
    <t>Avaliar possibilidade de disparar com fornecedor solicitação parcial do pedido guarda-chuva no Mega</t>
  </si>
  <si>
    <t>86agc5rhm</t>
  </si>
  <si>
    <t>Problema: Falta da etapa de Pré-Executivo na Make It no projeto arquitetônico // Sugestão de melhoria: Inclusão da etapa de Pré-Executivo para a Make It no projeto arquitetônico // Alinhamento a respeito da fase de projeto pré-executivo (Talita e Lucas Vaz)</t>
  </si>
  <si>
    <t>17tpepcpu0a</t>
  </si>
  <si>
    <t>Caso o plano de adaptação dê certo, alterar a data em contrato para envio das medições no dia 18 de cada mês</t>
  </si>
  <si>
    <t>86agja9vw</t>
  </si>
  <si>
    <t>Avaliar a compra de licença para acesso ao site da ABNT na obra (Lucas Lopes)</t>
  </si>
  <si>
    <t>86agegjw0</t>
  </si>
  <si>
    <t>Criar relatório de lições aprendidas em relação aos aditivos (Gadens) de obras anteriores (Orçamento)</t>
  </si>
  <si>
    <t>86agdhb5t</t>
  </si>
  <si>
    <t>Realizar estudo do barracão, muros, infra - Desembolso de fluxo de caixa (custo pré-obra)</t>
  </si>
  <si>
    <t>86acvyp72</t>
  </si>
  <si>
    <t>Disponibilizar manual corporativo</t>
  </si>
  <si>
    <t>86actgcpg</t>
  </si>
  <si>
    <t>Definição do escopo e cronograma (fase 1) do Pedido Livre</t>
  </si>
  <si>
    <t>86acmkh8e</t>
  </si>
  <si>
    <t>Criar checklist padronizado digital para visitas técnicas e comerciais, integrado ao CRM / Sistema de Gestão das Etapas de Compras. Gerando Inteligência.</t>
  </si>
  <si>
    <t>17tpepcdg1v</t>
  </si>
  <si>
    <t>Vistoriar todas as unidades de estoque - Alessandro com apoio da AT, Comercial e Incorporação</t>
  </si>
  <si>
    <t>86agjaf1q</t>
  </si>
  <si>
    <t>"Obra deve passar a fazer o protocolo de finalização das ligações definitivas (Apenas Make it) (Lucas e Fernando Souza)</t>
  </si>
  <si>
    <t>Lucas Oliveira de Antonio</t>
  </si>
  <si>
    <t>Lucas Oliveira de Antonio, Fernando de Souza</t>
  </si>
  <si>
    <t>86agegq7m</t>
  </si>
  <si>
    <t>Análises críticas dos projetos (Make It). Problema: Assertividade inadequada por falta de informação</t>
  </si>
  <si>
    <t>86agedkkn</t>
  </si>
  <si>
    <t>Implementar o modelo MRV de Controle de Consumo Criar índices de controle de performance de obra. Problema: Não existe indicador de consumo de material.</t>
  </si>
  <si>
    <t>86ageczbj</t>
  </si>
  <si>
    <t>Fazer um projeto para desenvolvimento das composições Gadens e Make It</t>
  </si>
  <si>
    <t>86agdxkqd</t>
  </si>
  <si>
    <t>Avaliar utilização do Mobus para crítica e geração / automação de inteligência de orçamento e planejamento mediante análise semanal de avanço (Integração Mega x Mobus) - para desafio das composições</t>
  </si>
  <si>
    <t>17tpepcpu1e</t>
  </si>
  <si>
    <t>Definição de fluxo de solicitações e informações, bem como, avaliar plataforma ou sistema para isso, para evitar o uso de e-mail</t>
  </si>
  <si>
    <t>17tpepcprj7</t>
  </si>
  <si>
    <t>Automatizar informação de decisão de opção de planta escolhida pelo cliente, via CV, para Planejamento e Controle</t>
  </si>
  <si>
    <t>86agetqrc</t>
  </si>
  <si>
    <t>Definir e parametrizar itens técnicos para aprovação na cotação</t>
  </si>
  <si>
    <t>86agc8hvj</t>
  </si>
  <si>
    <t>Avaliar possibilidade de melhorar nosso FUP // Aperfeiçoar a gestão do cronograma (reuniões sistemáticas de follow up, etc) para recuperar eventuais atrasos. Problema: Prazos dos orgãos públicos // Prazo. Não tem controle pois depende de órgãos externos</t>
  </si>
  <si>
    <t>86ahketju</t>
  </si>
  <si>
    <t>Inclusão automática de tarifas e taxas Nexxera/Mega</t>
  </si>
  <si>
    <t>86aghpd73</t>
  </si>
  <si>
    <t>Aperfeiçoar a gestão do cronograma (reuniões sistemáticas de follow up, etc) para recuperar eventuais atrasos // Avaliar possibilidade de melhorar nosso FUP. Problema: Prazo. Não tem controle pois depende de órgãos externos // Prazos dos orgãos públicos</t>
  </si>
  <si>
    <t>86aghgbxz</t>
  </si>
  <si>
    <t>Implementar utilização do DDA</t>
  </si>
  <si>
    <t>86agety1m</t>
  </si>
  <si>
    <t>Criar relatórios de Saving: Orçado x Compras / Ultimo Preço / Menor Valor (Esforço de Compra)</t>
  </si>
  <si>
    <t>17tpepcpu2c</t>
  </si>
  <si>
    <t>Avaliar criação de aplicativo para cadastro de empreiteiros de forma receptiva, ou, buscar no mercado solução similar (Verificar o aplicativo da Make It para possível ampliação)</t>
  </si>
  <si>
    <t>17tpepcpr27</t>
  </si>
  <si>
    <t>17tpepcprjh</t>
  </si>
  <si>
    <t>Avaliar viabilidade de continuar SPE distratada ou necessidade de uma nova abertura</t>
  </si>
  <si>
    <t>86aghvmvd</t>
  </si>
  <si>
    <t>Criar reporte dos contratos de GMO para financeiro</t>
  </si>
  <si>
    <t>86agetqrn</t>
  </si>
  <si>
    <t>Elaborar POP - formato de cadastro de estoque mínimo - Definir critérios, responsáveis, se será por empreendimento</t>
  </si>
  <si>
    <t>17tpepcpr2b</t>
  </si>
  <si>
    <t>86aj7ehm6</t>
  </si>
  <si>
    <t>Implementar indicador - Aderência ao prazo de entrega e finalização do projeto executivo por disciplina - Make It</t>
  </si>
  <si>
    <t>nenhum critério com nota 4 ou 5. indicador (-0,3).</t>
  </si>
  <si>
    <t>17tpepct4d6</t>
  </si>
  <si>
    <t>Padronizar documentação a serem enviados do Comercial à Secretaria de Vendas (formato pdf, nomenclaturas e padrão de documentos)</t>
  </si>
  <si>
    <t>17tpepcprjm</t>
  </si>
  <si>
    <t>Avaliar padronização de nomenclatura das permutas / justificativas de bloqueio no CV (Make It e Gadens)</t>
  </si>
  <si>
    <t>86aj0af99</t>
  </si>
  <si>
    <t>Avaliar possibilidade de automação do controle financeiro da PLS</t>
  </si>
  <si>
    <t>86agnzf0x</t>
  </si>
  <si>
    <t>Avaliar tabela de preços do Mega (utlização / extração)</t>
  </si>
  <si>
    <t>86agcw1qu</t>
  </si>
  <si>
    <t>Avaliar criar tabela de preços unitários / Atualizar tabela do Mega Levantar informações sobre atualização de preços unitários de M.O</t>
  </si>
  <si>
    <t>86akm8ze6</t>
  </si>
  <si>
    <t>Elaborar POP - Critérios de análise de histograma</t>
  </si>
  <si>
    <t>86agvaj6z</t>
  </si>
  <si>
    <t>Criar checklist e procedimento para vistoria</t>
  </si>
  <si>
    <t>86agdhgng</t>
  </si>
  <si>
    <t>Criar GT para (avaliar) fatiar processo de compras dos itens de curva A e demais dentro de um delta tempo</t>
  </si>
  <si>
    <t>86agddhk3</t>
  </si>
  <si>
    <t>Montar GT para Gadens e Make-It / Para discutir método de orçamentação, controle e compras</t>
  </si>
  <si>
    <t>86akm8zbf</t>
  </si>
  <si>
    <t>Criação de modelos de remunerações variáveis para empreiteiros</t>
  </si>
  <si>
    <t>angela rosa pires</t>
  </si>
  <si>
    <t>86aj6wf2e</t>
  </si>
  <si>
    <t>Automatizar indicadores de Suprimentos</t>
  </si>
  <si>
    <t>86aghpd5q</t>
  </si>
  <si>
    <t>Criar relatório de visita da obra em conjunto com Qualidade e Projetos Complementares</t>
  </si>
  <si>
    <t>17tpepct4d5</t>
  </si>
  <si>
    <t>17tpepcpr2c</t>
  </si>
  <si>
    <t>86aj7nzug</t>
  </si>
  <si>
    <t>Elaborar POP - Condução da Negociação Comercial com o Terrenista</t>
  </si>
  <si>
    <t>86ahckp0q</t>
  </si>
  <si>
    <t>Definir fluxo de acionamento para verificação da qualidade de controle de consumo (Alessandro)</t>
  </si>
  <si>
    <t>86agvadxu</t>
  </si>
  <si>
    <t>Definir na reunião de concorrência (Reunião de Negociação), a data-base do INCC (Gadens) - Okraska (apoio: Edgard) - Obra General Carneiro</t>
  </si>
  <si>
    <t>86agehd0r</t>
  </si>
  <si>
    <t>Definir Critério de análise do coordenador e engenheiro. Problema: Alterações de projeto após início de obra.</t>
  </si>
  <si>
    <t>86aged0jm</t>
  </si>
  <si>
    <t>Definir padrão de execução de atividades na obra</t>
  </si>
  <si>
    <t>86agdxrev</t>
  </si>
  <si>
    <t>Incluir no relatório de apontamentos, análises e alterações de projeto para geração de inteligência (apontamentos no Construflow)</t>
  </si>
  <si>
    <t>17tpepcpu1x</t>
  </si>
  <si>
    <t>Avaliar forma de lançamento do aditivo</t>
  </si>
  <si>
    <t>17tpepcgwhu</t>
  </si>
  <si>
    <t>Criar controle de macrofluxo para mitigar replanejamentos que ocasionem o atraso de obra</t>
  </si>
  <si>
    <t>86ahckp2m</t>
  </si>
  <si>
    <t>Definição de enxoval de entrega de projetos para início de obra – Gadens – Lucas Lopes</t>
  </si>
  <si>
    <t>86ageggv8</t>
  </si>
  <si>
    <t>Realizar as ativações das notificações no e-mail (Ou formalizar tratativa) de sistemática de atualização de arquivo</t>
  </si>
  <si>
    <t>86agee9ed</t>
  </si>
  <si>
    <t>Revisar fluxo de controles e incluir qualidade</t>
  </si>
  <si>
    <t>86aged4ja</t>
  </si>
  <si>
    <t>Definição do Piloto para obra do Arbo</t>
  </si>
  <si>
    <t>86agd7zfv</t>
  </si>
  <si>
    <t>Definição de informações no pré-obra (quando existir (detalhamento das informações)</t>
  </si>
  <si>
    <t>17tpepct4cg</t>
  </si>
  <si>
    <t>Definir disponibilidade de imóveis disponíveis e sistema padrão, para informação ao Suprimentos, com relação a Permutas, via CV</t>
  </si>
  <si>
    <t>André Garcia Vilas Boas, Mônica Massaneiro</t>
  </si>
  <si>
    <t>17tpepcpu2a</t>
  </si>
  <si>
    <t>Avaliar recursos para permitir que GMO visite obras e serviços no processo de angariação e homologação</t>
  </si>
  <si>
    <t>86aew31gf</t>
  </si>
  <si>
    <t>Implementar indicador: Custo com a Due Diligence – Dez/25 (a depender da implementação do orçamento gerencial no Mega/Alex)</t>
  </si>
  <si>
    <t>86adcfaum</t>
  </si>
  <si>
    <t>17tpepcgwrv</t>
  </si>
  <si>
    <t>Incluir pré-planejamento no ClickUp da Incorporação</t>
  </si>
  <si>
    <t>86ajbujx8</t>
  </si>
  <si>
    <t>Retorno de Contrato para novas SPEs via ClickUp ao Solicitante</t>
  </si>
  <si>
    <t>86ajbud2x</t>
  </si>
  <si>
    <t>Abertura de chamado para novas SPEs via ClickUp</t>
  </si>
  <si>
    <t>86acvx92y</t>
  </si>
  <si>
    <t>Definir funcões de cada participante, frequência de ocorrência e entregável desta reunião (mini-regimento) Thiago Mello, Carlos Fabrício Pinto Vargas sem prazo definido</t>
  </si>
  <si>
    <t>86acmwc3a</t>
  </si>
  <si>
    <t>Definir funcões de cada participante, frequência de ocorrência e entregável desta reunião (mini-regimento)</t>
  </si>
  <si>
    <t>17tpepct4cf</t>
  </si>
  <si>
    <t>86akm8zc6</t>
  </si>
  <si>
    <t>Inclusão do Fiscal na esteira do ClickUp para conhecimento</t>
  </si>
  <si>
    <t>86acw3r68</t>
  </si>
  <si>
    <t>Será realizado uma nova capacitação de todos os times para a criação e utilização dos Pedidos no sistema.</t>
  </si>
  <si>
    <t>17tpepcpu1u</t>
  </si>
  <si>
    <t>Avaliar arquivamento do aditivo de contrato ou distrato de forma automatizada (Sharepoint / ClickUp)</t>
  </si>
  <si>
    <t>86akm8zdm</t>
  </si>
  <si>
    <t>Avaliar possibilidade de alteração da plataforma de assinaturas para o Sign - Mega (Thiago)</t>
  </si>
  <si>
    <t>86aghjnhb</t>
  </si>
  <si>
    <t>Criar manual para lançamentos fiscais e respectivo treinamento - Treinamento sobre processo de notas fiscais (recebimento físico e fiscal) incluindo treinamento para recebimento fiscal no GMO e treinamento para almoxarifes - lançamento de NF.</t>
  </si>
  <si>
    <t>exigência legal/CEF 4. treinamento (-0,2).</t>
  </si>
  <si>
    <t>86aghjy3j</t>
  </si>
  <si>
    <t>Avaliar possibilidade de desabilitar flag de integração com financeiro</t>
  </si>
  <si>
    <t>86aghcymq</t>
  </si>
  <si>
    <t>Estudar alertas automáticos no processo de Fup de Pedidos</t>
  </si>
  <si>
    <t>86agetqrf</t>
  </si>
  <si>
    <t>Avaliar como será atualizado no pedido de compra no sistema os prazos de entrega repactuados</t>
  </si>
  <si>
    <t>86agen7zu</t>
  </si>
  <si>
    <t>Definir função e entregáveis das equipes de Planejamento e Controle x Eng. Residente</t>
  </si>
  <si>
    <t>86aghjy5r</t>
  </si>
  <si>
    <t>Na requisição do BPM incluir campos obrigatórios se for obra (e quais itens da obra)</t>
  </si>
  <si>
    <t>86aghjy3x</t>
  </si>
  <si>
    <t>Projeto Serasa</t>
  </si>
  <si>
    <t>86agetqt2</t>
  </si>
  <si>
    <t>Replanejamento de obra - criar alerta / Retroalimentação do Prevision</t>
  </si>
  <si>
    <t>86agetcvn</t>
  </si>
  <si>
    <t>Para os itens já existentes esta definição (de itens controlados pela qualidade) precisa ser feita também</t>
  </si>
  <si>
    <t>86agbacbm</t>
  </si>
  <si>
    <t>Solicita aprovação para contratação de arquiteto externo via Pedido Livre no Mega</t>
  </si>
  <si>
    <t>86akbg19u</t>
  </si>
  <si>
    <t>Implementar Indicador - Qualidade do Projeto (Executivo)</t>
  </si>
  <si>
    <t>Eduardo Rosa, Mariane Cristine Machado Scandelari, Talita Knopf</t>
  </si>
  <si>
    <t>86akbg169</t>
  </si>
  <si>
    <t>Implementar Indicador - Qualidade do Projeto (Pré-Executivo)</t>
  </si>
  <si>
    <t>86akbg0v4</t>
  </si>
  <si>
    <t>Implementar Indicador - Qualidade do Projeto (Anteprojeto)</t>
  </si>
  <si>
    <t>86akbfyzr</t>
  </si>
  <si>
    <t>Implementar Indicador - Qualidade do Projeto (Estudo Preliminar)</t>
  </si>
  <si>
    <t>86akam3zk</t>
  </si>
  <si>
    <t>Implementar Indicador - Documentação regular</t>
  </si>
  <si>
    <t>86akam2dc</t>
  </si>
  <si>
    <t>Implementar Indicador - Saving</t>
  </si>
  <si>
    <t>86aj81twh</t>
  </si>
  <si>
    <t>Implementar Indicador - Tempo médio de aprovação de medição</t>
  </si>
  <si>
    <t>86aj81twe</t>
  </si>
  <si>
    <t>Implementar Indicador - Taxa de fornecedores homologados</t>
  </si>
  <si>
    <t>86aj81tw6</t>
  </si>
  <si>
    <t>Implementar Indicador - Lead time de Contratação de Serviços</t>
  </si>
  <si>
    <t>86aj7ehmd</t>
  </si>
  <si>
    <t>Implementar indicador - Aderência ao prazo de entrega e finalização do projeto executivo por disciplina - Gadens</t>
  </si>
  <si>
    <t>17tpepcprje</t>
  </si>
  <si>
    <t>Adequar fluxo do ClickUp de abertura de SPEs para incluir quais estão disponíveis para NN</t>
  </si>
  <si>
    <t>86agdxw9e</t>
  </si>
  <si>
    <t>Atualização de média de preço de um período específico no Maxxor (urgente).</t>
  </si>
  <si>
    <t>86agdxug5</t>
  </si>
  <si>
    <t>Analisar automação da tabela de preços do Mega x Autodoc x Maxor</t>
  </si>
  <si>
    <t>17tpepcpr2a</t>
  </si>
  <si>
    <t>86ak8xkjb</t>
  </si>
  <si>
    <t>Implementar indicador - Alterações de projeto por erro</t>
  </si>
  <si>
    <t>86ak8xk6f</t>
  </si>
  <si>
    <t>Implementar indicador - Estouro de obras por conta de projetos</t>
  </si>
  <si>
    <t>86ak8xk3a</t>
  </si>
  <si>
    <t>Implementar indicador - Riscos de projetos</t>
  </si>
  <si>
    <t>86ak8wtpj</t>
  </si>
  <si>
    <t>Implementar indicador - % Qualidade de reparos</t>
  </si>
  <si>
    <t>Sergio Lopes</t>
  </si>
  <si>
    <t>86aj8175b</t>
  </si>
  <si>
    <t>Implementar Indicador - Aderência ao orçamento em relação a consumo</t>
  </si>
  <si>
    <t>86aj81741</t>
  </si>
  <si>
    <t>Implementar Indicador - Aderência ao planejamento</t>
  </si>
  <si>
    <t>86aj8172y</t>
  </si>
  <si>
    <t>Implementar Indicador - Aderência ao orçamento viabilidade</t>
  </si>
  <si>
    <t>86aj8171z</t>
  </si>
  <si>
    <t>Implementar Indicador - Avaliação Diária da Segurança (IDS)</t>
  </si>
  <si>
    <t>86aj8171w</t>
  </si>
  <si>
    <t>Implementar Indicador - Avaliação da Segurança (AST)</t>
  </si>
  <si>
    <t>86aj8171m</t>
  </si>
  <si>
    <t>Implementar Indicador - Avaliação da Qualidade (AQO)</t>
  </si>
  <si>
    <t>86aj8171d</t>
  </si>
  <si>
    <t>Implementar Indicador - Cumprimento do orçamento da área de obras</t>
  </si>
  <si>
    <t>86aj7etga</t>
  </si>
  <si>
    <t>Implementar Indicador - Número de vezes que altera a prioridade de entrega de orçamento</t>
  </si>
  <si>
    <t>86aj7etg7</t>
  </si>
  <si>
    <t>Implementar Indicador - Aderência ao cronograma de entrega de pré-planejamento</t>
  </si>
  <si>
    <t>86aj7etg1</t>
  </si>
  <si>
    <t>Implementar indicador - Prazo insuficiente para orçamento</t>
  </si>
  <si>
    <t>86aj7etfy</t>
  </si>
  <si>
    <t>Implementar indicador - Assertividade No Orçamento (paramétrico/Due e Due/AP)</t>
  </si>
  <si>
    <t>86aj7ehkp</t>
  </si>
  <si>
    <t>Implementar Indicador - Qualidade do Projeto (EX)</t>
  </si>
  <si>
    <t>86aj7edg2</t>
  </si>
  <si>
    <t>Implementar Indicador - Qualidade do Projeto (PE)</t>
  </si>
  <si>
    <t>86aj7e6rc</t>
  </si>
  <si>
    <t>Implementar Indicador - Qualidade do Projeto (AP)</t>
  </si>
  <si>
    <t>86aj7cq1g</t>
  </si>
  <si>
    <t>Implementar Indicador - Qualidade do Projeto (EP)</t>
  </si>
  <si>
    <t>86akm8zcr</t>
  </si>
  <si>
    <t>Analisar carteira de empreiteiros (Mega)</t>
  </si>
  <si>
    <t>86ah4ayf5</t>
  </si>
  <si>
    <t>Implementar indicador de Compras Emergencial com a finalidade de medir o percentual (valor), de compras consideradas Urgentes.</t>
  </si>
  <si>
    <t>86ah42xg4</t>
  </si>
  <si>
    <t>Alinhamento com William Raphalski sobre data de visita de terreno (todas terças)</t>
  </si>
  <si>
    <t>86agc53uk</t>
  </si>
  <si>
    <t>Avaliar banco de dados estruturado de soluções padrão para desenvolvimento de projetos</t>
  </si>
  <si>
    <t>86acmx00e</t>
  </si>
  <si>
    <t>Automação: registro das informações de oportunidades de terreno.</t>
  </si>
  <si>
    <t>86acmwz7c</t>
  </si>
  <si>
    <t>Automação: Clipping com os portais imobiliários de informações p/ região (terrenos)</t>
  </si>
  <si>
    <t>86acmkhxv</t>
  </si>
  <si>
    <t>- Check list criado pela Barbara (NN - Visita de terrenos), via Forms do ClickUp. - Concluído.</t>
  </si>
  <si>
    <t>86acmkcrn</t>
  </si>
  <si>
    <t>Levantamento de possibilidade de criação de BD de terrenos c/ segmentação e análises e incluir no Mega/BPM a informação c/ checklist (Criar núcleo de informações (BD) de inteligência com BI para consolidar dados de terrenos e dashboards).</t>
  </si>
  <si>
    <t>86acmkafc</t>
  </si>
  <si>
    <t>Criar base de dados para geração de inteligência corporativa para avaliação de concorrência, diferenças por prefeitura, para produto novo ou cidade nova com automação de registro das informações de oportunidades de terreno</t>
  </si>
  <si>
    <t>86acmkadu</t>
  </si>
  <si>
    <t>Falta checklist de visita de terrenos em prospecção</t>
  </si>
  <si>
    <t>86acmkad2</t>
  </si>
  <si>
    <t>Automação do processo de registro de descarte de terrenos</t>
  </si>
  <si>
    <t>86ah2au8n</t>
  </si>
  <si>
    <t>Avaliar de quem é a responsabilidade de analisar custos de obras para Gadens</t>
  </si>
  <si>
    <t>86agva98y</t>
  </si>
  <si>
    <t>Verificar necessidade de procedimento específico para itens que compõem seviços de pré-obra</t>
  </si>
  <si>
    <t>86agety19</t>
  </si>
  <si>
    <t>Treinamento para utilização do conversor de unidade (no cadastro e no lançamento do item)</t>
  </si>
  <si>
    <t>nenhum critério com nota 4 ou 5. treinamento (-0,2).</t>
  </si>
  <si>
    <t>86ageh69z</t>
  </si>
  <si>
    <t>Avaliar utilização do Construflow pela Obra. Problema: Falta de registros dos apontamentos feitos pela obra</t>
  </si>
  <si>
    <t>86age4cnw</t>
  </si>
  <si>
    <t>Avaliar automação do processo de Pré-Planejamento (BD de Indices - Formulário / Prompt)</t>
  </si>
  <si>
    <t>86age48j6</t>
  </si>
  <si>
    <t>Avaliar IA para análise de outros planejamentos</t>
  </si>
  <si>
    <t>86agd825h</t>
  </si>
  <si>
    <t>Avaliar retrabalho de planejamento (Excel / Prevision)</t>
  </si>
  <si>
    <t>86aj7c61m</t>
  </si>
  <si>
    <t>Elaborar POP - Processo de orçamentação paramétrica (Todos os tipos de parámetrico)</t>
  </si>
  <si>
    <t>86aj7bqg6</t>
  </si>
  <si>
    <t>Elaborar POP - Critérios de validação de quantitativos</t>
  </si>
  <si>
    <t>86age454x</t>
  </si>
  <si>
    <t>Automação do processo de cadastro de itens (Mega/BPM).</t>
  </si>
  <si>
    <t>86aghmk20</t>
  </si>
  <si>
    <t>Verificar a viabilidade de lançar automaticamente aplicações, taxas, resgates com a Nexxera</t>
  </si>
  <si>
    <t>86aghccpa</t>
  </si>
  <si>
    <t>Incluir minuta padrão dentro do Mega</t>
  </si>
  <si>
    <t>86ad74fwv</t>
  </si>
  <si>
    <t>Implementar indicador: % de terrenos adquiridos para atendimento da régua de lançamentos</t>
  </si>
  <si>
    <t>86ad74e3v</t>
  </si>
  <si>
    <t>Implementar indicador: Desvio médio em simulações de viabilidade (Compra / Due / Lançamento / Chaves)</t>
  </si>
  <si>
    <t>86ahkew4h</t>
  </si>
  <si>
    <t>Avaliar implementação da Gestão de Score</t>
  </si>
  <si>
    <t>86agwyda2</t>
  </si>
  <si>
    <t>Parametrizar no Mega os solicitantes conforme definição efetuada por Suprimentos</t>
  </si>
  <si>
    <t>86aghfr69</t>
  </si>
  <si>
    <t>Salvar NF no AR</t>
  </si>
  <si>
    <t>86agetcvx</t>
  </si>
  <si>
    <t>Parametrizar sistema para gerar relatórios e indicadores de performance no que tange a avaliação de fornecedores (Por obra, fornecedor, período)</t>
  </si>
  <si>
    <t>86agerved</t>
  </si>
  <si>
    <t>Alto volume de input manual de valores nas cotações - Testar a ferramenta Cotei</t>
  </si>
  <si>
    <t>17tpepcpu14</t>
  </si>
  <si>
    <t>Avaliar a possibilidade de automatizar o download do mapa de medição aprovado no Sharepoint</t>
  </si>
  <si>
    <t>17tpepcpu00</t>
  </si>
  <si>
    <t>Automatizar o download de contrato assinado no Clicksign</t>
  </si>
  <si>
    <t>86ajv7h6t</t>
  </si>
  <si>
    <t>Elaborar POP - Metodologia de Precificação de Produto Make It</t>
  </si>
  <si>
    <t>86ajv7gnq</t>
  </si>
  <si>
    <t>Elaborar POP - Metodologia de Precificação de Produto Gadens</t>
  </si>
  <si>
    <t>86aghgbyx</t>
  </si>
  <si>
    <t>Obrigatoriedade de inclusão de anexo no recebimento e pagamento</t>
  </si>
  <si>
    <t>17tpepcgkxn</t>
  </si>
  <si>
    <t>Avaliar venda via consórcio</t>
  </si>
  <si>
    <t>86ah4bxac</t>
  </si>
  <si>
    <t>Implementar indicador de Acuracidade do Estoque com a finalidade de medir a assertividade dos estoques e se houve divergência entre o estoque contábil e o físico.</t>
  </si>
  <si>
    <t>86ah4bx8y</t>
  </si>
  <si>
    <t>Implementar indicador - Saving de Orçamento com a finalidade de medir a captura de valor obtida nas negociações.(baseado no custo orçado).</t>
  </si>
  <si>
    <t>86ah4b662</t>
  </si>
  <si>
    <t>Implementar indicador de Compra Normal com a finalidade de medir o percentual de compras que passam por suprimentos e segue o processo normal.</t>
  </si>
  <si>
    <t>17tpepcgu8m</t>
  </si>
  <si>
    <t>Levantar serviços executados e avaliar quais temos desvios, para melhorar e padronizar.</t>
  </si>
  <si>
    <t>86ahckny8</t>
  </si>
  <si>
    <t>Criação de indicadores, relatórios, disponibilização do relatório de giro de estoque (Valor e quantidade) Suprimentos.</t>
  </si>
  <si>
    <t>86agd85nm</t>
  </si>
  <si>
    <t>Definição se o acompanhamento será físico e/ou financeiro</t>
  </si>
  <si>
    <t>86aghmk3d</t>
  </si>
  <si>
    <t>Redução de contas bancárias inativas</t>
  </si>
  <si>
    <t>86agety1c</t>
  </si>
  <si>
    <t>Definir workflow de validação do cadastro de itens e SLA</t>
  </si>
  <si>
    <t>86agetpf5</t>
  </si>
  <si>
    <t>Definir formulário de cadastro de materiais (FORMS OU MEGA) - e quais campos obrigatórios no formulário.</t>
  </si>
  <si>
    <t>86ahrkgmf</t>
  </si>
  <si>
    <t>Implementar workflow de cadastro de itens</t>
  </si>
  <si>
    <t>86aghuytx</t>
  </si>
  <si>
    <t>Verificar recebimento de NF de Serviço com AR</t>
  </si>
  <si>
    <t>86agen7z3</t>
  </si>
  <si>
    <t>Reavaliar tipos de composição BDI nas obras (x unidades)</t>
  </si>
  <si>
    <t>86agem633</t>
  </si>
  <si>
    <t>Revisar cadastro e classificação de itens // Revisão do cadastro de insumos / Sanitização e melhoria do cadastro de insumos</t>
  </si>
  <si>
    <t>17tpepcgkv5</t>
  </si>
  <si>
    <t>17tpepcdg1u</t>
  </si>
  <si>
    <t>Elaborar POP - Decorados (Incluindo vistoria de decorados) - Mariane;</t>
  </si>
  <si>
    <t>86ahcknyn</t>
  </si>
  <si>
    <t>Verificar criação de treinamento para a Obra realizar o report de falhas ou desvios, bem como, definir o meio de report (plataforma) para a comunicação ao Jurídico</t>
  </si>
  <si>
    <t>86agnz084</t>
  </si>
  <si>
    <t>Possibilitar a criação de cotação livre no Mega para alimentação do orçamento // Treinamento para utilização</t>
  </si>
  <si>
    <t>86aghvdf4</t>
  </si>
  <si>
    <t>Avaliar ADM de obras x unid. resid. (Hellen)</t>
  </si>
  <si>
    <t>86aght77r</t>
  </si>
  <si>
    <t>Avaliar possibilidade de internalizar solicitação de documentos de empreiteiros (GMO e Compliance)</t>
  </si>
  <si>
    <t>86agd8vk5</t>
  </si>
  <si>
    <t>Integração e treinamento (Engenheiro residente). Desenvolver processo de integração da equipe de obra e RH (Renata + área)</t>
  </si>
  <si>
    <t>Fernando de Souza, andressa.ferreira@makeitconstrutora.com.br, Renata da Silva de Matos de Jesus</t>
  </si>
  <si>
    <t>17tpepcekpq</t>
  </si>
  <si>
    <t>Avaliar automatização do processo de leads - WhatsApp vs CV Make It</t>
  </si>
  <si>
    <t>86aght78r</t>
  </si>
  <si>
    <t>Pré-Cadastro inativo no Mega - Avaliar</t>
  </si>
  <si>
    <t>86acmxh0n</t>
  </si>
  <si>
    <t>Criar e formalizar o plano de autonomia de aprovação</t>
  </si>
  <si>
    <t>86aghpd41</t>
  </si>
  <si>
    <t>Definir automatização da estrutura da Incoporação no Mega (Alexandre / Eraldo (apoio))</t>
  </si>
  <si>
    <t>86agb8z9v</t>
  </si>
  <si>
    <t>Avaliar salvamento de arquivos no Sharepoint (Power Automate)</t>
  </si>
  <si>
    <t>17tpepcdaee</t>
  </si>
  <si>
    <t>Avaliar automatização do processo de leads - WhatsApp vs CV Gadens</t>
  </si>
  <si>
    <t>86aghnk7k</t>
  </si>
  <si>
    <t>Criação do projeto no AutoDoc na Due</t>
  </si>
  <si>
    <t>86aghnk58</t>
  </si>
  <si>
    <t>Obras estão com RT em nome da Karen</t>
  </si>
  <si>
    <t>86agc6ngy</t>
  </si>
  <si>
    <t>Registrar ata da reunião de start de obra</t>
  </si>
  <si>
    <t>86agbaupd</t>
  </si>
  <si>
    <t>Atualiza / Preenche ficha de especificação de projetos no ClickUp (incluindo detalhes de especificação (cor, etc.) / Envia Link e Detalhamento Padrão para projetistas de arquitetura via Clickup</t>
  </si>
  <si>
    <t>Eduardo Rosa, Talita Knopf</t>
  </si>
  <si>
    <t>86agbak8j</t>
  </si>
  <si>
    <t>Consulta Projetos Complementares</t>
  </si>
  <si>
    <t>86agb97mq</t>
  </si>
  <si>
    <t>Seleciona por Juntada os Comprovantes - Automatizar o back-up de juntada de documentos</t>
  </si>
  <si>
    <t>86ahcknza</t>
  </si>
  <si>
    <t>Verificar acompanhamento de eficácia do plano de ação no Mobuss (Qualidade - Alessandro).</t>
  </si>
  <si>
    <t>86agja43h</t>
  </si>
  <si>
    <t>Incluir a participação da Qualidade no D90 para que o check list seja aplicado</t>
  </si>
  <si>
    <t>86agerve7</t>
  </si>
  <si>
    <t>Treinamento para acesso informações de cronograma de compras</t>
  </si>
  <si>
    <t>86aged8yw</t>
  </si>
  <si>
    <t>Testar consolidação de cronograma de várias obras no Mega</t>
  </si>
  <si>
    <t>86agdxvm8</t>
  </si>
  <si>
    <t>Analisar a possibilidade de automatizar a inserção de dados no Maxor c/ gestão/comparação (atualmente esta fazendo no Excel).</t>
  </si>
  <si>
    <t>86agd85na</t>
  </si>
  <si>
    <t>Incluir no dashboard mensuração de quantidade e qualidade via ClickUp / Forms</t>
  </si>
  <si>
    <t>86agcx548</t>
  </si>
  <si>
    <t>Incluir no Anteprojeto análise externa de redes para projetos complementares</t>
  </si>
  <si>
    <t>86aj0advy</t>
  </si>
  <si>
    <t>Incorporar o planejamento da obra na solicitação de compra</t>
  </si>
  <si>
    <t>86aj0abt9</t>
  </si>
  <si>
    <t>Analisar e identificar a causa raiz do replanejamento contínuo, e como isso impacta em outras áreas (Por mais que as datas dos marcos não sejam alterados)</t>
  </si>
  <si>
    <t>86ahckp01</t>
  </si>
  <si>
    <t>Estruturar fichas de qualidade semanais Mobuss– Padrões Gadens</t>
  </si>
  <si>
    <t>86ah5hcph</t>
  </si>
  <si>
    <t>Automatização da ponderação (pesos) na integração Prevision x Mega</t>
  </si>
  <si>
    <t>86ah20kyf</t>
  </si>
  <si>
    <t>Criar checklist de verificação de obra</t>
  </si>
  <si>
    <t>86agvagug</t>
  </si>
  <si>
    <t>Automatizar a importação do As Built no CV</t>
  </si>
  <si>
    <t>86agrc5w7</t>
  </si>
  <si>
    <t>Melhorar alinhamento entre Planejamento e Obra para termos uma maior aderência ao planejamento. Problema: Alteração de planejamento após aprovação.</t>
  </si>
  <si>
    <t>William Raphalski</t>
  </si>
  <si>
    <t>86agp1g0f</t>
  </si>
  <si>
    <t>Criar índices de revisão de projeto na obra (Ex. AS BUILT).</t>
  </si>
  <si>
    <t>Fernando Okraska, Lucas Lopes</t>
  </si>
  <si>
    <t>86agjaf0v</t>
  </si>
  <si>
    <t>Implantar ferramenta (Construflow) para troca de informações de execução de obra para equié projeto para análise da equipe de projetos sem perda de informações que serão necessárias para o AS BUILT ou atualização imediata. (Lucas Vaz)</t>
  </si>
  <si>
    <t>86agehw2k</t>
  </si>
  <si>
    <t>Confirmar com Marketing momento e padrão de execução de tapume de fechamento de obra</t>
  </si>
  <si>
    <t>86ageee52</t>
  </si>
  <si>
    <t>Demora de 30 dias p/ colocar nova equipe na obra</t>
  </si>
  <si>
    <t>86agede4b</t>
  </si>
  <si>
    <t>Implementar comitê de planejamento ao final do planejamento</t>
  </si>
  <si>
    <t>86aged4ae</t>
  </si>
  <si>
    <t>Exemplificar quais são condicionantes e similaridades entre os projetos</t>
  </si>
  <si>
    <t>86agdxtkx</t>
  </si>
  <si>
    <t>Time de análise da obra atuará por sprint com um item por semana (concreto, aço, forma e alvenaria estruturada)</t>
  </si>
  <si>
    <t>86agdxkqc</t>
  </si>
  <si>
    <t>Coordenador de Obras, em algumas semanas, fica somente dois períodos na obra</t>
  </si>
  <si>
    <t>86agdxcwd</t>
  </si>
  <si>
    <t>Gestão após Executivo é compartilhada com o Coordenador de Obra</t>
  </si>
  <si>
    <t>86agdwca5</t>
  </si>
  <si>
    <t>Análise de critérios de ferramentas de rateio das áreas que prestam serviço para o setor de Obras</t>
  </si>
  <si>
    <t>86agdw498</t>
  </si>
  <si>
    <t>Automatizar o relatório de apontamentos (incluir padrão)</t>
  </si>
  <si>
    <t>86agd8vq6</t>
  </si>
  <si>
    <t>Inclusão de processo multidisciplinar de integração p/ estagiários e novos colaboradores (passando p/ áreas inerentes à sua atividade) (Valquíria).</t>
  </si>
  <si>
    <t>Renata da Silva de Matos de Jesus</t>
  </si>
  <si>
    <t>86agcwum3</t>
  </si>
  <si>
    <t>Falta de exatidão dos projetos complementares (qualidade)</t>
  </si>
  <si>
    <t>86aj8172f</t>
  </si>
  <si>
    <t>Implementar Indicador - Avaliação de fornecedores</t>
  </si>
  <si>
    <t>86aghvddk</t>
  </si>
  <si>
    <t>Avaliar comunicado p/ fornecedores reforçando a obrig. de aguardar mapa de medição aprovado (Lizandra)</t>
  </si>
  <si>
    <t>86acmwdvu</t>
  </si>
  <si>
    <t>Definir e criar plano de migração de informações e capacitações para padronização dos sistemas de uso (Definição de arquitetura de softwares padrão)bem como, a arquitetura tecnológica e corporativa e governança de TI.</t>
  </si>
  <si>
    <t>86acmxevv</t>
  </si>
  <si>
    <t>Inserir representantes do comercial no comitê de planejamento estratégico (Falta de participação do comercial no planejamento estratégico).</t>
  </si>
  <si>
    <t>86acmkd4t</t>
  </si>
  <si>
    <t>Implantar sistema digital de gestão fundiária com workflow automatizado para registro e acompanhamento de descartes. - Criação de acompanhamento de descartes criado pela area de Novos Negócios via ClickUp.</t>
  </si>
  <si>
    <t>86aghvde9</t>
  </si>
  <si>
    <t>Garantir que pontos relevantes estejam no onboarding junto ao empreiteiro (arte c/ MKT) – revisar – somente 1 data de medição (20) (Andressa/Edgard)</t>
  </si>
  <si>
    <t>86aghvmvp</t>
  </si>
  <si>
    <t>BI de contratos</t>
  </si>
  <si>
    <t>86aghm6hd</t>
  </si>
  <si>
    <t>Verificar integração MEGA X Approvo</t>
  </si>
  <si>
    <t>86aghm6ga</t>
  </si>
  <si>
    <t>Verificar integração MEGA X SEFAZ</t>
  </si>
  <si>
    <t>86agety17</t>
  </si>
  <si>
    <t>Avaliar integração Mobuss x Mega</t>
  </si>
  <si>
    <t>86agerve9</t>
  </si>
  <si>
    <t>Avaliar possibilidade - integração Prevision x Mega - gerando solicitação de forma automática</t>
  </si>
  <si>
    <t>86agem64z</t>
  </si>
  <si>
    <t>Incluir Checklist de visita na obra p/ Suprimentos</t>
  </si>
  <si>
    <t>86aew2yd7</t>
  </si>
  <si>
    <t>Implementar indicador: Nº de apontamentos em entregas dos fornecedores no processo integral de Incorporação</t>
  </si>
  <si>
    <t>86adcfntn</t>
  </si>
  <si>
    <t>86ahkea4u</t>
  </si>
  <si>
    <t>Automação de relatório de APs em aberto no sistema (Alexandre);</t>
  </si>
  <si>
    <t>86aghm6gu</t>
  </si>
  <si>
    <t>Definir processo de solicitação de Viagens</t>
  </si>
  <si>
    <t>86aghjnh5</t>
  </si>
  <si>
    <t>Criar BI para buscar NFs por filial, NFs em geral - G-Control ou Plataforma similar</t>
  </si>
  <si>
    <t>86agetcvt</t>
  </si>
  <si>
    <t>Aplicar estas definições no que tange aos itens controlados pela qualidade</t>
  </si>
  <si>
    <t>17tpepcdg1x</t>
  </si>
  <si>
    <t>Criar lista de fornecedores para base - Sergio apoio Mariane;</t>
  </si>
  <si>
    <t>17tpepcpu26</t>
  </si>
  <si>
    <t>Manutenção dos treinamentos conforme a demanda (Realizar treinamento inicial de aditivo de contrato)</t>
  </si>
  <si>
    <t>17tpepcpu1y</t>
  </si>
  <si>
    <t>Realizar treinamento inicial de aditivo de contrato</t>
  </si>
  <si>
    <t>17tpepcprk4</t>
  </si>
  <si>
    <t>Realizar treinamento de cadastro de estrutura do empreendimento no CV, incluindo nomenclatura para unidades permutadas modalidade venda com repasse</t>
  </si>
  <si>
    <t>17tpepcprk1</t>
  </si>
  <si>
    <t>Realizar treinamento de cadastro de estrutura do empreendimento no Mega, para Incorporação Gadens e Make It, incluindo nomenclatura para unidades permutadas modalidade venda com repasse</t>
  </si>
  <si>
    <t>17tpepcprk0</t>
  </si>
  <si>
    <t>Realizar treinamento de contrato de permutas financeira para secretaria de vendas e demais áreas aplicáveis no Mega</t>
  </si>
  <si>
    <t>86aghpd4y</t>
  </si>
  <si>
    <t>Definir momento do PE e EX (em relação ao Lançamento) Gadens</t>
  </si>
  <si>
    <t>86agzkbe7</t>
  </si>
  <si>
    <t>Elaborar IT - Com todas as identificações visuais para Make It e Gadens (Para empreendimento)</t>
  </si>
  <si>
    <t>Andrei Souza Santos</t>
  </si>
  <si>
    <t>86akm8zdq</t>
  </si>
  <si>
    <t>Avaliar possibilidade de melhorias na comunicação via WhatsApp com empreiteiros</t>
  </si>
  <si>
    <t>86agv0dq2</t>
  </si>
  <si>
    <t>Solicitação de serviço e mão de obra (GMO) será feita pelo Mega.</t>
  </si>
  <si>
    <t>86aghvmw1</t>
  </si>
  <si>
    <t>Alinhamento s/ nomenclaturas orçamentárias (Hellen + Lizandra + obras + orç + TI)</t>
  </si>
  <si>
    <t>86aghrgym</t>
  </si>
  <si>
    <t>Integração BPM X Mega</t>
  </si>
  <si>
    <t>86ajf8rr2</t>
  </si>
  <si>
    <t>Definir responsabilidade pelo Tapume - Gadens e Make It</t>
  </si>
  <si>
    <t>86ah4bxa3</t>
  </si>
  <si>
    <t>Implementar indicador - Percentual de fornecedores com baixa performance, indicador que mede a proporção de fornecedores com não conformidade aberta na avaliação de desempenho</t>
  </si>
  <si>
    <t>86ah4bx9a</t>
  </si>
  <si>
    <t>Implementar indicador - Pontualidade do Fornecedor com a finalidade de medir o percentual de entregas que foram efetuadas no prazo acordado.</t>
  </si>
  <si>
    <t>86ah4bx97</t>
  </si>
  <si>
    <t>Implementar indicador de Custos evitados com a finalidade de medir a captura de valor obtida nas negociações.(baseado no custo referente a melhor proposta de preço obtida na cotação).</t>
  </si>
  <si>
    <t>86agnyuvb</t>
  </si>
  <si>
    <t>Definição a respeito das atas de forma geral (assinado ou não)</t>
  </si>
  <si>
    <t>86aj7bx9v</t>
  </si>
  <si>
    <t>Elaborar Política - Da Jornada do Cliente, incluindo critérios e diretrizes</t>
  </si>
  <si>
    <t>86agzka6x</t>
  </si>
  <si>
    <t>Elaborar POP - Padrão de Visita Guiada - Gadens e Make It</t>
  </si>
  <si>
    <t>86agva5rp</t>
  </si>
  <si>
    <t>Elaborar POP - Comunicação visual do terreno para Gadens e Make It</t>
  </si>
  <si>
    <t>86agnywek</t>
  </si>
  <si>
    <t>Definição do escopo dos comitês (Due, EP, AP, PE, EX)</t>
  </si>
  <si>
    <t>17tpepcpr2t</t>
  </si>
  <si>
    <t>17tpepcpr2p</t>
  </si>
  <si>
    <t>17tpepcpr2n</t>
  </si>
  <si>
    <t>86ak8xca8</t>
  </si>
  <si>
    <t>Implementar indicador - VGV em contrato/assinado</t>
  </si>
  <si>
    <t>86aew32y4</t>
  </si>
  <si>
    <t>Implementar indicador: Erro médio em simulações de viabilidade (projeção vs real) – Gadens Nov/25 // Make It Nov/25</t>
  </si>
  <si>
    <t>86adcft1p</t>
  </si>
  <si>
    <t>Implementar indicador: Tempo médio de atendimento de solicitações (contratos e jurídico)</t>
  </si>
  <si>
    <t>86adcfjfc</t>
  </si>
  <si>
    <t>86adcfc49</t>
  </si>
  <si>
    <t>Implementar indicador: Comparativo de eficiência nos estudos de viabilidade – Implantado para Make It – Nov/25 (ao final da Due). N/A para Gadens</t>
  </si>
  <si>
    <t>86adcf354</t>
  </si>
  <si>
    <t>Implementar indicador: Tempo médio de negociação até assinatura de contrato/compra/opção</t>
  </si>
  <si>
    <t>86ad74b02</t>
  </si>
  <si>
    <t>Implementar indicador: Índice de desistência pós-negociação (Due Diligence reprovada, conflito de documentação etc.)</t>
  </si>
  <si>
    <t>17tpepcdm2y</t>
  </si>
  <si>
    <t>Avaliar plataforma para registro de campanhas exclusivas (hoje efetuado no Sharepoint)</t>
  </si>
  <si>
    <t>86aj7rb0p</t>
  </si>
  <si>
    <t>Implementar indicador - Índice de NFs com Erro</t>
  </si>
  <si>
    <t>86ahyemja</t>
  </si>
  <si>
    <t>Implementar Indicador - Percentual de APs vencidas</t>
  </si>
  <si>
    <t>86ahyemj5</t>
  </si>
  <si>
    <t>Implementar Indicador - Prazo médio de pagamento (um para materiais e outro para serviços)</t>
  </si>
  <si>
    <t>86ahyemhz</t>
  </si>
  <si>
    <t>Implementar Indicador de Lead Time Total de Pagamento (um para materiais e outro para serviços)</t>
  </si>
  <si>
    <t>86ahyemht</t>
  </si>
  <si>
    <t>Implementar Indicador de % NFs Lançadas no Prazo</t>
  </si>
  <si>
    <t>86ahyemhb</t>
  </si>
  <si>
    <t>Implementar Indicador - Score empresarial</t>
  </si>
  <si>
    <t>86ahyehpk</t>
  </si>
  <si>
    <t>Implementar Indicador - Protesto (entrada)</t>
  </si>
  <si>
    <t>86ahyehpf</t>
  </si>
  <si>
    <t>Implementar Indicador de Percentual de Valores de Multas e Juros por atraso de pagamento dos impostos</t>
  </si>
  <si>
    <t>86ahyehpb</t>
  </si>
  <si>
    <t>Implementar Indicador de Percentual de número de títulos pagos com multas e juros por atraso de pagamento</t>
  </si>
  <si>
    <t>86ahyegjk</t>
  </si>
  <si>
    <t>Implementar Indicador - Percentual de valores de multas e juros por atraso de pagamento</t>
  </si>
  <si>
    <t>86ahyee99</t>
  </si>
  <si>
    <t>Implementar Indicador de Percentual de atraso no pagamento</t>
  </si>
  <si>
    <t>86ahxbnff</t>
  </si>
  <si>
    <t>Implementar indicador de Cumprimento das SLAs de Prazos das Áreas para Envio de NF para Central de Notas Referente a Adiantamento</t>
  </si>
  <si>
    <t>86ahxbm0f</t>
  </si>
  <si>
    <t>Implementar indicador de Cumprimento das SLAs de prazos das áreas para a Central de Notas</t>
  </si>
  <si>
    <t>86ah4b9qq</t>
  </si>
  <si>
    <t>Implementar indicador de Compra de Serviço com a finalidade de medir o percentual (valor), de compras para serviços. Visa avaliar o percentual de compras sem contratos.</t>
  </si>
  <si>
    <t>17tpepcgq9c</t>
  </si>
  <si>
    <t>Elaborar Fluxo - Tapumes</t>
  </si>
  <si>
    <t>86aj80cfu</t>
  </si>
  <si>
    <t>Implementar Indicador - Cumprimento da verba orçamentária de viabilidade V2 DUE (por disciplina) Gadens</t>
  </si>
  <si>
    <t>86aj80add</t>
  </si>
  <si>
    <t>Implementar Indicador - Aderência ao cronograma - EX</t>
  </si>
  <si>
    <t>86aj806w0</t>
  </si>
  <si>
    <t>Implementar Indicador - Cumprimento da verba orçamentária de viabilidade V2 DUE (por disciplina) AP Gadens</t>
  </si>
  <si>
    <t>86aj802r3</t>
  </si>
  <si>
    <t>Implementar Indicador - Aderência ao cronograma do estudo preliminar (aderência de linha de base) AP Gadens</t>
  </si>
  <si>
    <t>86aj7nmng</t>
  </si>
  <si>
    <t>Implementar indicador - Cumprimento da verba orçamentária de viabilidade V2 DUE (por disciplina)</t>
  </si>
  <si>
    <t>86aj7nmnd</t>
  </si>
  <si>
    <t>Implementar indicador - Aderência ao cronograma - PE</t>
  </si>
  <si>
    <t>86aj7ehky</t>
  </si>
  <si>
    <t>86aj7ehkb</t>
  </si>
  <si>
    <t>Implementar indicador - Aderência ao cronograma - EX</t>
  </si>
  <si>
    <t>86aj7edg4</t>
  </si>
  <si>
    <t>Implementar Indicador - Cumprimento da verba orçamentária de viabilidade V2 DUE</t>
  </si>
  <si>
    <t>86aj7edfz</t>
  </si>
  <si>
    <t>Implementar Indicador - Aderência ao cronograma - PE</t>
  </si>
  <si>
    <t>86aj7cq1k</t>
  </si>
  <si>
    <t>Implementar Indicador - Cumprimento da verba orçamentária de viabilidade V2 DUE AP</t>
  </si>
  <si>
    <t>86aj7cq14</t>
  </si>
  <si>
    <t>Implementar Indicador - Aderência ao cronograma do estudo preliminar (aderência de linha de base) AP</t>
  </si>
  <si>
    <t>86aget0h6</t>
  </si>
  <si>
    <t>Treinamento de FUP no Mega para almoxarifado (solicitação / pedido)</t>
  </si>
  <si>
    <t>86agervej</t>
  </si>
  <si>
    <t>Treinamento do módulo Cotei para time de Suprimentos</t>
  </si>
  <si>
    <t>17tpepcgt64</t>
  </si>
  <si>
    <t>Avaliar plataforma para substituição do BPM</t>
  </si>
  <si>
    <t>17tpepcgq44</t>
  </si>
  <si>
    <t>86agdhd8p</t>
  </si>
  <si>
    <t>Estudar possível automação para que cancelamentos de pedidos efetuados não retomem o processo desde a solicitação e sim do pedido (mapa)</t>
  </si>
  <si>
    <t>86aj7bmyy</t>
  </si>
  <si>
    <t>Elaborar IT - Abertura de CNO</t>
  </si>
  <si>
    <t>86agjaf20</t>
  </si>
  <si>
    <t>Marketing deve ser o responsável pela Comunicação Visual do produto - Gadens e Make It</t>
  </si>
  <si>
    <t>Gabriel Abreu de Oliveira</t>
  </si>
  <si>
    <t>86ak8wur7</t>
  </si>
  <si>
    <t>Implementar indicador - % Custo previsto x Realizado</t>
  </si>
  <si>
    <t>86ak8wu2m</t>
  </si>
  <si>
    <t>Implementar indicador - Atendimento em vistorias/reparos</t>
  </si>
  <si>
    <t>86aj81q32</t>
  </si>
  <si>
    <t>Implementar Indicador - Taxa de Aprovação de Itens de Vistoria de Área Comum</t>
  </si>
  <si>
    <t>86aj81q30</t>
  </si>
  <si>
    <t>Implementar Indicador - Taxa de Aprovação da Vistoria de Área Comum</t>
  </si>
  <si>
    <t>86aj81q2v</t>
  </si>
  <si>
    <t>Implementar Indicador - Taxa de Aprovação da Vistoria</t>
  </si>
  <si>
    <t>86aj81q2r</t>
  </si>
  <si>
    <t>Implementar Indicador - Número médio de revistorias</t>
  </si>
  <si>
    <t>86aj8174f</t>
  </si>
  <si>
    <t>Implementar Indicador - Índice de perdas</t>
  </si>
  <si>
    <t>86aj8173t</t>
  </si>
  <si>
    <t>Implementar Indicador - IRR (índice de remoção de restrição)</t>
  </si>
  <si>
    <t>86aj81725</t>
  </si>
  <si>
    <t>Implementar Indicador - Custo de Retrabalho</t>
  </si>
  <si>
    <t>86agj0x75</t>
  </si>
  <si>
    <t>Reavaliar prazo para análises pós comitê de EP (hoje D+3)</t>
  </si>
  <si>
    <t>86actgg12</t>
  </si>
  <si>
    <t>Realizar testes de pedido livre (itens e usuários)</t>
  </si>
  <si>
    <t>86acmxem6</t>
  </si>
  <si>
    <t>Criar caixa (fundo fixo no Mega - Financeiro)</t>
  </si>
  <si>
    <t>86aged25h</t>
  </si>
  <si>
    <t>Fortalecer área de qualidade para desenvolvimento de treinamento para alto padrão nas execuções</t>
  </si>
  <si>
    <t>86ahcknzv</t>
  </si>
  <si>
    <t>Avaliar a viabilidade de aplicar o Mobuss na Gadens</t>
  </si>
  <si>
    <t>86agen7yh</t>
  </si>
  <si>
    <t>Alinhar conceito de lead time (pedido x entrega)</t>
  </si>
  <si>
    <t>86ak8xccb</t>
  </si>
  <si>
    <t>Implementar indicador - Manutenção da margem de viabilidade</t>
  </si>
  <si>
    <t>86ak8xc89</t>
  </si>
  <si>
    <t>Implementar indicador - Número de terrenos prospectados</t>
  </si>
  <si>
    <t>86agerveg</t>
  </si>
  <si>
    <t>Implementação definitiva do módulo Cotei</t>
  </si>
  <si>
    <t>86adcf6mn</t>
  </si>
  <si>
    <t>Implementar indicador: Prazo para entrega de relatório técnico de terreno (visita técnica)</t>
  </si>
  <si>
    <t>86adcf4qw</t>
  </si>
  <si>
    <t>Implementar indicador: Tempo médio entre prospecção e aquisição final</t>
  </si>
  <si>
    <t>86adcf1y3</t>
  </si>
  <si>
    <t>Implementar indicador: % de terrenos com viabilidade econômica positiva (Funil)</t>
  </si>
  <si>
    <t>86adceykw</t>
  </si>
  <si>
    <t>Implementar indicador: Número de terrenos adquiridos por praça</t>
  </si>
  <si>
    <t>86ad740kv</t>
  </si>
  <si>
    <t>Implementar indicador: % de negócios fechados em modelo de permuta/parceria vs compra direta</t>
  </si>
  <si>
    <t>86ad731ye</t>
  </si>
  <si>
    <t>Implementar Indicador: Nº de terrenos prospectados em áreas-alvo estratégicas (custo e quantidade) - Cidade/ bairro Produto-padrão</t>
  </si>
  <si>
    <t>86akm8zea</t>
  </si>
  <si>
    <t>Avaliar se envolvidos no processos de "contratação de empreiteiros", tem WhatsApp corporativo</t>
  </si>
  <si>
    <t>86ah4bx9r</t>
  </si>
  <si>
    <t>Implementar indicador - Nível de satisfação do cliente com a finalidade de medir o percentual de satisfação do cliente interno, com relação ao departamento de suprimentos.</t>
  </si>
  <si>
    <t>86ah4bx92</t>
  </si>
  <si>
    <t>Implementar indicador - Saving de Último preço praticado com a finalidade de medir a captura de valor obtida nas negociações.(baseado no custo referente ao último preço praticado).</t>
  </si>
  <si>
    <t>86ah4bx8j</t>
  </si>
  <si>
    <t>Implementar indicador de Lead time de compras com a finalidade de medir o percentual de pedidos de compra emitidos no prazo (Data da necessidade).</t>
  </si>
  <si>
    <t>86age47x7</t>
  </si>
  <si>
    <t>Inserir campos obrigatórios no grupo de itens.</t>
  </si>
  <si>
    <t>86agv0f9a</t>
  </si>
  <si>
    <t>Treinamento mensal para obra (almoxarifes e engenheiros) para inclusão correta das solicitações no Mega e utilização do Prevision</t>
  </si>
  <si>
    <t>17tpepcpu27</t>
  </si>
  <si>
    <t>Criar de um filtro de tipo de serviço no G-Control para os fornecedores (empreiteiros e fornecedores em geral)</t>
  </si>
  <si>
    <t>86agja747</t>
  </si>
  <si>
    <t>Verificar se existe a regra de nomenclatura nas criações das pastas (Incorporação Make it)</t>
  </si>
  <si>
    <t>86agnyrnj</t>
  </si>
  <si>
    <t>Solicitação de laudos técnicos (ruído, térmico etc.) em EP para Make It</t>
  </si>
  <si>
    <t>86agb8595</t>
  </si>
  <si>
    <t>Realizar estudo sobre a estrutura de pastas (raiz) / TI deve definir o padrão de nomenclatura para salvamento nas pastas</t>
  </si>
  <si>
    <t>17tpepcdg1w</t>
  </si>
  <si>
    <t>Verificar informação sobre prazo de entrega (Unidades Decoradas)</t>
  </si>
  <si>
    <t>86ageha0h</t>
  </si>
  <si>
    <t>Avaliar compra de mais licenças do Mega. Problema: Falta de licenças do Mega.</t>
  </si>
  <si>
    <t>17tpepcgu8n</t>
  </si>
  <si>
    <t>Criar plano de ação de melhoria contínua e transformar em indicador</t>
  </si>
  <si>
    <t>86ak01051</t>
  </si>
  <si>
    <t>Elaborar IT - Fundações</t>
  </si>
  <si>
    <t>86aght7ap</t>
  </si>
  <si>
    <t>Criar campo obrigatório da solicitação (informar número da solicitação) MEGA no BPM</t>
  </si>
  <si>
    <t>86aght79b</t>
  </si>
  <si>
    <t>Alterar campo nº da solicitação no BPM para o inicio</t>
  </si>
  <si>
    <t>86acnggrc</t>
  </si>
  <si>
    <t>Apresentação dos Indicadores de Novos Negócios</t>
  </si>
  <si>
    <t>Rubem Soares de Oliveira Lima</t>
  </si>
  <si>
    <t>86acmxgcm</t>
  </si>
  <si>
    <t>Construir indicadores de aprovação (número de reprovações, tempo de aprovação total, tempo médio de aprovação da solicitação no Approvo, quantidade de aprovações por tipo de documento etc.)</t>
  </si>
  <si>
    <t>86aghnk71</t>
  </si>
  <si>
    <t>Incluir a Viabilidade Financeira V2 na Due</t>
  </si>
  <si>
    <t>86aghnk6v</t>
  </si>
  <si>
    <t>Incluir a Viabilidade Financeira V1 ("Simulação") na Due</t>
  </si>
  <si>
    <t>86agc5et6</t>
  </si>
  <si>
    <t>Nota Explicativa via ClickUp</t>
  </si>
  <si>
    <t>86agen7zh</t>
  </si>
  <si>
    <t>Apresentar e treinar fluxo da cadeia de compras</t>
  </si>
  <si>
    <t>86agehw23</t>
  </si>
  <si>
    <t>Discutir escopo de apresentação do Comitê desta etapa - Due Análise de EV (William)</t>
  </si>
  <si>
    <t>86aj0aedq</t>
  </si>
  <si>
    <t>Criar modelo de report para Remoção de Restrições, no Prevision</t>
  </si>
  <si>
    <t>86agdxj92</t>
  </si>
  <si>
    <t>Rever método e composição do Comitê N3</t>
  </si>
  <si>
    <t>86agdw29k</t>
  </si>
  <si>
    <t>Falta de identificação da gestão do envio da PLS</t>
  </si>
  <si>
    <t>86agcwbhb</t>
  </si>
  <si>
    <t>Estruturar para serviço acabado definindo itens de maior produtividade e menor custo</t>
  </si>
  <si>
    <t>86agce1mq</t>
  </si>
  <si>
    <t>Envio da viabilidade - Analisar SharePoint ou AutoDoc ou ClickUp (automação) (tem que ser feito após aprovação/validação da Incorporação)</t>
  </si>
  <si>
    <t>17tpepcgtap</t>
  </si>
  <si>
    <t>Avaliar contratação de um especialista do ClickUp para realizar o treinamento</t>
  </si>
  <si>
    <t>86ah41h60</t>
  </si>
  <si>
    <t>Avaliar envolvimento do Comercial Gadens (Quem do Comercial?) na validação do estudo de massa</t>
  </si>
  <si>
    <t>86aghjy5x</t>
  </si>
  <si>
    <t>Treinamento sobre Reforma Tributária</t>
  </si>
  <si>
    <t>86agem63t</t>
  </si>
  <si>
    <t>Suprimentos volta a solicitação. Mega não puxa justificativa, gera retrabalho e perda de controle</t>
  </si>
  <si>
    <t>86akm8zbm</t>
  </si>
  <si>
    <t>Implementar rotina de avaliação da obra por parte do empreiteiro e verificação da experiência do empreiteiro com relação a obra</t>
  </si>
  <si>
    <t>17tpepcdk0m</t>
  </si>
  <si>
    <t>Definir processo de acompanhamento de desempenho de imobilárias</t>
  </si>
  <si>
    <t>17tpepcdg1y</t>
  </si>
  <si>
    <t>Definir periodicidade de limpeza das unidades de estoque vazias - Monica;</t>
  </si>
  <si>
    <t>86agj13e8</t>
  </si>
  <si>
    <t>Definir (escopo) em qual momento (EP X AP) ocorre a etapa de Reengenharia para Gadens</t>
  </si>
  <si>
    <t>86aghpd7e</t>
  </si>
  <si>
    <t>Alinhar participação da Diretoria nas reuniões de Reengenharia conforme demanda. Problema: Prazo. Prazo de definição interna.</t>
  </si>
  <si>
    <t>86aghpd2z</t>
  </si>
  <si>
    <t>Definir responsabilidade e aplicabilidade dos laudos em AP</t>
  </si>
  <si>
    <t>86aghnk6f</t>
  </si>
  <si>
    <t>Incluir relatório de legalização (alinhamento com Thiago) na Pré-Due</t>
  </si>
  <si>
    <t>86agbca5m</t>
  </si>
  <si>
    <t>Automação do alerta de documentos para distribuição às áreas</t>
  </si>
  <si>
    <t>86ahw6q1x</t>
  </si>
  <si>
    <t>Definir template de POPs</t>
  </si>
  <si>
    <t>86agzkd08</t>
  </si>
  <si>
    <t>Definir responsável da indicação de Administradora e Síndico</t>
  </si>
  <si>
    <t>86agzk7t8</t>
  </si>
  <si>
    <t>Definir responsável pelas chaves dos apartamentos (entrega ao cliente)</t>
  </si>
  <si>
    <t>Andressa  Romero</t>
  </si>
  <si>
    <t>86agehw29</t>
  </si>
  <si>
    <t>Discutir responsabilidade sobre CNO</t>
  </si>
  <si>
    <t>86agee527</t>
  </si>
  <si>
    <t>Definir Premissas contratação dos serviços iniciais (topografia, terraplanagem, fundação, provisorias)</t>
  </si>
  <si>
    <t>86aged3vw</t>
  </si>
  <si>
    <t>Definir padrão para tabela de índice (BD de Similaridades - Formulário e Prompt)</t>
  </si>
  <si>
    <t>86agcx54w</t>
  </si>
  <si>
    <t>Definir data de entrega de protocolo de pasta (9.1)</t>
  </si>
  <si>
    <t>86adcfpwj</t>
  </si>
  <si>
    <t>Implementar indicador: Número de dias em atraso da Due, por áreas e macroatividades – Make It em Novembro // Gadens em Novembro/25</t>
  </si>
  <si>
    <t>17tpepcgwhv</t>
  </si>
  <si>
    <t>Criar ação de acompanhamento do relatório de análise crítica</t>
  </si>
  <si>
    <t>86agdxkqb</t>
  </si>
  <si>
    <t>Estruturar para estas reuniões relatórios e dashboards</t>
  </si>
  <si>
    <t>86ah417fr</t>
  </si>
  <si>
    <t>Reavaliar momento e inclusão dos itens no relatório de pré-due</t>
  </si>
  <si>
    <t>86acmxmck</t>
  </si>
  <si>
    <t>Instituir como padrão a reunião de avanço semanal das incorporadoras e definir pauta padrão.</t>
  </si>
  <si>
    <t>86acmwent</t>
  </si>
  <si>
    <t>Definição do funil de novos negócios (CRM) via Clickup ou CV. (Gestão de Performance)</t>
  </si>
  <si>
    <t>86ahkeq1j</t>
  </si>
  <si>
    <t>Avaliar implantação de relatório de ocorrências no BPM com Mega</t>
  </si>
  <si>
    <t>86aghm6hz</t>
  </si>
  <si>
    <t>Avaliar alerta para solicitação s/ cancelamento da AP (MEGA)</t>
  </si>
  <si>
    <t>86aghcymf</t>
  </si>
  <si>
    <t>Avaliar definição de novo prazo para itens não entregues / entregue de forma errada</t>
  </si>
  <si>
    <t>86agen7yw</t>
  </si>
  <si>
    <t>Definir lead time por item. Registrar/cadastrar lead times</t>
  </si>
  <si>
    <t>86aghgby9</t>
  </si>
  <si>
    <t>Criação de relatório de PGTOs</t>
  </si>
  <si>
    <t>86agem63k</t>
  </si>
  <si>
    <t>Definição dos solicitantes</t>
  </si>
  <si>
    <t>86acmkf23</t>
  </si>
  <si>
    <t>Definição do banco de dados a ser utilizado (ClickUp) - Concluído</t>
  </si>
  <si>
    <t>86aghcyn0</t>
  </si>
  <si>
    <t>Treinamento para solicitante sobre fup de pedidos</t>
  </si>
  <si>
    <t>86akbgdun</t>
  </si>
  <si>
    <t>Implementar Indicador - Aderência de Margem V4/V2</t>
  </si>
  <si>
    <t>86akbg1c0</t>
  </si>
  <si>
    <t>86akbff20</t>
  </si>
  <si>
    <t>Implementar indicador - Aderência de margem V3/V2</t>
  </si>
  <si>
    <t>86akbfdbx</t>
  </si>
  <si>
    <t>86aj80vwq</t>
  </si>
  <si>
    <t>Implementar Indicador - Aderência de Margem (PE) Gadens</t>
  </si>
  <si>
    <t>86aj80bmn</t>
  </si>
  <si>
    <t>Implementar Indicador - Lead time total Gadens</t>
  </si>
  <si>
    <t>86aj809qv</t>
  </si>
  <si>
    <t>Implementar Indicador - Aderência ao prazo de entrega Gadens</t>
  </si>
  <si>
    <t>86aj807z4</t>
  </si>
  <si>
    <t>Implementar Indicador - Aderência ao prazo de entrega (aderência de linha de base) AP Gadens</t>
  </si>
  <si>
    <t>86aj807ef</t>
  </si>
  <si>
    <t>Implementar Indicador - Aderência de Margem (EP) Gadens</t>
  </si>
  <si>
    <t>86aj8051a</t>
  </si>
  <si>
    <t>Implementar Indicador - Lead time total do estudo preliminar AP Gadens</t>
  </si>
  <si>
    <t>86aj800x6</t>
  </si>
  <si>
    <t>Implementar Indicador - Aderência ao prazo de entrega do estudo preliminar (aderência de linha de base) AP Gadens</t>
  </si>
  <si>
    <t>86aj7nmnf</t>
  </si>
  <si>
    <t>Implementar indicador - Lead time total</t>
  </si>
  <si>
    <t>86aj7nmnc</t>
  </si>
  <si>
    <t>Implementar indicador - Aderência ao prazo de entrega</t>
  </si>
  <si>
    <t>86aj7ehkf</t>
  </si>
  <si>
    <t>86aj7ehk7</t>
  </si>
  <si>
    <t>86aj7edg5</t>
  </si>
  <si>
    <t>Implementar Indicador - Aderência de Margem (PE)</t>
  </si>
  <si>
    <t>86aj7edg1</t>
  </si>
  <si>
    <t>Implementar Indicador - Lead time total</t>
  </si>
  <si>
    <t>86aj7edfx</t>
  </si>
  <si>
    <t>Implementar Indicador - Aderência ao prazo de entrega</t>
  </si>
  <si>
    <t>86aj7e6r6</t>
  </si>
  <si>
    <t>Implementar Indicador - Aderência ao prazo de entrega (aderência de linha de base) AP</t>
  </si>
  <si>
    <t>86aj7cq1n</t>
  </si>
  <si>
    <t>Implementar Indicador - Aderência de Margem (EP)</t>
  </si>
  <si>
    <t>86aj7cq19</t>
  </si>
  <si>
    <t>Implementar Indicador - Lead time total do estudo preliminar AP</t>
  </si>
  <si>
    <t>86aj7cq0x</t>
  </si>
  <si>
    <t>Implementar Indicador - Aderência ao prazo de entrega do estudo preliminar (aderência de linha de base) AP</t>
  </si>
  <si>
    <t>86addjrtr</t>
  </si>
  <si>
    <t>Definir quais dados e origem dos mesmos para ação posterior de TI</t>
  </si>
  <si>
    <t>86ak8xk00</t>
  </si>
  <si>
    <t>Implementar indicador - Atendimento de linha de base de Pré-Executivo</t>
  </si>
  <si>
    <t>86ak8wudk</t>
  </si>
  <si>
    <t>Implementar indicador - Tempo de resolução</t>
  </si>
  <si>
    <t>86ak8wtgr</t>
  </si>
  <si>
    <t>Implementar indicador - % Pesquisa de satisfação</t>
  </si>
  <si>
    <t>86ak8wt9c</t>
  </si>
  <si>
    <t>Implementar indicador - Período de encerramento</t>
  </si>
  <si>
    <t>86ak8wt21</t>
  </si>
  <si>
    <t>Implementar indicador - %Taxa de resolução em primeiro atendimento</t>
  </si>
  <si>
    <t>86aj8174y</t>
  </si>
  <si>
    <t>Implementar Indicador - Taxa de aproveitamento do material</t>
  </si>
  <si>
    <t>86aj81749</t>
  </si>
  <si>
    <t>Implementar Indicador - Índice de desvio de consumo de material</t>
  </si>
  <si>
    <t>86aj8173f</t>
  </si>
  <si>
    <t>Implementar Indicador - PPC (% plano concluído)</t>
  </si>
  <si>
    <t>86aj81729</t>
  </si>
  <si>
    <t>Implementar Indicador - Índice de Retrabalho</t>
  </si>
  <si>
    <t>86aj81715</t>
  </si>
  <si>
    <t>Implementar Indicador - Indice de Prazo</t>
  </si>
  <si>
    <t>86aj811pn</t>
  </si>
  <si>
    <t>Implementar Indicador - Índice de Documentação Completa</t>
  </si>
  <si>
    <t>86ah42u2v</t>
  </si>
  <si>
    <t>Avaliar responsabilidade pela execução do estudo de massa</t>
  </si>
  <si>
    <t>86agj1576</t>
  </si>
  <si>
    <t>Avaliar possibilidade de retirar AP de instalações da Gadens</t>
  </si>
  <si>
    <t>86aghnk5w</t>
  </si>
  <si>
    <t>Avaliar possibilidade de Redução do prazo de retorno do estudo dos arquitetos na Pré-Due</t>
  </si>
  <si>
    <t>86agc55f1</t>
  </si>
  <si>
    <t>Avaliar IA do Construflow e AutoDoc (alternativa ao BD)</t>
  </si>
  <si>
    <t>86agbc0fz</t>
  </si>
  <si>
    <t>Avaliar Automação do processo de demanda via autodoc para o clickup</t>
  </si>
  <si>
    <t>17tpepcprj3</t>
  </si>
  <si>
    <t>Revisar material Marketing para garantir a divulgação das opções de plantas</t>
  </si>
  <si>
    <t>17tpepcgtk0</t>
  </si>
  <si>
    <t>Avaliar novos projetistas para entrar na base</t>
  </si>
  <si>
    <t>86ak8xcbm</t>
  </si>
  <si>
    <t>Implementar indicador - Tempo médio de atendimento jurídico</t>
  </si>
  <si>
    <t>86agedpc9</t>
  </si>
  <si>
    <t>Avaliar se há possibilidade de alterar de uma SM para SC e apropriação de consumo de material por item de serviço (ex. Laje)</t>
  </si>
  <si>
    <t>86agdw6ak</t>
  </si>
  <si>
    <t>Avaliar onde e como salvar o apontamento com checklist</t>
  </si>
  <si>
    <t>86adz9d4n</t>
  </si>
  <si>
    <t>Implementar indicador: Número de dias em atraso da Due, por áreas e macroatividades – Gadens em Novembro/25</t>
  </si>
  <si>
    <t>86adcf7gx</t>
  </si>
  <si>
    <t>Implementar indicador: nº de pendências jurídicas/urbanísticas encontradas nas análises</t>
  </si>
  <si>
    <t>86ad73wbj</t>
  </si>
  <si>
    <t>Implementar Indicador: VGV potencial acumulado em carteira (por incorporadora)</t>
  </si>
  <si>
    <t>17tpepcpr7w</t>
  </si>
  <si>
    <t>17tpepcpr25</t>
  </si>
  <si>
    <t>86akm8zbz</t>
  </si>
  <si>
    <t>Criação de plano de ação pelo Marketing, campanhas, benefícios, bem como, criar o entendimento da grande demanda que a Make It pode trazer (diferente de plano de fidelização)</t>
  </si>
  <si>
    <t>86ah4bx9y</t>
  </si>
  <si>
    <t>Implementar indicador de Pedido de Compra Guarda-Chuva com a finalidade de medir o percentual de pedidos de materiais e serviços da modalidade guarda chuva.</t>
  </si>
  <si>
    <t>86agem64b</t>
  </si>
  <si>
    <t>Implementar indicador - Indicador para medir aprovações</t>
  </si>
  <si>
    <t>86acmxgff</t>
  </si>
  <si>
    <t>Construir em PowerBI o painel de gestão de aprovações - Avaliar utilização do Approvo.</t>
  </si>
  <si>
    <t>86ahkebm4</t>
  </si>
  <si>
    <t>Avaliar tratativa direta com Nexxera</t>
  </si>
  <si>
    <t>86aghgbzg</t>
  </si>
  <si>
    <t>Avaliar utilização Nexxera x Mega</t>
  </si>
  <si>
    <t>86aghgbx6</t>
  </si>
  <si>
    <t>Avaliar possibilidade de utilização de leitor de código de barras e PIX</t>
  </si>
  <si>
    <t>86aghgbw4</t>
  </si>
  <si>
    <t>Avaliar possibilidade das áreas lançarem NFs</t>
  </si>
  <si>
    <t>86agem64x</t>
  </si>
  <si>
    <t>Avaliar atividades administrativas do engenheiro residente</t>
  </si>
  <si>
    <t>86aghjy3c</t>
  </si>
  <si>
    <t>Disparar comunicação para áreas solicitantes enviar NFs</t>
  </si>
  <si>
    <t>86agja6pg</t>
  </si>
  <si>
    <t>Verificar se existe a regra de nomenclatura nas criações das pastas (Incorporação Gadens)</t>
  </si>
  <si>
    <t>86aghpd22</t>
  </si>
  <si>
    <t>Alinhamento de entrada na prefeitura em EP ou AP (consultor + diretoria)</t>
  </si>
  <si>
    <t>86aghnk5j</t>
  </si>
  <si>
    <t>Reuniões de aproximação com arquitetos na Pré-Due</t>
  </si>
  <si>
    <t>86agc5k9z</t>
  </si>
  <si>
    <t>TBC com arquiteto externo</t>
  </si>
  <si>
    <t>86agbbtvj</t>
  </si>
  <si>
    <t>Fornecer acesso ao ClickUp e instituir o disparo da demanda (Incluindo terceiros)</t>
  </si>
  <si>
    <t>86agbbh4v</t>
  </si>
  <si>
    <t>Elabora paisagismo e layout das áreas privativas e comuns</t>
  </si>
  <si>
    <t>86agba9u3</t>
  </si>
  <si>
    <t>Solicitar Pesquisa de Mercado Setor de Arquitetura via e-mail</t>
  </si>
  <si>
    <t>86agb7du2</t>
  </si>
  <si>
    <t>Protocola a retificação na prefeitura</t>
  </si>
  <si>
    <t>86agawfbr</t>
  </si>
  <si>
    <t>Juntar a documentação para retificação (solução) Solicitação de certidões ao jurídico via ClickUp</t>
  </si>
  <si>
    <t>86agawc21</t>
  </si>
  <si>
    <t>Validar etapas do processo de Incorporação devido a existência de muitas reuniões de micro atividades</t>
  </si>
  <si>
    <t>86agj0q0t</t>
  </si>
  <si>
    <t>Incluir TAP formal no EP</t>
  </si>
  <si>
    <t>86age51er</t>
  </si>
  <si>
    <t>Estudar implantação de kitização</t>
  </si>
  <si>
    <t>17tpepcgtjz</t>
  </si>
  <si>
    <t>Criar base de projetistas</t>
  </si>
  <si>
    <t>17tpepcgtan</t>
  </si>
  <si>
    <t>Criar ação de treinamento sobre utilização do ClickUp</t>
  </si>
  <si>
    <t>86ajwdy4c</t>
  </si>
  <si>
    <t>Validar e aplicar formulário de inclusão de insumo</t>
  </si>
  <si>
    <t>86ajjpeed</t>
  </si>
  <si>
    <t>Criação de Central de Documentos Normativos</t>
  </si>
  <si>
    <t>86agjaf1g</t>
  </si>
  <si>
    <t>Criar acesso aos engenheiros para realizar consulta das faturas de luz e água dos empreendimentos.</t>
  </si>
  <si>
    <t>86agjabtq</t>
  </si>
  <si>
    <t>Implementar a metodologia Lean(Hellen)</t>
  </si>
  <si>
    <t>86ageecj9</t>
  </si>
  <si>
    <t>Book de métodos construtivos</t>
  </si>
  <si>
    <t>86agedhra</t>
  </si>
  <si>
    <t>Implementar reunião de decisão (D-45)</t>
  </si>
  <si>
    <t>86agedb27</t>
  </si>
  <si>
    <t>Importação autom. do Excel (Prevision) no Mega (com prazos)</t>
  </si>
  <si>
    <t>86agdxkqg</t>
  </si>
  <si>
    <t>Criar kanban de evolução das análises</t>
  </si>
  <si>
    <t>86agdxkq5</t>
  </si>
  <si>
    <t>Rever distribuição / ocorrência das reuniões na semana</t>
  </si>
  <si>
    <t>86agdxh2e</t>
  </si>
  <si>
    <t>É necessário que todas informações estejam no repositório de arquivos (AutoDoc) - Alinhamento com Incorporação</t>
  </si>
  <si>
    <t>86agdf9y2</t>
  </si>
  <si>
    <t>Uso do ClickUp para registro dos acordos da fase de protocolo</t>
  </si>
  <si>
    <t>86agcx36b</t>
  </si>
  <si>
    <t>Recrutamento interno de um analista de terraplanagem interno</t>
  </si>
  <si>
    <t>86agchhar</t>
  </si>
  <si>
    <t>Compatibilização entre o AP mais resumido e o executivo mais aberto</t>
  </si>
  <si>
    <t>86agcdz1u</t>
  </si>
  <si>
    <t>Distribuição das tarefas via ClickUp ou outra ferramenta similar (automação)</t>
  </si>
  <si>
    <t>86agcdv7m</t>
  </si>
  <si>
    <t>Refazer estimativa V1 depois do resultado de sondagem e topográfico</t>
  </si>
  <si>
    <t>86acmxkgd</t>
  </si>
  <si>
    <t>Estudar o Sign do Sênior e verificar se aceita BPM e se pode substituir o Click Sign</t>
  </si>
  <si>
    <t>86aeukbv3</t>
  </si>
  <si>
    <t>Validar documento com Diretoria (stakeholders).</t>
  </si>
  <si>
    <t>86adg6wjx</t>
  </si>
  <si>
    <t>Foi realizado o mapeamento das pastas utilizadas junto a área. - Pendência: Em analise de nova estruturação de pastas e nomenclaturas.</t>
  </si>
  <si>
    <t>86ad1d9qy</t>
  </si>
  <si>
    <t>86acvxdvt</t>
  </si>
  <si>
    <t>Validar documento com Thiago Gadens Thiago Mello em progresso</t>
  </si>
  <si>
    <t>86acvxdv7</t>
  </si>
  <si>
    <t>Validar documento com os envolvidos Thiago Mello em progresso</t>
  </si>
  <si>
    <t>86acvxch7</t>
  </si>
  <si>
    <t>Validar documento com Thiago Gadens</t>
  </si>
  <si>
    <t>86acvxbw1</t>
  </si>
  <si>
    <t>Validar documento com os envolvidos</t>
  </si>
  <si>
    <t>86acmxm3a</t>
  </si>
  <si>
    <t>Instituir para a Gadens a reunião de arrancada no período do DUE. (Iniciativa Estratégica)</t>
  </si>
  <si>
    <t>86acmwewt</t>
  </si>
  <si>
    <t>Montar matrizes no AutoDoc</t>
  </si>
  <si>
    <t>86acmweve</t>
  </si>
  <si>
    <t>Criar BI para Gadens</t>
  </si>
  <si>
    <t>86acmweuz</t>
  </si>
  <si>
    <t>Implantação do Read AI (ou outro software para registrar reuniões)</t>
  </si>
  <si>
    <t>86acmwemz</t>
  </si>
  <si>
    <t>Implantar programa de formação de líderes em gestão, além de temas relacionados a finanças, negociação e inovação. (Programa de Desenvolvimento de Líderes)</t>
  </si>
  <si>
    <t>Valquiria Bortolin Xavier da Silva</t>
  </si>
  <si>
    <t>86acmkeec</t>
  </si>
  <si>
    <t>Ações detalhadas: - Analise dos bancos de dados disponíveis (Mega e ClickUp) - Concluído -</t>
  </si>
  <si>
    <t>86aghm6gm</t>
  </si>
  <si>
    <t>Verificar Uber Corporativo / Empresas</t>
  </si>
  <si>
    <t>86aghmk35</t>
  </si>
  <si>
    <t>Verificar tratativas oriundas do log de retorno do Nexxera"</t>
  </si>
  <si>
    <t>86aghmk2j</t>
  </si>
  <si>
    <t>Verificar log de retorno do Nexxera</t>
  </si>
  <si>
    <t>86aghccm4</t>
  </si>
  <si>
    <t>Verificar rascunho de solicitação antes de enviar para Approvo</t>
  </si>
  <si>
    <t>86agdxfag</t>
  </si>
  <si>
    <t>Criação de equipe para disciplina de Instalações</t>
  </si>
  <si>
    <t>86agdw10g</t>
  </si>
  <si>
    <t>Treinamento dos estagiários / execução da tarefa (Instruções de Trabalho)</t>
  </si>
  <si>
    <t>86agdvyp6</t>
  </si>
  <si>
    <t>Treinamento dos estagiários / execução da tarefa</t>
  </si>
  <si>
    <t>86ajfk6mf</t>
  </si>
  <si>
    <t>Informação de abertura de novas SPEs, via ClickUp, para as áreas envolvidas</t>
  </si>
  <si>
    <t>86aghmk1c</t>
  </si>
  <si>
    <t>Alinhamento com Novos Negócios e Incorporação sobre processo de abertura de SPEs</t>
  </si>
  <si>
    <t>86aghjngc</t>
  </si>
  <si>
    <t>RPA – extrato / rotina de movim. bancária</t>
  </si>
  <si>
    <t>86aghccmr</t>
  </si>
  <si>
    <t>Criar formulário / documento para avaliação se o material atende as necessidades da empresa</t>
  </si>
  <si>
    <t>86aget0h1</t>
  </si>
  <si>
    <t>Almoxarife não visualiza atendimento parcial de solicitação</t>
  </si>
  <si>
    <t>86agem64p</t>
  </si>
  <si>
    <t>Eng. Residente passa muito tempo no escritório (ex. aprovações)</t>
  </si>
  <si>
    <t>86agem645</t>
  </si>
  <si>
    <t>Programa Visto Consciente</t>
  </si>
  <si>
    <t>86agem63x</t>
  </si>
  <si>
    <t>Estagiário colocando SC</t>
  </si>
  <si>
    <t>86aght79t</t>
  </si>
  <si>
    <t>Incluir no BPM opções para iniciar solicitação (indicação / angariação)</t>
  </si>
  <si>
    <t>86akm8zd4</t>
  </si>
  <si>
    <t>Solicitar acesso ClickUp para a Grazi</t>
  </si>
  <si>
    <t>Bruno Camargo Kawasaki</t>
  </si>
  <si>
    <t>86aghccnr</t>
  </si>
  <si>
    <t>Treinamento de técnicas de negociação</t>
  </si>
  <si>
    <t>86aj80zzr</t>
  </si>
  <si>
    <t>Índice de Documentação Completa</t>
  </si>
  <si>
    <t>86ahyemhn</t>
  </si>
  <si>
    <t>Índice de NFs com Erro</t>
  </si>
  <si>
    <t>17tpepcdk0n</t>
  </si>
  <si>
    <t>Implantar pesquisa NPS sobre o treinamento das imobiliárias</t>
  </si>
  <si>
    <t>Parâmetros da matriz</t>
  </si>
  <si>
    <t>Células azuis em fundo amarelo podem ser editadas; a aba Todas recalcula. As abas Urgente e Alta são uma fotografia do cálculo na data de geração.</t>
  </si>
  <si>
    <t>Critério</t>
  </si>
  <si>
    <t>Peso (%)</t>
  </si>
  <si>
    <t>Risco de fraude e erro</t>
  </si>
  <si>
    <t>Impacto financeiro</t>
  </si>
  <si>
    <t>Impacto na obra e na entrega</t>
  </si>
  <si>
    <t>Exigência legal, CEF e compliance</t>
  </si>
  <si>
    <t>Soma dos pesos</t>
  </si>
  <si>
    <t>Cortes das categorias (nota mínima)</t>
  </si>
  <si>
    <t>2 · Normal (≥)</t>
  </si>
  <si>
    <t>3 · Alta (≥)</t>
  </si>
  <si>
    <t>4 · Urgente (≥)</t>
  </si>
  <si>
    <t>O corte proposto antes era 4,0. Com ele, Urgente ficava em 4,2% do total, abaixo da faixa mínima de 5%. Baixei para 3,9.</t>
  </si>
  <si>
    <t>Regras que passam por cima da conta (categoria mínima)</t>
  </si>
  <si>
    <t>Risco = 5</t>
  </si>
  <si>
    <t>Para obra ou repasse da CEF = Sim</t>
  </si>
  <si>
    <t>Ajuste por natureza (somado à nota)</t>
  </si>
  <si>
    <t>Fator do processo</t>
  </si>
  <si>
    <t>Fator mínimo</t>
  </si>
  <si>
    <t>Fator máximo</t>
  </si>
  <si>
    <t>Dinheiro</t>
  </si>
  <si>
    <t>Irreversibilidade</t>
  </si>
  <si>
    <t>Média</t>
  </si>
  <si>
    <t>Fator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</si>
</sst>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0"/>
    <numFmt numFmtId="167" formatCode="0.000000"/>
    <numFmt numFmtId="168" formatCode="0.0%"/>
  </numFmts>
  <fonts count="11" x14ac:knownFonts="1">
    <font>
      <sz val="11"/>
      <color theme="1"/>
      <name val="Calibri"/>
      <family val="2"/>
      <scheme val="minor"/>
    </font>
    <font>
      <b/>
      <sz val="14"/>
      <color rgb="FF1F3864"/>
      <name val="Arial"/>
    </font>
    <font>
      <i/>
      <sz val="10"/>
      <color rgb="FF595959"/>
      <name val="Arial"/>
    </font>
    <font>
      <b/>
      <sz val="10"/>
      <color rgb="FFFFFFFF"/>
      <name val="Arial"/>
    </font>
    <font>
      <b/>
      <sz val="10"/>
      <name val="Arial"/>
    </font>
    <font>
      <sz val="10"/>
      <color rgb="FF0000FF"/>
      <name val="Arial"/>
    </font>
    <font>
      <sz val="10"/>
      <name val="Arial"/>
    </font>
    <font>
      <sz val="9"/>
      <color rgb="FF7F7F7F"/>
      <name val="Arial"/>
    </font>
    <font>
      <u/>
      <sz val="10"/>
      <color rgb="FF0563C1"/>
      <name val="Arial"/>
    </font>
    <font>
      <sz val="10"/>
      <color rgb="FF7F7F7F"/>
      <name val="Arial"/>
    </font>
    <font>
      <u/>
      <sz val="10"/>
      <color rgb="FF8FAADC"/>
      <name val="Arial"/>
    </font>
  </fonts>
  <fills count="6">
    <fill>
      <patternFill patternType="none"/>
    </fill>
    <fill>
      <patternFill patternType="gray125"/>
    </fill>
    <fill>
      <patternFill patternType="solid">
        <fgColor rgb="FF1F3864"/>
      </patternFill>
    </fill>
    <fill>
      <patternFill patternType="solid">
        <fgColor rgb="FFD9E1F2"/>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applyAlignment="1">
      <alignment vertical="center"/>
    </xf>
    <xf numFmtId="0" fontId="2" fillId="0" borderId="0" xfId="0" applyFont="1" applyAlignment="1">
      <alignment vertical="top" wrapText="1"/>
    </xf>
    <xf numFmtId="0" fontId="4" fillId="3" borderId="1" xfId="0" applyFont="1" applyFill="1" applyBorder="1" applyAlignment="1">
      <alignment vertical="top" wrapText="1"/>
    </xf>
    <xf numFmtId="0" fontId="6" fillId="0" borderId="1" xfId="0" applyFont="1" applyBorder="1" applyAlignment="1">
      <alignment vertical="top" wrapText="1"/>
    </xf>
    <xf numFmtId="0" fontId="4"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9" fontId="5" fillId="4" borderId="1" xfId="0" applyNumberFormat="1" applyFont="1" applyFill="1" applyBorder="1" applyAlignment="1">
      <alignment horizontal="center" vertical="center" wrapText="1"/>
    </xf>
    <xf numFmtId="168"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9" fontId="5" fillId="5" borderId="1" xfId="0" applyNumberFormat="1" applyFont="1" applyFill="1" applyBorder="1" applyAlignment="1">
      <alignment horizontal="center" vertical="center" wrapText="1"/>
    </xf>
    <xf numFmtId="0" fontId="6" fillId="5" borderId="1" xfId="0" applyFont="1" applyFill="1" applyBorder="1" applyAlignment="1">
      <alignment vertical="top" wrapText="1"/>
    </xf>
    <xf numFmtId="0" fontId="2" fillId="0" borderId="0" xfId="0" applyFont="1"/>
    <xf numFmtId="0" fontId="4" fillId="0" borderId="0" xfId="0" applyFont="1" applyAlignment="1">
      <alignment vertical="top" wrapText="1"/>
    </xf>
    <xf numFmtId="0" fontId="4" fillId="0" borderId="0" xfId="0" applyFont="1" applyAlignment="1">
      <alignment horizontal="right"/>
    </xf>
    <xf numFmtId="0" fontId="5"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vertical="top" wrapText="1"/>
    </xf>
    <xf numFmtId="2" fontId="6"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vertical="top" wrapText="1"/>
    </xf>
    <xf numFmtId="0" fontId="9" fillId="0" borderId="1" xfId="0" applyFont="1" applyBorder="1" applyAlignment="1">
      <alignment vertical="top" wrapText="1"/>
    </xf>
    <xf numFmtId="2" fontId="9" fillId="0" borderId="1" xfId="0" applyNumberFormat="1" applyFont="1" applyBorder="1" applyAlignment="1">
      <alignment horizontal="center" vertical="center" wrapText="1"/>
    </xf>
    <xf numFmtId="0" fontId="7" fillId="0" borderId="1" xfId="0" applyFont="1" applyBorder="1" applyAlignment="1">
      <alignment vertical="top" wrapText="1"/>
    </xf>
    <xf numFmtId="0" fontId="5" fillId="4" borderId="1" xfId="0" applyFont="1" applyFill="1" applyBorder="1" applyAlignment="1">
      <alignment vertical="top" wrapText="1"/>
    </xf>
    <xf numFmtId="2" fontId="6" fillId="5" borderId="1" xfId="0" applyNumberFormat="1"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167" fontId="7" fillId="5" borderId="1" xfId="0" applyNumberFormat="1" applyFont="1" applyFill="1" applyBorder="1" applyAlignment="1">
      <alignment horizontal="center" vertical="center" wrapText="1"/>
    </xf>
    <xf numFmtId="0" fontId="4" fillId="5" borderId="1" xfId="0" applyFont="1" applyFill="1" applyBorder="1" applyAlignment="1">
      <alignment vertical="top" wrapText="1"/>
    </xf>
    <xf numFmtId="0" fontId="6" fillId="5" borderId="0" xfId="0" applyFont="1" applyFill="1" applyAlignment="1">
      <alignment vertical="top" wrapText="1"/>
    </xf>
    <xf numFmtId="164" fontId="5" fillId="4" borderId="1" xfId="0" applyNumberFormat="1"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2" fontId="5" fillId="4" borderId="1" xfId="0" applyNumberFormat="1" applyFont="1" applyFill="1" applyBorder="1" applyAlignment="1">
      <alignment horizontal="center" vertical="center" wrapText="1"/>
    </xf>
  </cellXfs>
  <cellStyles count="1">
    <cellStyle name="Normal" xfId="0" builtinId="0"/>
  </cellStyles>
  <dxfs count="4">
    <dxf>
      <fill>
        <patternFill patternType="solid">
          <fgColor rgb="FFD9D9D9"/>
          <bgColor rgb="FFD9D9D9"/>
        </patternFill>
      </fill>
    </dxf>
    <dxf>
      <fill>
        <patternFill patternType="solid">
          <fgColor rgb="FFC9DAF8"/>
          <bgColor rgb="FFC9DAF8"/>
        </patternFill>
      </fill>
    </dxf>
    <dxf>
      <fill>
        <patternFill patternType="solid">
          <fgColor rgb="FFFFE599"/>
          <bgColor rgb="FFFFE599"/>
        </patternFill>
      </fill>
    </dxf>
    <dxf>
      <fill>
        <patternFill patternType="solid">
          <fgColor rgb="FFF4B6B6"/>
          <bgColor rgb="FFF4B6B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app.clickup.com/t/86aghvdeq" TargetMode="External"/><Relationship Id="rId18" Type="http://schemas.openxmlformats.org/officeDocument/2006/relationships/hyperlink" Target="https://app.clickup.com/t/17tpepcdk0j" TargetMode="External"/><Relationship Id="rId26" Type="http://schemas.openxmlformats.org/officeDocument/2006/relationships/hyperlink" Target="https://app.clickup.com/t/17tpepcprk3" TargetMode="External"/><Relationship Id="rId39" Type="http://schemas.openxmlformats.org/officeDocument/2006/relationships/hyperlink" Target="https://app.clickup.com/t/86agdhgp1" TargetMode="External"/><Relationship Id="rId21" Type="http://schemas.openxmlformats.org/officeDocument/2006/relationships/hyperlink" Target="https://app.clickup.com/t/86aghg2zx" TargetMode="External"/><Relationship Id="rId34" Type="http://schemas.openxmlformats.org/officeDocument/2006/relationships/hyperlink" Target="https://app.clickup.com/t/86aghrguf" TargetMode="External"/><Relationship Id="rId42" Type="http://schemas.openxmlformats.org/officeDocument/2006/relationships/hyperlink" Target="https://app.clickup.com/t/86aj7nzvu" TargetMode="External"/><Relationship Id="rId47" Type="http://schemas.openxmlformats.org/officeDocument/2006/relationships/hyperlink" Target="https://app.clickup.com/t/86aj7nzum" TargetMode="External"/><Relationship Id="rId50" Type="http://schemas.openxmlformats.org/officeDocument/2006/relationships/hyperlink" Target="https://app.clickup.com/t/86acmwekb" TargetMode="External"/><Relationship Id="rId55" Type="http://schemas.openxmlformats.org/officeDocument/2006/relationships/hyperlink" Target="https://app.clickup.com/t/86aghrgth" TargetMode="External"/><Relationship Id="rId7" Type="http://schemas.openxmlformats.org/officeDocument/2006/relationships/hyperlink" Target="https://app.clickup.com/t/86ahckp0b" TargetMode="External"/><Relationship Id="rId2" Type="http://schemas.openxmlformats.org/officeDocument/2006/relationships/hyperlink" Target="https://app.clickup.com/t/86akm8zdk" TargetMode="External"/><Relationship Id="rId16" Type="http://schemas.openxmlformats.org/officeDocument/2006/relationships/hyperlink" Target="https://app.clickup.com/t/86acmxhwv" TargetMode="External"/><Relationship Id="rId29" Type="http://schemas.openxmlformats.org/officeDocument/2006/relationships/hyperlink" Target="https://app.clickup.com/t/86aj7b7pf" TargetMode="External"/><Relationship Id="rId11" Type="http://schemas.openxmlformats.org/officeDocument/2006/relationships/hyperlink" Target="https://app.clickup.com/t/17tpepcpu1m" TargetMode="External"/><Relationship Id="rId24" Type="http://schemas.openxmlformats.org/officeDocument/2006/relationships/hyperlink" Target="https://app.clickup.com/t/86aget7yk" TargetMode="External"/><Relationship Id="rId32" Type="http://schemas.openxmlformats.org/officeDocument/2006/relationships/hyperlink" Target="https://app.clickup.com/t/17tpepcdaef" TargetMode="External"/><Relationship Id="rId37" Type="http://schemas.openxmlformats.org/officeDocument/2006/relationships/hyperlink" Target="https://app.clickup.com/t/86agpfvd9" TargetMode="External"/><Relationship Id="rId40" Type="http://schemas.openxmlformats.org/officeDocument/2006/relationships/hyperlink" Target="https://app.clickup.com/t/86aghjy4b" TargetMode="External"/><Relationship Id="rId45" Type="http://schemas.openxmlformats.org/officeDocument/2006/relationships/hyperlink" Target="https://app.clickup.com/t/86aj7nzvf" TargetMode="External"/><Relationship Id="rId53" Type="http://schemas.openxmlformats.org/officeDocument/2006/relationships/hyperlink" Target="https://app.clickup.com/t/86acmx4dw" TargetMode="External"/><Relationship Id="rId5" Type="http://schemas.openxmlformats.org/officeDocument/2006/relationships/hyperlink" Target="https://app.clickup.com/t/86aj81736" TargetMode="External"/><Relationship Id="rId10" Type="http://schemas.openxmlformats.org/officeDocument/2006/relationships/hyperlink" Target="https://app.clickup.com/t/17tpepcddc7" TargetMode="External"/><Relationship Id="rId19" Type="http://schemas.openxmlformats.org/officeDocument/2006/relationships/hyperlink" Target="https://app.clickup.com/t/86aj7bqh4" TargetMode="External"/><Relationship Id="rId31" Type="http://schemas.openxmlformats.org/officeDocument/2006/relationships/hyperlink" Target="https://app.clickup.com/t/17tpepcpr2r" TargetMode="External"/><Relationship Id="rId44" Type="http://schemas.openxmlformats.org/officeDocument/2006/relationships/hyperlink" Target="https://app.clickup.com/t/86aj7nzvg" TargetMode="External"/><Relationship Id="rId52" Type="http://schemas.openxmlformats.org/officeDocument/2006/relationships/hyperlink" Target="https://app.clickup.com/t/86aghuyu2" TargetMode="External"/><Relationship Id="rId4" Type="http://schemas.openxmlformats.org/officeDocument/2006/relationships/hyperlink" Target="https://app.clickup.com/t/86aghkwdz" TargetMode="External"/><Relationship Id="rId9" Type="http://schemas.openxmlformats.org/officeDocument/2006/relationships/hyperlink" Target="https://app.clickup.com/t/86ahcknyj" TargetMode="External"/><Relationship Id="rId14" Type="http://schemas.openxmlformats.org/officeDocument/2006/relationships/hyperlink" Target="https://app.clickup.com/t/86aj7bmyf" TargetMode="External"/><Relationship Id="rId22" Type="http://schemas.openxmlformats.org/officeDocument/2006/relationships/hyperlink" Target="https://app.clickup.com/t/86akm8zef" TargetMode="External"/><Relationship Id="rId27" Type="http://schemas.openxmlformats.org/officeDocument/2006/relationships/hyperlink" Target="https://app.clickup.com/t/86aghvmuc" TargetMode="External"/><Relationship Id="rId30" Type="http://schemas.openxmlformats.org/officeDocument/2006/relationships/hyperlink" Target="https://app.clickup.com/t/86agen80g" TargetMode="External"/><Relationship Id="rId35" Type="http://schemas.openxmlformats.org/officeDocument/2006/relationships/hyperlink" Target="https://app.clickup.com/t/86aget7z8" TargetMode="External"/><Relationship Id="rId43" Type="http://schemas.openxmlformats.org/officeDocument/2006/relationships/hyperlink" Target="https://app.clickup.com/t/86aj7nzvj" TargetMode="External"/><Relationship Id="rId48" Type="http://schemas.openxmlformats.org/officeDocument/2006/relationships/hyperlink" Target="https://app.clickup.com/t/86acmxepj" TargetMode="External"/><Relationship Id="rId56" Type="http://schemas.openxmlformats.org/officeDocument/2006/relationships/hyperlink" Target="https://app.clickup.com/t/86agc8a2d" TargetMode="External"/><Relationship Id="rId8" Type="http://schemas.openxmlformats.org/officeDocument/2006/relationships/hyperlink" Target="https://app.clickup.com/t/86agjaf19" TargetMode="External"/><Relationship Id="rId51" Type="http://schemas.openxmlformats.org/officeDocument/2006/relationships/hyperlink" Target="https://app.clickup.com/t/86ajrpdpt" TargetMode="External"/><Relationship Id="rId3" Type="http://schemas.openxmlformats.org/officeDocument/2006/relationships/hyperlink" Target="https://app.clickup.com/t/86akm8zd0" TargetMode="External"/><Relationship Id="rId12" Type="http://schemas.openxmlformats.org/officeDocument/2006/relationships/hyperlink" Target="https://app.clickup.com/t/86akm8zcd" TargetMode="External"/><Relationship Id="rId17" Type="http://schemas.openxmlformats.org/officeDocument/2006/relationships/hyperlink" Target="https://app.clickup.com/t/86ahket8w" TargetMode="External"/><Relationship Id="rId25" Type="http://schemas.openxmlformats.org/officeDocument/2006/relationships/hyperlink" Target="https://app.clickup.com/t/86acmxh1v" TargetMode="External"/><Relationship Id="rId33" Type="http://schemas.openxmlformats.org/officeDocument/2006/relationships/hyperlink" Target="https://app.clickup.com/t/86acvyn3f" TargetMode="External"/><Relationship Id="rId38" Type="http://schemas.openxmlformats.org/officeDocument/2006/relationships/hyperlink" Target="https://app.clickup.com/t/86aghvde5" TargetMode="External"/><Relationship Id="rId46" Type="http://schemas.openxmlformats.org/officeDocument/2006/relationships/hyperlink" Target="https://app.clickup.com/t/86aj7nzuq" TargetMode="External"/><Relationship Id="rId20" Type="http://schemas.openxmlformats.org/officeDocument/2006/relationships/hyperlink" Target="https://app.clickup.com/t/86ahrhbbm" TargetMode="External"/><Relationship Id="rId41" Type="http://schemas.openxmlformats.org/officeDocument/2006/relationships/hyperlink" Target="https://app.clickup.com/t/86agja5mq" TargetMode="External"/><Relationship Id="rId54" Type="http://schemas.openxmlformats.org/officeDocument/2006/relationships/hyperlink" Target="https://app.clickup.com/t/86aghpd64" TargetMode="External"/><Relationship Id="rId1" Type="http://schemas.openxmlformats.org/officeDocument/2006/relationships/hyperlink" Target="https://app.clickup.com/t/86acmweg8" TargetMode="External"/><Relationship Id="rId6" Type="http://schemas.openxmlformats.org/officeDocument/2006/relationships/hyperlink" Target="https://app.clickup.com/t/86agetqqx" TargetMode="External"/><Relationship Id="rId15" Type="http://schemas.openxmlformats.org/officeDocument/2006/relationships/hyperlink" Target="https://app.clickup.com/t/86aj7c60y" TargetMode="External"/><Relationship Id="rId23" Type="http://schemas.openxmlformats.org/officeDocument/2006/relationships/hyperlink" Target="https://app.clickup.com/t/86akm8zdu" TargetMode="External"/><Relationship Id="rId28" Type="http://schemas.openxmlformats.org/officeDocument/2006/relationships/hyperlink" Target="https://app.clickup.com/t/17tpepcpu1k" TargetMode="External"/><Relationship Id="rId36" Type="http://schemas.openxmlformats.org/officeDocument/2006/relationships/hyperlink" Target="https://app.clickup.com/t/86aghjy3t" TargetMode="External"/><Relationship Id="rId49" Type="http://schemas.openxmlformats.org/officeDocument/2006/relationships/hyperlink" Target="https://app.clickup.com/t/86aghvmva"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app.clickup.com/t/86aghkwe7" TargetMode="External"/><Relationship Id="rId21" Type="http://schemas.openxmlformats.org/officeDocument/2006/relationships/hyperlink" Target="https://app.clickup.com/t/17tpepcpuv6" TargetMode="External"/><Relationship Id="rId42" Type="http://schemas.openxmlformats.org/officeDocument/2006/relationships/hyperlink" Target="https://app.clickup.com/t/17tpepct4cm" TargetMode="External"/><Relationship Id="rId63" Type="http://schemas.openxmlformats.org/officeDocument/2006/relationships/hyperlink" Target="https://app.clickup.com/t/17tpepcgqnn" TargetMode="External"/><Relationship Id="rId84" Type="http://schemas.openxmlformats.org/officeDocument/2006/relationships/hyperlink" Target="https://app.clickup.com/t/86ahht393" TargetMode="External"/><Relationship Id="rId138" Type="http://schemas.openxmlformats.org/officeDocument/2006/relationships/hyperlink" Target="https://app.clickup.com/t/86aj7qbvg" TargetMode="External"/><Relationship Id="rId159" Type="http://schemas.openxmlformats.org/officeDocument/2006/relationships/hyperlink" Target="https://app.clickup.com/t/86aghvaad" TargetMode="External"/><Relationship Id="rId107" Type="http://schemas.openxmlformats.org/officeDocument/2006/relationships/hyperlink" Target="https://app.clickup.com/t/86agety12" TargetMode="External"/><Relationship Id="rId11" Type="http://schemas.openxmlformats.org/officeDocument/2006/relationships/hyperlink" Target="https://app.clickup.com/t/86aght78g" TargetMode="External"/><Relationship Id="rId32" Type="http://schemas.openxmlformats.org/officeDocument/2006/relationships/hyperlink" Target="https://app.clickup.com/t/86agety10" TargetMode="External"/><Relationship Id="rId53" Type="http://schemas.openxmlformats.org/officeDocument/2006/relationships/hyperlink" Target="https://app.clickup.com/t/86ah20vy7" TargetMode="External"/><Relationship Id="rId74" Type="http://schemas.openxmlformats.org/officeDocument/2006/relationships/hyperlink" Target="https://app.clickup.com/t/17tpepcggwd" TargetMode="External"/><Relationship Id="rId128" Type="http://schemas.openxmlformats.org/officeDocument/2006/relationships/hyperlink" Target="https://app.clickup.com/t/86aghrgwq" TargetMode="External"/><Relationship Id="rId149" Type="http://schemas.openxmlformats.org/officeDocument/2006/relationships/hyperlink" Target="https://app.clickup.com/t/86aj7nzub" TargetMode="External"/><Relationship Id="rId5" Type="http://schemas.openxmlformats.org/officeDocument/2006/relationships/hyperlink" Target="https://app.clickup.com/t/86agcx0kv" TargetMode="External"/><Relationship Id="rId95" Type="http://schemas.openxmlformats.org/officeDocument/2006/relationships/hyperlink" Target="https://app.clickup.com/t/17tpepcpu02" TargetMode="External"/><Relationship Id="rId160" Type="http://schemas.openxmlformats.org/officeDocument/2006/relationships/hyperlink" Target="https://app.clickup.com/t/86aght78w" TargetMode="External"/><Relationship Id="rId22" Type="http://schemas.openxmlformats.org/officeDocument/2006/relationships/hyperlink" Target="https://app.clickup.com/t/86akam4qm" TargetMode="External"/><Relationship Id="rId43" Type="http://schemas.openxmlformats.org/officeDocument/2006/relationships/hyperlink" Target="https://app.clickup.com/t/86ahhrzff" TargetMode="External"/><Relationship Id="rId64" Type="http://schemas.openxmlformats.org/officeDocument/2006/relationships/hyperlink" Target="https://app.clickup.com/t/17tpepcgqnk" TargetMode="External"/><Relationship Id="rId118" Type="http://schemas.openxmlformats.org/officeDocument/2006/relationships/hyperlink" Target="https://app.clickup.com/t/86acmkafr" TargetMode="External"/><Relationship Id="rId139" Type="http://schemas.openxmlformats.org/officeDocument/2006/relationships/hyperlink" Target="https://app.clickup.com/t/86aj7nzvq" TargetMode="External"/><Relationship Id="rId85" Type="http://schemas.openxmlformats.org/officeDocument/2006/relationships/hyperlink" Target="https://app.clickup.com/t/86aghjy57" TargetMode="External"/><Relationship Id="rId150" Type="http://schemas.openxmlformats.org/officeDocument/2006/relationships/hyperlink" Target="https://app.clickup.com/t/86aj7nzu6" TargetMode="External"/><Relationship Id="rId12" Type="http://schemas.openxmlformats.org/officeDocument/2006/relationships/hyperlink" Target="https://app.clickup.com/t/17tpepcmy8d" TargetMode="External"/><Relationship Id="rId17" Type="http://schemas.openxmlformats.org/officeDocument/2006/relationships/hyperlink" Target="https://app.clickup.com/t/86aget7yz" TargetMode="External"/><Relationship Id="rId33" Type="http://schemas.openxmlformats.org/officeDocument/2006/relationships/hyperlink" Target="https://app.clickup.com/t/17tpepcpu01" TargetMode="External"/><Relationship Id="rId38" Type="http://schemas.openxmlformats.org/officeDocument/2006/relationships/hyperlink" Target="https://app.clickup.com/t/86aj7bx9d" TargetMode="External"/><Relationship Id="rId59" Type="http://schemas.openxmlformats.org/officeDocument/2006/relationships/hyperlink" Target="https://app.clickup.com/t/17tpepcenrt" TargetMode="External"/><Relationship Id="rId103" Type="http://schemas.openxmlformats.org/officeDocument/2006/relationships/hyperlink" Target="https://app.clickup.com/t/86agedzgg" TargetMode="External"/><Relationship Id="rId108" Type="http://schemas.openxmlformats.org/officeDocument/2006/relationships/hyperlink" Target="https://app.clickup.com/t/86agb7nf0" TargetMode="External"/><Relationship Id="rId124" Type="http://schemas.openxmlformats.org/officeDocument/2006/relationships/hyperlink" Target="https://app.clickup.com/t/86aghgbzt" TargetMode="External"/><Relationship Id="rId129" Type="http://schemas.openxmlformats.org/officeDocument/2006/relationships/hyperlink" Target="https://app.clickup.com/t/86aghvmv4" TargetMode="External"/><Relationship Id="rId54" Type="http://schemas.openxmlformats.org/officeDocument/2006/relationships/hyperlink" Target="https://app.clickup.com/t/86agc69ak" TargetMode="External"/><Relationship Id="rId70" Type="http://schemas.openxmlformats.org/officeDocument/2006/relationships/hyperlink" Target="https://app.clickup.com/t/86aj7bx9m" TargetMode="External"/><Relationship Id="rId75" Type="http://schemas.openxmlformats.org/officeDocument/2006/relationships/hyperlink" Target="https://app.clickup.com/t/86aghmk4j" TargetMode="External"/><Relationship Id="rId91" Type="http://schemas.openxmlformats.org/officeDocument/2006/relationships/hyperlink" Target="https://app.clickup.com/t/86ahckp0f" TargetMode="External"/><Relationship Id="rId96" Type="http://schemas.openxmlformats.org/officeDocument/2006/relationships/hyperlink" Target="https://app.clickup.com/t/17tpepcgqnq" TargetMode="External"/><Relationship Id="rId140" Type="http://schemas.openxmlformats.org/officeDocument/2006/relationships/hyperlink" Target="https://app.clickup.com/t/86aj7nzvm" TargetMode="External"/><Relationship Id="rId145" Type="http://schemas.openxmlformats.org/officeDocument/2006/relationships/hyperlink" Target="https://app.clickup.com/t/86aj7nzv0" TargetMode="External"/><Relationship Id="rId161" Type="http://schemas.openxmlformats.org/officeDocument/2006/relationships/hyperlink" Target="https://app.clickup.com/t/86aj7b9g8" TargetMode="External"/><Relationship Id="rId166" Type="http://schemas.openxmlformats.org/officeDocument/2006/relationships/hyperlink" Target="https://app.clickup.com/t/86agd80q7" TargetMode="External"/><Relationship Id="rId1" Type="http://schemas.openxmlformats.org/officeDocument/2006/relationships/hyperlink" Target="https://app.clickup.com/t/86aghm6g1" TargetMode="External"/><Relationship Id="rId6" Type="http://schemas.openxmlformats.org/officeDocument/2006/relationships/hyperlink" Target="https://app.clickup.com/t/86agc64qm" TargetMode="External"/><Relationship Id="rId23" Type="http://schemas.openxmlformats.org/officeDocument/2006/relationships/hyperlink" Target="https://app.clickup.com/t/17tpepct4cj" TargetMode="External"/><Relationship Id="rId28" Type="http://schemas.openxmlformats.org/officeDocument/2006/relationships/hyperlink" Target="https://app.clickup.com/t/17tpepcmy78" TargetMode="External"/><Relationship Id="rId49" Type="http://schemas.openxmlformats.org/officeDocument/2006/relationships/hyperlink" Target="https://app.clickup.com/t/17tpepcprk6" TargetMode="External"/><Relationship Id="rId114" Type="http://schemas.openxmlformats.org/officeDocument/2006/relationships/hyperlink" Target="https://app.clickup.com/t/86aghg2z4" TargetMode="External"/><Relationship Id="rId119" Type="http://schemas.openxmlformats.org/officeDocument/2006/relationships/hyperlink" Target="https://app.clickup.com/t/86agd8vu7" TargetMode="External"/><Relationship Id="rId44" Type="http://schemas.openxmlformats.org/officeDocument/2006/relationships/hyperlink" Target="https://app.clickup.com/t/17tpepcgqwv" TargetMode="External"/><Relationship Id="rId60" Type="http://schemas.openxmlformats.org/officeDocument/2006/relationships/hyperlink" Target="https://app.clickup.com/t/86akm8zba" TargetMode="External"/><Relationship Id="rId65" Type="http://schemas.openxmlformats.org/officeDocument/2006/relationships/hyperlink" Target="https://app.clickup.com/t/17tpepcdama" TargetMode="External"/><Relationship Id="rId81" Type="http://schemas.openxmlformats.org/officeDocument/2006/relationships/hyperlink" Target="https://app.clickup.com/t/17tpepcdm30" TargetMode="External"/><Relationship Id="rId86" Type="http://schemas.openxmlformats.org/officeDocument/2006/relationships/hyperlink" Target="https://app.clickup.com/t/17tpepct4c6" TargetMode="External"/><Relationship Id="rId130" Type="http://schemas.openxmlformats.org/officeDocument/2006/relationships/hyperlink" Target="https://app.clickup.com/t/86aght7a0" TargetMode="External"/><Relationship Id="rId135" Type="http://schemas.openxmlformats.org/officeDocument/2006/relationships/hyperlink" Target="https://app.clickup.com/t/86agjaf27" TargetMode="External"/><Relationship Id="rId151" Type="http://schemas.openxmlformats.org/officeDocument/2006/relationships/hyperlink" Target="https://app.clickup.com/t/86aj7nzu0" TargetMode="External"/><Relationship Id="rId156" Type="http://schemas.openxmlformats.org/officeDocument/2006/relationships/hyperlink" Target="https://app.clickup.com/t/86agj15wy" TargetMode="External"/><Relationship Id="rId13" Type="http://schemas.openxmlformats.org/officeDocument/2006/relationships/hyperlink" Target="https://app.clickup.com/t/17tpepcpu1d" TargetMode="External"/><Relationship Id="rId18" Type="http://schemas.openxmlformats.org/officeDocument/2006/relationships/hyperlink" Target="https://app.clickup.com/t/86akm8zde" TargetMode="External"/><Relationship Id="rId39" Type="http://schemas.openxmlformats.org/officeDocument/2006/relationships/hyperlink" Target="https://app.clickup.com/t/86ahht4ef" TargetMode="External"/><Relationship Id="rId109" Type="http://schemas.openxmlformats.org/officeDocument/2006/relationships/hyperlink" Target="https://app.clickup.com/t/86acmxf6b" TargetMode="External"/><Relationship Id="rId34" Type="http://schemas.openxmlformats.org/officeDocument/2006/relationships/hyperlink" Target="https://app.clickup.com/t/17tpepct4ch" TargetMode="External"/><Relationship Id="rId50" Type="http://schemas.openxmlformats.org/officeDocument/2006/relationships/hyperlink" Target="https://app.clickup.com/t/17tpepcprjy" TargetMode="External"/><Relationship Id="rId55" Type="http://schemas.openxmlformats.org/officeDocument/2006/relationships/hyperlink" Target="https://app.clickup.com/t/17tpepct4ck" TargetMode="External"/><Relationship Id="rId76" Type="http://schemas.openxmlformats.org/officeDocument/2006/relationships/hyperlink" Target="https://app.clickup.com/t/17tpepcpr2u" TargetMode="External"/><Relationship Id="rId97" Type="http://schemas.openxmlformats.org/officeDocument/2006/relationships/hyperlink" Target="https://app.clickup.com/t/17tpepcgmj8" TargetMode="External"/><Relationship Id="rId104" Type="http://schemas.openxmlformats.org/officeDocument/2006/relationships/hyperlink" Target="https://app.clickup.com/t/17tpepcenxf" TargetMode="External"/><Relationship Id="rId120" Type="http://schemas.openxmlformats.org/officeDocument/2006/relationships/hyperlink" Target="https://app.clickup.com/t/86aghccq2" TargetMode="External"/><Relationship Id="rId125" Type="http://schemas.openxmlformats.org/officeDocument/2006/relationships/hyperlink" Target="https://app.clickup.com/t/86ah42zgr" TargetMode="External"/><Relationship Id="rId141" Type="http://schemas.openxmlformats.org/officeDocument/2006/relationships/hyperlink" Target="https://app.clickup.com/t/86aj7nzvb" TargetMode="External"/><Relationship Id="rId146" Type="http://schemas.openxmlformats.org/officeDocument/2006/relationships/hyperlink" Target="https://app.clickup.com/t/86aj7nzux" TargetMode="External"/><Relationship Id="rId7" Type="http://schemas.openxmlformats.org/officeDocument/2006/relationships/hyperlink" Target="https://app.clickup.com/t/86agc5vxc" TargetMode="External"/><Relationship Id="rId71" Type="http://schemas.openxmlformats.org/officeDocument/2006/relationships/hyperlink" Target="https://app.clickup.com/t/86ahxbyqh" TargetMode="External"/><Relationship Id="rId92" Type="http://schemas.openxmlformats.org/officeDocument/2006/relationships/hyperlink" Target="https://app.clickup.com/t/17tpepcdm31" TargetMode="External"/><Relationship Id="rId162" Type="http://schemas.openxmlformats.org/officeDocument/2006/relationships/hyperlink" Target="https://app.clickup.com/t/86aj7b0va" TargetMode="External"/><Relationship Id="rId2" Type="http://schemas.openxmlformats.org/officeDocument/2006/relationships/hyperlink" Target="https://app.clickup.com/t/86aghjy4w" TargetMode="External"/><Relationship Id="rId29" Type="http://schemas.openxmlformats.org/officeDocument/2006/relationships/hyperlink" Target="https://app.clickup.com/t/86ahckp0x" TargetMode="External"/><Relationship Id="rId24" Type="http://schemas.openxmlformats.org/officeDocument/2006/relationships/hyperlink" Target="https://app.clickup.com/t/86akm8zda" TargetMode="External"/><Relationship Id="rId40" Type="http://schemas.openxmlformats.org/officeDocument/2006/relationships/hyperlink" Target="https://app.clickup.com/t/86akm8zct" TargetMode="External"/><Relationship Id="rId45" Type="http://schemas.openxmlformats.org/officeDocument/2006/relationships/hyperlink" Target="https://app.clickup.com/t/17tpepcgqpc" TargetMode="External"/><Relationship Id="rId66" Type="http://schemas.openxmlformats.org/officeDocument/2006/relationships/hyperlink" Target="https://app.clickup.com/t/86aeukbue" TargetMode="External"/><Relationship Id="rId87" Type="http://schemas.openxmlformats.org/officeDocument/2006/relationships/hyperlink" Target="https://app.clickup.com/t/17tpepcpu03" TargetMode="External"/><Relationship Id="rId110" Type="http://schemas.openxmlformats.org/officeDocument/2006/relationships/hyperlink" Target="https://app.clickup.com/t/86aghccqb" TargetMode="External"/><Relationship Id="rId115" Type="http://schemas.openxmlformats.org/officeDocument/2006/relationships/hyperlink" Target="https://app.clickup.com/t/86ahf81y6" TargetMode="External"/><Relationship Id="rId131" Type="http://schemas.openxmlformats.org/officeDocument/2006/relationships/hyperlink" Target="https://app.clickup.com/t/86aghv5gn" TargetMode="External"/><Relationship Id="rId136" Type="http://schemas.openxmlformats.org/officeDocument/2006/relationships/hyperlink" Target="https://app.clickup.com/t/86agervem" TargetMode="External"/><Relationship Id="rId157" Type="http://schemas.openxmlformats.org/officeDocument/2006/relationships/hyperlink" Target="https://app.clickup.com/t/86aget0hz" TargetMode="External"/><Relationship Id="rId61" Type="http://schemas.openxmlformats.org/officeDocument/2006/relationships/hyperlink" Target="https://app.clickup.com/t/86akm8w63" TargetMode="External"/><Relationship Id="rId82" Type="http://schemas.openxmlformats.org/officeDocument/2006/relationships/hyperlink" Target="https://app.clickup.com/t/17tpepct4c7" TargetMode="External"/><Relationship Id="rId152" Type="http://schemas.openxmlformats.org/officeDocument/2006/relationships/hyperlink" Target="https://app.clickup.com/t/86aj7nztw" TargetMode="External"/><Relationship Id="rId19" Type="http://schemas.openxmlformats.org/officeDocument/2006/relationships/hyperlink" Target="https://app.clickup.com/t/17tpepcgphr" TargetMode="External"/><Relationship Id="rId14" Type="http://schemas.openxmlformats.org/officeDocument/2006/relationships/hyperlink" Target="https://app.clickup.com/t/17tpepcmy8e" TargetMode="External"/><Relationship Id="rId30" Type="http://schemas.openxmlformats.org/officeDocument/2006/relationships/hyperlink" Target="https://app.clickup.com/t/86ahdhy4g" TargetMode="External"/><Relationship Id="rId35" Type="http://schemas.openxmlformats.org/officeDocument/2006/relationships/hyperlink" Target="https://app.clickup.com/t/17tpepcpr2y" TargetMode="External"/><Relationship Id="rId56" Type="http://schemas.openxmlformats.org/officeDocument/2006/relationships/hyperlink" Target="https://app.clickup.com/t/17tpepcmy8c" TargetMode="External"/><Relationship Id="rId77" Type="http://schemas.openxmlformats.org/officeDocument/2006/relationships/hyperlink" Target="https://app.clickup.com/t/17tpepcpr2m" TargetMode="External"/><Relationship Id="rId100" Type="http://schemas.openxmlformats.org/officeDocument/2006/relationships/hyperlink" Target="https://app.clickup.com/t/86aj7a0kg" TargetMode="External"/><Relationship Id="rId105" Type="http://schemas.openxmlformats.org/officeDocument/2006/relationships/hyperlink" Target="https://app.clickup.com/t/86agnzdx8" TargetMode="External"/><Relationship Id="rId126" Type="http://schemas.openxmlformats.org/officeDocument/2006/relationships/hyperlink" Target="https://app.clickup.com/t/86ahckp17" TargetMode="External"/><Relationship Id="rId147" Type="http://schemas.openxmlformats.org/officeDocument/2006/relationships/hyperlink" Target="https://app.clickup.com/t/86aj7nzuw" TargetMode="External"/><Relationship Id="rId8" Type="http://schemas.openxmlformats.org/officeDocument/2006/relationships/hyperlink" Target="https://app.clickup.com/t/86akm8zd2" TargetMode="External"/><Relationship Id="rId51" Type="http://schemas.openxmlformats.org/officeDocument/2006/relationships/hyperlink" Target="https://app.clickup.com/t/86aj7b9g5" TargetMode="External"/><Relationship Id="rId72" Type="http://schemas.openxmlformats.org/officeDocument/2006/relationships/hyperlink" Target="https://app.clickup.com/t/86ahxby7r" TargetMode="External"/><Relationship Id="rId93" Type="http://schemas.openxmlformats.org/officeDocument/2006/relationships/hyperlink" Target="https://app.clickup.com/t/86akm8zbv" TargetMode="External"/><Relationship Id="rId98" Type="http://schemas.openxmlformats.org/officeDocument/2006/relationships/hyperlink" Target="https://app.clickup.com/t/86aj7b0un" TargetMode="External"/><Relationship Id="rId121" Type="http://schemas.openxmlformats.org/officeDocument/2006/relationships/hyperlink" Target="https://app.clickup.com/t/86aghrgy4" TargetMode="External"/><Relationship Id="rId142" Type="http://schemas.openxmlformats.org/officeDocument/2006/relationships/hyperlink" Target="https://app.clickup.com/t/86aj7nzv8" TargetMode="External"/><Relationship Id="rId163" Type="http://schemas.openxmlformats.org/officeDocument/2006/relationships/hyperlink" Target="https://app.clickup.com/t/86ahrherk" TargetMode="External"/><Relationship Id="rId3" Type="http://schemas.openxmlformats.org/officeDocument/2006/relationships/hyperlink" Target="https://app.clickup.com/t/86aj7c618" TargetMode="External"/><Relationship Id="rId25" Type="http://schemas.openxmlformats.org/officeDocument/2006/relationships/hyperlink" Target="https://app.clickup.com/t/86akm8zd7" TargetMode="External"/><Relationship Id="rId46" Type="http://schemas.openxmlformats.org/officeDocument/2006/relationships/hyperlink" Target="https://app.clickup.com/t/17tpepcent3" TargetMode="External"/><Relationship Id="rId67" Type="http://schemas.openxmlformats.org/officeDocument/2006/relationships/hyperlink" Target="https://app.clickup.com/t/86acmwaua" TargetMode="External"/><Relationship Id="rId116" Type="http://schemas.openxmlformats.org/officeDocument/2006/relationships/hyperlink" Target="https://app.clickup.com/t/86aght7az" TargetMode="External"/><Relationship Id="rId137" Type="http://schemas.openxmlformats.org/officeDocument/2006/relationships/hyperlink" Target="https://app.clickup.com/t/86ahxbj49" TargetMode="External"/><Relationship Id="rId158" Type="http://schemas.openxmlformats.org/officeDocument/2006/relationships/hyperlink" Target="https://app.clickup.com/t/86aghd14b" TargetMode="External"/><Relationship Id="rId20" Type="http://schemas.openxmlformats.org/officeDocument/2006/relationships/hyperlink" Target="https://app.clickup.com/t/17tpepcqf7n" TargetMode="External"/><Relationship Id="rId41" Type="http://schemas.openxmlformats.org/officeDocument/2006/relationships/hyperlink" Target="https://app.clickup.com/t/86akm8zdw" TargetMode="External"/><Relationship Id="rId62" Type="http://schemas.openxmlformats.org/officeDocument/2006/relationships/hyperlink" Target="https://app.clickup.com/t/86aj7rq96" TargetMode="External"/><Relationship Id="rId83" Type="http://schemas.openxmlformats.org/officeDocument/2006/relationships/hyperlink" Target="https://app.clickup.com/t/17tpepcggu2" TargetMode="External"/><Relationship Id="rId88" Type="http://schemas.openxmlformats.org/officeDocument/2006/relationships/hyperlink" Target="https://app.clickup.com/t/17tpepcgqxk" TargetMode="External"/><Relationship Id="rId111" Type="http://schemas.openxmlformats.org/officeDocument/2006/relationships/hyperlink" Target="https://app.clickup.com/t/86aget0j9" TargetMode="External"/><Relationship Id="rId132" Type="http://schemas.openxmlformats.org/officeDocument/2006/relationships/hyperlink" Target="https://app.clickup.com/t/86aghccqj" TargetMode="External"/><Relationship Id="rId153" Type="http://schemas.openxmlformats.org/officeDocument/2006/relationships/hyperlink" Target="https://app.clickup.com/t/86aj7nztv" TargetMode="External"/><Relationship Id="rId15" Type="http://schemas.openxmlformats.org/officeDocument/2006/relationships/hyperlink" Target="https://app.clickup.com/t/86ahxbzgc" TargetMode="External"/><Relationship Id="rId36" Type="http://schemas.openxmlformats.org/officeDocument/2006/relationships/hyperlink" Target="https://app.clickup.com/t/86akm8zcg" TargetMode="External"/><Relationship Id="rId57" Type="http://schemas.openxmlformats.org/officeDocument/2006/relationships/hyperlink" Target="https://app.clickup.com/t/17tpepcgkkw" TargetMode="External"/><Relationship Id="rId106" Type="http://schemas.openxmlformats.org/officeDocument/2006/relationships/hyperlink" Target="https://app.clickup.com/t/86aghmk4x" TargetMode="External"/><Relationship Id="rId127" Type="http://schemas.openxmlformats.org/officeDocument/2006/relationships/hyperlink" Target="https://app.clickup.com/t/86ajrpcp6" TargetMode="External"/><Relationship Id="rId10" Type="http://schemas.openxmlformats.org/officeDocument/2006/relationships/hyperlink" Target="https://app.clickup.com/t/17tpepcgpg2" TargetMode="External"/><Relationship Id="rId31" Type="http://schemas.openxmlformats.org/officeDocument/2006/relationships/hyperlink" Target="https://app.clickup.com/t/86aght77a" TargetMode="External"/><Relationship Id="rId52" Type="http://schemas.openxmlformats.org/officeDocument/2006/relationships/hyperlink" Target="https://app.clickup.com/t/86aj0bje9" TargetMode="External"/><Relationship Id="rId73" Type="http://schemas.openxmlformats.org/officeDocument/2006/relationships/hyperlink" Target="https://app.clickup.com/t/86ahhve2r" TargetMode="External"/><Relationship Id="rId78" Type="http://schemas.openxmlformats.org/officeDocument/2006/relationships/hyperlink" Target="https://app.clickup.com/t/86agetqtf" TargetMode="External"/><Relationship Id="rId94" Type="http://schemas.openxmlformats.org/officeDocument/2006/relationships/hyperlink" Target="https://app.clickup.com/t/17tpepcpu04" TargetMode="External"/><Relationship Id="rId99" Type="http://schemas.openxmlformats.org/officeDocument/2006/relationships/hyperlink" Target="https://app.clickup.com/t/86aj7b0ue" TargetMode="External"/><Relationship Id="rId101" Type="http://schemas.openxmlformats.org/officeDocument/2006/relationships/hyperlink" Target="https://app.clickup.com/t/86agzk4n5" TargetMode="External"/><Relationship Id="rId122" Type="http://schemas.openxmlformats.org/officeDocument/2006/relationships/hyperlink" Target="https://app.clickup.com/t/86aghvdek" TargetMode="External"/><Relationship Id="rId143" Type="http://schemas.openxmlformats.org/officeDocument/2006/relationships/hyperlink" Target="https://app.clickup.com/t/86aj7nzv4" TargetMode="External"/><Relationship Id="rId148" Type="http://schemas.openxmlformats.org/officeDocument/2006/relationships/hyperlink" Target="https://app.clickup.com/t/86aj7nzut" TargetMode="External"/><Relationship Id="rId164" Type="http://schemas.openxmlformats.org/officeDocument/2006/relationships/hyperlink" Target="https://app.clickup.com/t/86agjaf14" TargetMode="External"/><Relationship Id="rId4" Type="http://schemas.openxmlformats.org/officeDocument/2006/relationships/hyperlink" Target="https://app.clickup.com/t/86ah5hfzp" TargetMode="External"/><Relationship Id="rId9" Type="http://schemas.openxmlformats.org/officeDocument/2006/relationships/hyperlink" Target="https://app.clickup.com/t/86akm8zca" TargetMode="External"/><Relationship Id="rId26" Type="http://schemas.openxmlformats.org/officeDocument/2006/relationships/hyperlink" Target="https://app.clickup.com/t/17tpepcprk9" TargetMode="External"/><Relationship Id="rId47" Type="http://schemas.openxmlformats.org/officeDocument/2006/relationships/hyperlink" Target="https://app.clickup.com/t/17tpepcdam8" TargetMode="External"/><Relationship Id="rId68" Type="http://schemas.openxmlformats.org/officeDocument/2006/relationships/hyperlink" Target="https://app.clickup.com/t/86acmwat3" TargetMode="External"/><Relationship Id="rId89" Type="http://schemas.openxmlformats.org/officeDocument/2006/relationships/hyperlink" Target="https://app.clickup.com/t/17tpepcgm2f" TargetMode="External"/><Relationship Id="rId112" Type="http://schemas.openxmlformats.org/officeDocument/2006/relationships/hyperlink" Target="https://app.clickup.com/t/86aghvddc" TargetMode="External"/><Relationship Id="rId133" Type="http://schemas.openxmlformats.org/officeDocument/2006/relationships/hyperlink" Target="https://app.clickup.com/t/86aghccnf" TargetMode="External"/><Relationship Id="rId154" Type="http://schemas.openxmlformats.org/officeDocument/2006/relationships/hyperlink" Target="https://app.clickup.com/t/86aghmk46" TargetMode="External"/><Relationship Id="rId16" Type="http://schemas.openxmlformats.org/officeDocument/2006/relationships/hyperlink" Target="https://app.clickup.com/t/86agetqtb" TargetMode="External"/><Relationship Id="rId37" Type="http://schemas.openxmlformats.org/officeDocument/2006/relationships/hyperlink" Target="https://app.clickup.com/t/17tpepcgphp" TargetMode="External"/><Relationship Id="rId58" Type="http://schemas.openxmlformats.org/officeDocument/2006/relationships/hyperlink" Target="https://app.clickup.com/t/17tpepcghcd" TargetMode="External"/><Relationship Id="rId79" Type="http://schemas.openxmlformats.org/officeDocument/2006/relationships/hyperlink" Target="https://app.clickup.com/t/17tpepcgkmf" TargetMode="External"/><Relationship Id="rId102" Type="http://schemas.openxmlformats.org/officeDocument/2006/relationships/hyperlink" Target="https://app.clickup.com/t/86agv9x68" TargetMode="External"/><Relationship Id="rId123" Type="http://schemas.openxmlformats.org/officeDocument/2006/relationships/hyperlink" Target="https://app.clickup.com/t/86aghv5gx" TargetMode="External"/><Relationship Id="rId144" Type="http://schemas.openxmlformats.org/officeDocument/2006/relationships/hyperlink" Target="https://app.clickup.com/t/86aj7nzv1" TargetMode="External"/><Relationship Id="rId90" Type="http://schemas.openxmlformats.org/officeDocument/2006/relationships/hyperlink" Target="https://app.clickup.com/t/86ahckp1w" TargetMode="External"/><Relationship Id="rId165" Type="http://schemas.openxmlformats.org/officeDocument/2006/relationships/hyperlink" Target="https://app.clickup.com/t/86aghcynb" TargetMode="External"/><Relationship Id="rId27" Type="http://schemas.openxmlformats.org/officeDocument/2006/relationships/hyperlink" Target="https://app.clickup.com/t/17tpepcgpg1" TargetMode="External"/><Relationship Id="rId48" Type="http://schemas.openxmlformats.org/officeDocument/2006/relationships/hyperlink" Target="https://app.clickup.com/t/17tpepct4ca" TargetMode="External"/><Relationship Id="rId69" Type="http://schemas.openxmlformats.org/officeDocument/2006/relationships/hyperlink" Target="https://app.clickup.com/t/17tpepct4c8" TargetMode="External"/><Relationship Id="rId113" Type="http://schemas.openxmlformats.org/officeDocument/2006/relationships/hyperlink" Target="https://app.clickup.com/t/86agety0x" TargetMode="External"/><Relationship Id="rId134" Type="http://schemas.openxmlformats.org/officeDocument/2006/relationships/hyperlink" Target="https://app.clickup.com/t/86aget0jj" TargetMode="External"/><Relationship Id="rId80" Type="http://schemas.openxmlformats.org/officeDocument/2006/relationships/hyperlink" Target="https://app.clickup.com/t/17tpepcghcf" TargetMode="External"/><Relationship Id="rId155" Type="http://schemas.openxmlformats.org/officeDocument/2006/relationships/hyperlink" Target="https://app.clickup.com/t/86aget7z3"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app.clickup.com/t/86ahckp17" TargetMode="External"/><Relationship Id="rId671" Type="http://schemas.openxmlformats.org/officeDocument/2006/relationships/hyperlink" Target="https://app.clickup.com/t/86ah5hcph" TargetMode="External"/><Relationship Id="rId769" Type="http://schemas.openxmlformats.org/officeDocument/2006/relationships/hyperlink" Target="https://app.clickup.com/t/86agdhd8p" TargetMode="External"/><Relationship Id="rId976" Type="http://schemas.openxmlformats.org/officeDocument/2006/relationships/hyperlink" Target="https://app.clickup.com/t/86aghccnr" TargetMode="External"/><Relationship Id="rId21" Type="http://schemas.openxmlformats.org/officeDocument/2006/relationships/hyperlink" Target="https://app.clickup.com/t/86aghvde5" TargetMode="External"/><Relationship Id="rId324" Type="http://schemas.openxmlformats.org/officeDocument/2006/relationships/hyperlink" Target="https://app.clickup.com/t/86agc6y33" TargetMode="External"/><Relationship Id="rId531" Type="http://schemas.openxmlformats.org/officeDocument/2006/relationships/hyperlink" Target="https://app.clickup.com/t/86ahckp2m" TargetMode="External"/><Relationship Id="rId629" Type="http://schemas.openxmlformats.org/officeDocument/2006/relationships/hyperlink" Target="https://app.clickup.com/t/86ah4bxac" TargetMode="External"/><Relationship Id="rId170" Type="http://schemas.openxmlformats.org/officeDocument/2006/relationships/hyperlink" Target="https://app.clickup.com/t/86aj7nzvq" TargetMode="External"/><Relationship Id="rId836" Type="http://schemas.openxmlformats.org/officeDocument/2006/relationships/hyperlink" Target="https://app.clickup.com/t/86ahw6q1x" TargetMode="External"/><Relationship Id="rId268" Type="http://schemas.openxmlformats.org/officeDocument/2006/relationships/hyperlink" Target="https://app.clickup.com/t/86agd85n3" TargetMode="External"/><Relationship Id="rId475" Type="http://schemas.openxmlformats.org/officeDocument/2006/relationships/hyperlink" Target="https://app.clickup.com/t/17tpepcenqt" TargetMode="External"/><Relationship Id="rId682" Type="http://schemas.openxmlformats.org/officeDocument/2006/relationships/hyperlink" Target="https://app.clickup.com/t/86agdxkqc" TargetMode="External"/><Relationship Id="rId903" Type="http://schemas.openxmlformats.org/officeDocument/2006/relationships/hyperlink" Target="https://app.clickup.com/t/86ad73wbj" TargetMode="External"/><Relationship Id="rId32" Type="http://schemas.openxmlformats.org/officeDocument/2006/relationships/hyperlink" Target="https://app.clickup.com/t/86aj7nzvg" TargetMode="External"/><Relationship Id="rId128" Type="http://schemas.openxmlformats.org/officeDocument/2006/relationships/hyperlink" Target="https://app.clickup.com/t/17tpepcprjy" TargetMode="External"/><Relationship Id="rId335" Type="http://schemas.openxmlformats.org/officeDocument/2006/relationships/hyperlink" Target="https://app.clickup.com/t/86ajaadj3" TargetMode="External"/><Relationship Id="rId542" Type="http://schemas.openxmlformats.org/officeDocument/2006/relationships/hyperlink" Target="https://app.clickup.com/t/86ajbud2x" TargetMode="External"/><Relationship Id="rId181" Type="http://schemas.openxmlformats.org/officeDocument/2006/relationships/hyperlink" Target="https://app.clickup.com/t/86aj7nzu6" TargetMode="External"/><Relationship Id="rId402" Type="http://schemas.openxmlformats.org/officeDocument/2006/relationships/hyperlink" Target="https://app.clickup.com/t/86agbbmmb" TargetMode="External"/><Relationship Id="rId847" Type="http://schemas.openxmlformats.org/officeDocument/2006/relationships/hyperlink" Target="https://app.clickup.com/t/86acmxmck" TargetMode="External"/><Relationship Id="rId279" Type="http://schemas.openxmlformats.org/officeDocument/2006/relationships/hyperlink" Target="https://app.clickup.com/t/86aghrgtv" TargetMode="External"/><Relationship Id="rId486" Type="http://schemas.openxmlformats.org/officeDocument/2006/relationships/hyperlink" Target="https://app.clickup.com/t/86actgcpg" TargetMode="External"/><Relationship Id="rId693" Type="http://schemas.openxmlformats.org/officeDocument/2006/relationships/hyperlink" Target="https://app.clickup.com/t/86aghvde9" TargetMode="External"/><Relationship Id="rId707" Type="http://schemas.openxmlformats.org/officeDocument/2006/relationships/hyperlink" Target="https://app.clickup.com/t/17tpepcpu26" TargetMode="External"/><Relationship Id="rId914" Type="http://schemas.openxmlformats.org/officeDocument/2006/relationships/hyperlink" Target="https://app.clickup.com/t/86agem64x" TargetMode="External"/><Relationship Id="rId43" Type="http://schemas.openxmlformats.org/officeDocument/2006/relationships/hyperlink" Target="https://app.clickup.com/t/86aghuyu2" TargetMode="External"/><Relationship Id="rId139" Type="http://schemas.openxmlformats.org/officeDocument/2006/relationships/hyperlink" Target="https://app.clickup.com/t/17tpepcghcd" TargetMode="External"/><Relationship Id="rId346" Type="http://schemas.openxmlformats.org/officeDocument/2006/relationships/hyperlink" Target="https://app.clickup.com/t/86ah28hmx" TargetMode="External"/><Relationship Id="rId553" Type="http://schemas.openxmlformats.org/officeDocument/2006/relationships/hyperlink" Target="https://app.clickup.com/t/86agetqrf" TargetMode="External"/><Relationship Id="rId760" Type="http://schemas.openxmlformats.org/officeDocument/2006/relationships/hyperlink" Target="https://app.clickup.com/t/86aj7ehkb" TargetMode="External"/><Relationship Id="rId192" Type="http://schemas.openxmlformats.org/officeDocument/2006/relationships/hyperlink" Target="https://app.clickup.com/t/17tpepcgqxk" TargetMode="External"/><Relationship Id="rId206" Type="http://schemas.openxmlformats.org/officeDocument/2006/relationships/hyperlink" Target="https://app.clickup.com/t/86aj7b9g8" TargetMode="External"/><Relationship Id="rId413" Type="http://schemas.openxmlformats.org/officeDocument/2006/relationships/hyperlink" Target="https://app.clickup.com/t/17tpepcgtv4" TargetMode="External"/><Relationship Id="rId858" Type="http://schemas.openxmlformats.org/officeDocument/2006/relationships/hyperlink" Target="https://app.clickup.com/t/86akbg1c0" TargetMode="External"/><Relationship Id="rId497" Type="http://schemas.openxmlformats.org/officeDocument/2006/relationships/hyperlink" Target="https://app.clickup.com/t/86agc8hvj" TargetMode="External"/><Relationship Id="rId620" Type="http://schemas.openxmlformats.org/officeDocument/2006/relationships/hyperlink" Target="https://app.clickup.com/t/86aghfr69" TargetMode="External"/><Relationship Id="rId718" Type="http://schemas.openxmlformats.org/officeDocument/2006/relationships/hyperlink" Target="https://app.clickup.com/t/86ajf8rr2" TargetMode="External"/><Relationship Id="rId925" Type="http://schemas.openxmlformats.org/officeDocument/2006/relationships/hyperlink" Target="https://app.clickup.com/t/86agawc21" TargetMode="External"/><Relationship Id="rId357" Type="http://schemas.openxmlformats.org/officeDocument/2006/relationships/hyperlink" Target="https://app.clickup.com/t/86aj7bhxz" TargetMode="External"/><Relationship Id="rId54" Type="http://schemas.openxmlformats.org/officeDocument/2006/relationships/hyperlink" Target="https://app.clickup.com/t/86agc8a2d" TargetMode="External"/><Relationship Id="rId217" Type="http://schemas.openxmlformats.org/officeDocument/2006/relationships/hyperlink" Target="https://app.clickup.com/t/17tpepcenxf" TargetMode="External"/><Relationship Id="rId564" Type="http://schemas.openxmlformats.org/officeDocument/2006/relationships/hyperlink" Target="https://app.clickup.com/t/86akam3zk" TargetMode="External"/><Relationship Id="rId771" Type="http://schemas.openxmlformats.org/officeDocument/2006/relationships/hyperlink" Target="https://app.clickup.com/t/86agjaf20" TargetMode="External"/><Relationship Id="rId869" Type="http://schemas.openxmlformats.org/officeDocument/2006/relationships/hyperlink" Target="https://app.clickup.com/t/86aj7nmnc" TargetMode="External"/><Relationship Id="rId424" Type="http://schemas.openxmlformats.org/officeDocument/2006/relationships/hyperlink" Target="https://app.clickup.com/t/86agdwe43" TargetMode="External"/><Relationship Id="rId631" Type="http://schemas.openxmlformats.org/officeDocument/2006/relationships/hyperlink" Target="https://app.clickup.com/t/86ah4b662" TargetMode="External"/><Relationship Id="rId729" Type="http://schemas.openxmlformats.org/officeDocument/2006/relationships/hyperlink" Target="https://app.clickup.com/t/17tpepcpr2n" TargetMode="External"/><Relationship Id="rId270" Type="http://schemas.openxmlformats.org/officeDocument/2006/relationships/hyperlink" Target="https://app.clickup.com/t/86ahcknz7" TargetMode="External"/><Relationship Id="rId936" Type="http://schemas.openxmlformats.org/officeDocument/2006/relationships/hyperlink" Target="https://app.clickup.com/t/86agedb27" TargetMode="External"/><Relationship Id="rId65" Type="http://schemas.openxmlformats.org/officeDocument/2006/relationships/hyperlink" Target="https://app.clickup.com/t/86aghccqb" TargetMode="External"/><Relationship Id="rId130" Type="http://schemas.openxmlformats.org/officeDocument/2006/relationships/hyperlink" Target="https://app.clickup.com/t/86aj0bje9" TargetMode="External"/><Relationship Id="rId368" Type="http://schemas.openxmlformats.org/officeDocument/2006/relationships/hyperlink" Target="https://app.clickup.com/t/86aghm6fy" TargetMode="External"/><Relationship Id="rId575" Type="http://schemas.openxmlformats.org/officeDocument/2006/relationships/hyperlink" Target="https://app.clickup.com/t/86ak8xk6f" TargetMode="External"/><Relationship Id="rId782" Type="http://schemas.openxmlformats.org/officeDocument/2006/relationships/hyperlink" Target="https://app.clickup.com/t/86actgg12" TargetMode="External"/><Relationship Id="rId228" Type="http://schemas.openxmlformats.org/officeDocument/2006/relationships/hyperlink" Target="https://app.clickup.com/t/17tpepcdm33" TargetMode="External"/><Relationship Id="rId435" Type="http://schemas.openxmlformats.org/officeDocument/2006/relationships/hyperlink" Target="https://app.clickup.com/t/86aghcckm" TargetMode="External"/><Relationship Id="rId642" Type="http://schemas.openxmlformats.org/officeDocument/2006/relationships/hyperlink" Target="https://app.clickup.com/t/17tpepcgkv5" TargetMode="External"/><Relationship Id="rId281" Type="http://schemas.openxmlformats.org/officeDocument/2006/relationships/hyperlink" Target="https://app.clickup.com/t/86aght76p" TargetMode="External"/><Relationship Id="rId502" Type="http://schemas.openxmlformats.org/officeDocument/2006/relationships/hyperlink" Target="https://app.clickup.com/t/17tpepcpu2c" TargetMode="External"/><Relationship Id="rId947" Type="http://schemas.openxmlformats.org/officeDocument/2006/relationships/hyperlink" Target="https://app.clickup.com/t/86adg6wjx" TargetMode="External"/><Relationship Id="rId76" Type="http://schemas.openxmlformats.org/officeDocument/2006/relationships/hyperlink" Target="https://app.clickup.com/t/86agety0x" TargetMode="External"/><Relationship Id="rId141" Type="http://schemas.openxmlformats.org/officeDocument/2006/relationships/hyperlink" Target="https://app.clickup.com/t/86akm8zba" TargetMode="External"/><Relationship Id="rId379" Type="http://schemas.openxmlformats.org/officeDocument/2006/relationships/hyperlink" Target="https://app.clickup.com/t/86aj7etg3" TargetMode="External"/><Relationship Id="rId586" Type="http://schemas.openxmlformats.org/officeDocument/2006/relationships/hyperlink" Target="https://app.clickup.com/t/86aj7etg7" TargetMode="External"/><Relationship Id="rId793" Type="http://schemas.openxmlformats.org/officeDocument/2006/relationships/hyperlink" Target="https://app.clickup.com/t/86adceykw" TargetMode="External"/><Relationship Id="rId807" Type="http://schemas.openxmlformats.org/officeDocument/2006/relationships/hyperlink" Target="https://app.clickup.com/t/86ageha0h" TargetMode="External"/><Relationship Id="rId7" Type="http://schemas.openxmlformats.org/officeDocument/2006/relationships/hyperlink" Target="https://app.clickup.com/t/86aget7z8" TargetMode="External"/><Relationship Id="rId239" Type="http://schemas.openxmlformats.org/officeDocument/2006/relationships/hyperlink" Target="https://app.clickup.com/t/17tpepct4ce" TargetMode="External"/><Relationship Id="rId446" Type="http://schemas.openxmlformats.org/officeDocument/2006/relationships/hyperlink" Target="https://app.clickup.com/t/17tpepcgqnr" TargetMode="External"/><Relationship Id="rId653" Type="http://schemas.openxmlformats.org/officeDocument/2006/relationships/hyperlink" Target="https://app.clickup.com/t/86agb8z9v" TargetMode="External"/><Relationship Id="rId292" Type="http://schemas.openxmlformats.org/officeDocument/2006/relationships/hyperlink" Target="https://app.clickup.com/t/86aget0hc" TargetMode="External"/><Relationship Id="rId306" Type="http://schemas.openxmlformats.org/officeDocument/2006/relationships/hyperlink" Target="https://app.clickup.com/t/17tpepcddpp" TargetMode="External"/><Relationship Id="rId860" Type="http://schemas.openxmlformats.org/officeDocument/2006/relationships/hyperlink" Target="https://app.clickup.com/t/86akbfdbx" TargetMode="External"/><Relationship Id="rId958" Type="http://schemas.openxmlformats.org/officeDocument/2006/relationships/hyperlink" Target="https://app.clickup.com/t/86acmkeec" TargetMode="External"/><Relationship Id="rId87" Type="http://schemas.openxmlformats.org/officeDocument/2006/relationships/hyperlink" Target="https://app.clickup.com/t/86akm8zda" TargetMode="External"/><Relationship Id="rId513" Type="http://schemas.openxmlformats.org/officeDocument/2006/relationships/hyperlink" Target="https://app.clickup.com/t/86agcw1qu" TargetMode="External"/><Relationship Id="rId597" Type="http://schemas.openxmlformats.org/officeDocument/2006/relationships/hyperlink" Target="https://app.clickup.com/t/86acmx00e" TargetMode="External"/><Relationship Id="rId720" Type="http://schemas.openxmlformats.org/officeDocument/2006/relationships/hyperlink" Target="https://app.clickup.com/t/86ah4bx9a" TargetMode="External"/><Relationship Id="rId818" Type="http://schemas.openxmlformats.org/officeDocument/2006/relationships/hyperlink" Target="https://app.clickup.com/t/86agehw23" TargetMode="External"/><Relationship Id="rId152" Type="http://schemas.openxmlformats.org/officeDocument/2006/relationships/hyperlink" Target="https://app.clickup.com/t/17tpepct4c8" TargetMode="External"/><Relationship Id="rId457" Type="http://schemas.openxmlformats.org/officeDocument/2006/relationships/hyperlink" Target="https://app.clickup.com/t/86akbjnd8" TargetMode="External"/><Relationship Id="rId664" Type="http://schemas.openxmlformats.org/officeDocument/2006/relationships/hyperlink" Target="https://app.clickup.com/t/86aged8yw" TargetMode="External"/><Relationship Id="rId871" Type="http://schemas.openxmlformats.org/officeDocument/2006/relationships/hyperlink" Target="https://app.clickup.com/t/86aj7ehk7" TargetMode="External"/><Relationship Id="rId969" Type="http://schemas.openxmlformats.org/officeDocument/2006/relationships/hyperlink" Target="https://app.clickup.com/t/86aghccmr" TargetMode="External"/><Relationship Id="rId14" Type="http://schemas.openxmlformats.org/officeDocument/2006/relationships/hyperlink" Target="https://app.clickup.com/t/17tpepcpu1m" TargetMode="External"/><Relationship Id="rId317" Type="http://schemas.openxmlformats.org/officeDocument/2006/relationships/hyperlink" Target="https://app.clickup.com/t/86aghrgvx" TargetMode="External"/><Relationship Id="rId524" Type="http://schemas.openxmlformats.org/officeDocument/2006/relationships/hyperlink" Target="https://app.clickup.com/t/86ahckp0q" TargetMode="External"/><Relationship Id="rId731" Type="http://schemas.openxmlformats.org/officeDocument/2006/relationships/hyperlink" Target="https://app.clickup.com/t/86aew32y4" TargetMode="External"/><Relationship Id="rId98" Type="http://schemas.openxmlformats.org/officeDocument/2006/relationships/hyperlink" Target="https://app.clickup.com/t/86aght77a" TargetMode="External"/><Relationship Id="rId163" Type="http://schemas.openxmlformats.org/officeDocument/2006/relationships/hyperlink" Target="https://app.clickup.com/t/17tpepcgkmf" TargetMode="External"/><Relationship Id="rId370" Type="http://schemas.openxmlformats.org/officeDocument/2006/relationships/hyperlink" Target="https://app.clickup.com/t/17tpepcdg20" TargetMode="External"/><Relationship Id="rId829" Type="http://schemas.openxmlformats.org/officeDocument/2006/relationships/hyperlink" Target="https://app.clickup.com/t/17tpepcdk0m" TargetMode="External"/><Relationship Id="rId230" Type="http://schemas.openxmlformats.org/officeDocument/2006/relationships/hyperlink" Target="https://app.clickup.com/t/86ahxbk65" TargetMode="External"/><Relationship Id="rId468" Type="http://schemas.openxmlformats.org/officeDocument/2006/relationships/hyperlink" Target="https://app.clickup.com/t/86ajbuubr" TargetMode="External"/><Relationship Id="rId675" Type="http://schemas.openxmlformats.org/officeDocument/2006/relationships/hyperlink" Target="https://app.clickup.com/t/86agp1g0f" TargetMode="External"/><Relationship Id="rId882" Type="http://schemas.openxmlformats.org/officeDocument/2006/relationships/hyperlink" Target="https://app.clickup.com/t/86ak8wtgr" TargetMode="External"/><Relationship Id="rId25" Type="http://schemas.openxmlformats.org/officeDocument/2006/relationships/hyperlink" Target="https://app.clickup.com/t/86aghjy4b" TargetMode="External"/><Relationship Id="rId328" Type="http://schemas.openxmlformats.org/officeDocument/2006/relationships/hyperlink" Target="https://app.clickup.com/t/86agehgv1" TargetMode="External"/><Relationship Id="rId535" Type="http://schemas.openxmlformats.org/officeDocument/2006/relationships/hyperlink" Target="https://app.clickup.com/t/86agd7zfv" TargetMode="External"/><Relationship Id="rId742" Type="http://schemas.openxmlformats.org/officeDocument/2006/relationships/hyperlink" Target="https://app.clickup.com/t/86ahyemht" TargetMode="External"/><Relationship Id="rId174" Type="http://schemas.openxmlformats.org/officeDocument/2006/relationships/hyperlink" Target="https://app.clickup.com/t/86aj7nzv4" TargetMode="External"/><Relationship Id="rId381" Type="http://schemas.openxmlformats.org/officeDocument/2006/relationships/hyperlink" Target="https://app.clickup.com/t/86agervec" TargetMode="External"/><Relationship Id="rId602" Type="http://schemas.openxmlformats.org/officeDocument/2006/relationships/hyperlink" Target="https://app.clickup.com/t/86acmkadu" TargetMode="External"/><Relationship Id="rId241" Type="http://schemas.openxmlformats.org/officeDocument/2006/relationships/hyperlink" Target="https://app.clickup.com/t/86ahrw3e1" TargetMode="External"/><Relationship Id="rId479" Type="http://schemas.openxmlformats.org/officeDocument/2006/relationships/hyperlink" Target="https://app.clickup.com/t/86agerve1" TargetMode="External"/><Relationship Id="rId686" Type="http://schemas.openxmlformats.org/officeDocument/2006/relationships/hyperlink" Target="https://app.clickup.com/t/86agd8vq6" TargetMode="External"/><Relationship Id="rId893" Type="http://schemas.openxmlformats.org/officeDocument/2006/relationships/hyperlink" Target="https://app.clickup.com/t/86aghnk5w" TargetMode="External"/><Relationship Id="rId907" Type="http://schemas.openxmlformats.org/officeDocument/2006/relationships/hyperlink" Target="https://app.clickup.com/t/86ah4bx9y" TargetMode="External"/><Relationship Id="rId36" Type="http://schemas.openxmlformats.org/officeDocument/2006/relationships/hyperlink" Target="https://app.clickup.com/t/86acmxepj" TargetMode="External"/><Relationship Id="rId339" Type="http://schemas.openxmlformats.org/officeDocument/2006/relationships/hyperlink" Target="https://app.clickup.com/t/86agc9qyd" TargetMode="External"/><Relationship Id="rId546" Type="http://schemas.openxmlformats.org/officeDocument/2006/relationships/hyperlink" Target="https://app.clickup.com/t/86akm8zc6" TargetMode="External"/><Relationship Id="rId753" Type="http://schemas.openxmlformats.org/officeDocument/2006/relationships/hyperlink" Target="https://app.clickup.com/t/86aj80cfu" TargetMode="External"/><Relationship Id="rId101" Type="http://schemas.openxmlformats.org/officeDocument/2006/relationships/hyperlink" Target="https://app.clickup.com/t/17tpepcpu01" TargetMode="External"/><Relationship Id="rId185" Type="http://schemas.openxmlformats.org/officeDocument/2006/relationships/hyperlink" Target="https://app.clickup.com/t/86ahht393" TargetMode="External"/><Relationship Id="rId406" Type="http://schemas.openxmlformats.org/officeDocument/2006/relationships/hyperlink" Target="https://app.clickup.com/t/86aget0gr" TargetMode="External"/><Relationship Id="rId960" Type="http://schemas.openxmlformats.org/officeDocument/2006/relationships/hyperlink" Target="https://app.clickup.com/t/86aghmk35" TargetMode="External"/><Relationship Id="rId392" Type="http://schemas.openxmlformats.org/officeDocument/2006/relationships/hyperlink" Target="https://app.clickup.com/t/86ah40h0v" TargetMode="External"/><Relationship Id="rId613" Type="http://schemas.openxmlformats.org/officeDocument/2006/relationships/hyperlink" Target="https://app.clickup.com/t/86age454x" TargetMode="External"/><Relationship Id="rId697" Type="http://schemas.openxmlformats.org/officeDocument/2006/relationships/hyperlink" Target="https://app.clickup.com/t/86agety17" TargetMode="External"/><Relationship Id="rId820" Type="http://schemas.openxmlformats.org/officeDocument/2006/relationships/hyperlink" Target="https://app.clickup.com/t/86agdxj92" TargetMode="External"/><Relationship Id="rId918" Type="http://schemas.openxmlformats.org/officeDocument/2006/relationships/hyperlink" Target="https://app.clickup.com/t/86aghnk5j" TargetMode="External"/><Relationship Id="rId252" Type="http://schemas.openxmlformats.org/officeDocument/2006/relationships/hyperlink" Target="https://app.clickup.com/t/86agcwqb7" TargetMode="External"/><Relationship Id="rId47" Type="http://schemas.openxmlformats.org/officeDocument/2006/relationships/hyperlink" Target="https://app.clickup.com/t/86acmx4dw" TargetMode="External"/><Relationship Id="rId112" Type="http://schemas.openxmlformats.org/officeDocument/2006/relationships/hyperlink" Target="https://app.clickup.com/t/86aghgbzt" TargetMode="External"/><Relationship Id="rId557" Type="http://schemas.openxmlformats.org/officeDocument/2006/relationships/hyperlink" Target="https://app.clickup.com/t/86agetqt2" TargetMode="External"/><Relationship Id="rId764" Type="http://schemas.openxmlformats.org/officeDocument/2006/relationships/hyperlink" Target="https://app.clickup.com/t/86aj7cq14" TargetMode="External"/><Relationship Id="rId971" Type="http://schemas.openxmlformats.org/officeDocument/2006/relationships/hyperlink" Target="https://app.clickup.com/t/86agem64p" TargetMode="External"/><Relationship Id="rId196" Type="http://schemas.openxmlformats.org/officeDocument/2006/relationships/hyperlink" Target="https://app.clickup.com/t/17tpepcdm31" TargetMode="External"/><Relationship Id="rId417" Type="http://schemas.openxmlformats.org/officeDocument/2006/relationships/hyperlink" Target="https://app.clickup.com/t/86agnytv9" TargetMode="External"/><Relationship Id="rId624" Type="http://schemas.openxmlformats.org/officeDocument/2006/relationships/hyperlink" Target="https://app.clickup.com/t/17tpepcpu00" TargetMode="External"/><Relationship Id="rId831" Type="http://schemas.openxmlformats.org/officeDocument/2006/relationships/hyperlink" Target="https://app.clickup.com/t/86agj13e8" TargetMode="External"/><Relationship Id="rId263" Type="http://schemas.openxmlformats.org/officeDocument/2006/relationships/hyperlink" Target="https://app.clickup.com/t/86ahke96e" TargetMode="External"/><Relationship Id="rId470" Type="http://schemas.openxmlformats.org/officeDocument/2006/relationships/hyperlink" Target="https://app.clickup.com/t/17tpepcgkn9" TargetMode="External"/><Relationship Id="rId929" Type="http://schemas.openxmlformats.org/officeDocument/2006/relationships/hyperlink" Target="https://app.clickup.com/t/17tpepcgtan" TargetMode="External"/><Relationship Id="rId58" Type="http://schemas.openxmlformats.org/officeDocument/2006/relationships/hyperlink" Target="https://app.clickup.com/t/86aghjy4w" TargetMode="External"/><Relationship Id="rId123" Type="http://schemas.openxmlformats.org/officeDocument/2006/relationships/hyperlink" Target="https://app.clickup.com/t/17tpepct4ca" TargetMode="External"/><Relationship Id="rId330" Type="http://schemas.openxmlformats.org/officeDocument/2006/relationships/hyperlink" Target="https://app.clickup.com/t/86agcktet" TargetMode="External"/><Relationship Id="rId568" Type="http://schemas.openxmlformats.org/officeDocument/2006/relationships/hyperlink" Target="https://app.clickup.com/t/86aj81tw6" TargetMode="External"/><Relationship Id="rId775" Type="http://schemas.openxmlformats.org/officeDocument/2006/relationships/hyperlink" Target="https://app.clickup.com/t/86aj81q30" TargetMode="External"/><Relationship Id="rId428" Type="http://schemas.openxmlformats.org/officeDocument/2006/relationships/hyperlink" Target="https://app.clickup.com/t/86agcx0k6" TargetMode="External"/><Relationship Id="rId635" Type="http://schemas.openxmlformats.org/officeDocument/2006/relationships/hyperlink" Target="https://app.clickup.com/t/86aghmk3d" TargetMode="External"/><Relationship Id="rId842" Type="http://schemas.openxmlformats.org/officeDocument/2006/relationships/hyperlink" Target="https://app.clickup.com/t/86agcx54w" TargetMode="External"/><Relationship Id="rId274" Type="http://schemas.openxmlformats.org/officeDocument/2006/relationships/hyperlink" Target="https://app.clickup.com/t/86akm8zcx" TargetMode="External"/><Relationship Id="rId481" Type="http://schemas.openxmlformats.org/officeDocument/2006/relationships/hyperlink" Target="https://app.clickup.com/t/17tpepcpu0a" TargetMode="External"/><Relationship Id="rId702" Type="http://schemas.openxmlformats.org/officeDocument/2006/relationships/hyperlink" Target="https://app.clickup.com/t/86ahkea4u" TargetMode="External"/><Relationship Id="rId69" Type="http://schemas.openxmlformats.org/officeDocument/2006/relationships/hyperlink" Target="https://app.clickup.com/t/86aghvddc" TargetMode="External"/><Relationship Id="rId134" Type="http://schemas.openxmlformats.org/officeDocument/2006/relationships/hyperlink" Target="https://app.clickup.com/t/86aghccnf" TargetMode="External"/><Relationship Id="rId579" Type="http://schemas.openxmlformats.org/officeDocument/2006/relationships/hyperlink" Target="https://app.clickup.com/t/86aj81741" TargetMode="External"/><Relationship Id="rId786" Type="http://schemas.openxmlformats.org/officeDocument/2006/relationships/hyperlink" Target="https://app.clickup.com/t/86agen7yh" TargetMode="External"/><Relationship Id="rId341" Type="http://schemas.openxmlformats.org/officeDocument/2006/relationships/hyperlink" Target="https://app.clickup.com/t/17tpepcdk0p" TargetMode="External"/><Relationship Id="rId439" Type="http://schemas.openxmlformats.org/officeDocument/2006/relationships/hyperlink" Target="https://app.clickup.com/t/86acmwaq7" TargetMode="External"/><Relationship Id="rId646" Type="http://schemas.openxmlformats.org/officeDocument/2006/relationships/hyperlink" Target="https://app.clickup.com/t/86aghvdf4" TargetMode="External"/><Relationship Id="rId201" Type="http://schemas.openxmlformats.org/officeDocument/2006/relationships/hyperlink" Target="https://app.clickup.com/t/86aghd14b" TargetMode="External"/><Relationship Id="rId285" Type="http://schemas.openxmlformats.org/officeDocument/2006/relationships/hyperlink" Target="https://app.clickup.com/t/86aghjy50" TargetMode="External"/><Relationship Id="rId506" Type="http://schemas.openxmlformats.org/officeDocument/2006/relationships/hyperlink" Target="https://app.clickup.com/t/86agetqrn" TargetMode="External"/><Relationship Id="rId853" Type="http://schemas.openxmlformats.org/officeDocument/2006/relationships/hyperlink" Target="https://app.clickup.com/t/86aghgby9" TargetMode="External"/><Relationship Id="rId492" Type="http://schemas.openxmlformats.org/officeDocument/2006/relationships/hyperlink" Target="https://app.clickup.com/t/86ageczbj" TargetMode="External"/><Relationship Id="rId713" Type="http://schemas.openxmlformats.org/officeDocument/2006/relationships/hyperlink" Target="https://app.clickup.com/t/86agzkbe7" TargetMode="External"/><Relationship Id="rId797" Type="http://schemas.openxmlformats.org/officeDocument/2006/relationships/hyperlink" Target="https://app.clickup.com/t/86ah4bx9r" TargetMode="External"/><Relationship Id="rId920" Type="http://schemas.openxmlformats.org/officeDocument/2006/relationships/hyperlink" Target="https://app.clickup.com/t/86agbbtvj" TargetMode="External"/><Relationship Id="rId145" Type="http://schemas.openxmlformats.org/officeDocument/2006/relationships/hyperlink" Target="https://app.clickup.com/t/86agjaf27" TargetMode="External"/><Relationship Id="rId352" Type="http://schemas.openxmlformats.org/officeDocument/2006/relationships/hyperlink" Target="https://app.clickup.com/t/86ak1pwc5" TargetMode="External"/><Relationship Id="rId212" Type="http://schemas.openxmlformats.org/officeDocument/2006/relationships/hyperlink" Target="https://app.clickup.com/t/86agzk4n5" TargetMode="External"/><Relationship Id="rId657" Type="http://schemas.openxmlformats.org/officeDocument/2006/relationships/hyperlink" Target="https://app.clickup.com/t/86agc6ngy" TargetMode="External"/><Relationship Id="rId864" Type="http://schemas.openxmlformats.org/officeDocument/2006/relationships/hyperlink" Target="https://app.clickup.com/t/86aj807z4" TargetMode="External"/><Relationship Id="rId296" Type="http://schemas.openxmlformats.org/officeDocument/2006/relationships/hyperlink" Target="https://app.clickup.com/t/86aghuyu6" TargetMode="External"/><Relationship Id="rId517" Type="http://schemas.openxmlformats.org/officeDocument/2006/relationships/hyperlink" Target="https://app.clickup.com/t/86agddhk3" TargetMode="External"/><Relationship Id="rId724" Type="http://schemas.openxmlformats.org/officeDocument/2006/relationships/hyperlink" Target="https://app.clickup.com/t/86agzka6x" TargetMode="External"/><Relationship Id="rId931" Type="http://schemas.openxmlformats.org/officeDocument/2006/relationships/hyperlink" Target="https://app.clickup.com/t/86ajjpeed" TargetMode="External"/><Relationship Id="rId60" Type="http://schemas.openxmlformats.org/officeDocument/2006/relationships/hyperlink" Target="https://app.clickup.com/t/86ah5hfzp" TargetMode="External"/><Relationship Id="rId156" Type="http://schemas.openxmlformats.org/officeDocument/2006/relationships/hyperlink" Target="https://app.clickup.com/t/86ahhve2r" TargetMode="External"/><Relationship Id="rId363" Type="http://schemas.openxmlformats.org/officeDocument/2006/relationships/hyperlink" Target="https://app.clickup.com/t/86agjaf1b" TargetMode="External"/><Relationship Id="rId570" Type="http://schemas.openxmlformats.org/officeDocument/2006/relationships/hyperlink" Target="https://app.clickup.com/t/17tpepcprje" TargetMode="External"/><Relationship Id="rId223" Type="http://schemas.openxmlformats.org/officeDocument/2006/relationships/hyperlink" Target="https://app.clickup.com/t/86agetcvz" TargetMode="External"/><Relationship Id="rId430" Type="http://schemas.openxmlformats.org/officeDocument/2006/relationships/hyperlink" Target="https://app.clickup.com/t/86agckyvb" TargetMode="External"/><Relationship Id="rId668" Type="http://schemas.openxmlformats.org/officeDocument/2006/relationships/hyperlink" Target="https://app.clickup.com/t/86aj0advy" TargetMode="External"/><Relationship Id="rId875" Type="http://schemas.openxmlformats.org/officeDocument/2006/relationships/hyperlink" Target="https://app.clickup.com/t/86aj7e6r6" TargetMode="External"/><Relationship Id="rId18" Type="http://schemas.openxmlformats.org/officeDocument/2006/relationships/hyperlink" Target="https://app.clickup.com/t/86aj7bmyf" TargetMode="External"/><Relationship Id="rId528" Type="http://schemas.openxmlformats.org/officeDocument/2006/relationships/hyperlink" Target="https://app.clickup.com/t/86agdxrev" TargetMode="External"/><Relationship Id="rId735" Type="http://schemas.openxmlformats.org/officeDocument/2006/relationships/hyperlink" Target="https://app.clickup.com/t/86adcf354" TargetMode="External"/><Relationship Id="rId942" Type="http://schemas.openxmlformats.org/officeDocument/2006/relationships/hyperlink" Target="https://app.clickup.com/t/86agchhar" TargetMode="External"/><Relationship Id="rId167" Type="http://schemas.openxmlformats.org/officeDocument/2006/relationships/hyperlink" Target="https://app.clickup.com/t/17tpepcggu2" TargetMode="External"/><Relationship Id="rId374" Type="http://schemas.openxmlformats.org/officeDocument/2006/relationships/hyperlink" Target="https://app.clickup.com/t/17tpepct4c4" TargetMode="External"/><Relationship Id="rId581" Type="http://schemas.openxmlformats.org/officeDocument/2006/relationships/hyperlink" Target="https://app.clickup.com/t/86aj8171z" TargetMode="External"/><Relationship Id="rId71" Type="http://schemas.openxmlformats.org/officeDocument/2006/relationships/hyperlink" Target="https://app.clickup.com/t/86aght78g" TargetMode="External"/><Relationship Id="rId234" Type="http://schemas.openxmlformats.org/officeDocument/2006/relationships/hyperlink" Target="https://app.clickup.com/t/17tpepcdm34" TargetMode="External"/><Relationship Id="rId679" Type="http://schemas.openxmlformats.org/officeDocument/2006/relationships/hyperlink" Target="https://app.clickup.com/t/86agede4b" TargetMode="External"/><Relationship Id="rId802" Type="http://schemas.openxmlformats.org/officeDocument/2006/relationships/hyperlink" Target="https://app.clickup.com/t/17tpepcpu27" TargetMode="External"/><Relationship Id="rId886" Type="http://schemas.openxmlformats.org/officeDocument/2006/relationships/hyperlink" Target="https://app.clickup.com/t/86aj81749" TargetMode="External"/><Relationship Id="rId2" Type="http://schemas.openxmlformats.org/officeDocument/2006/relationships/hyperlink" Target="https://app.clickup.com/t/86acmweg8" TargetMode="External"/><Relationship Id="rId29" Type="http://schemas.openxmlformats.org/officeDocument/2006/relationships/hyperlink" Target="https://app.clickup.com/t/86agja5mq" TargetMode="External"/><Relationship Id="rId441" Type="http://schemas.openxmlformats.org/officeDocument/2006/relationships/hyperlink" Target="https://app.clickup.com/t/86acmxhx6" TargetMode="External"/><Relationship Id="rId539" Type="http://schemas.openxmlformats.org/officeDocument/2006/relationships/hyperlink" Target="https://app.clickup.com/t/86adcfaum" TargetMode="External"/><Relationship Id="rId746" Type="http://schemas.openxmlformats.org/officeDocument/2006/relationships/hyperlink" Target="https://app.clickup.com/t/86ahyehpb" TargetMode="External"/><Relationship Id="rId178" Type="http://schemas.openxmlformats.org/officeDocument/2006/relationships/hyperlink" Target="https://app.clickup.com/t/86aj7nzuw" TargetMode="External"/><Relationship Id="rId301" Type="http://schemas.openxmlformats.org/officeDocument/2006/relationships/hyperlink" Target="https://app.clickup.com/t/17tpepcghcc" TargetMode="External"/><Relationship Id="rId953" Type="http://schemas.openxmlformats.org/officeDocument/2006/relationships/hyperlink" Target="https://app.clickup.com/t/86acmxm3a" TargetMode="External"/><Relationship Id="rId82" Type="http://schemas.openxmlformats.org/officeDocument/2006/relationships/hyperlink" Target="https://app.clickup.com/t/17tpepcqf7n" TargetMode="External"/><Relationship Id="rId385" Type="http://schemas.openxmlformats.org/officeDocument/2006/relationships/hyperlink" Target="https://app.clickup.com/t/86aj7aaav" TargetMode="External"/><Relationship Id="rId592" Type="http://schemas.openxmlformats.org/officeDocument/2006/relationships/hyperlink" Target="https://app.clickup.com/t/86aj7cq1g" TargetMode="External"/><Relationship Id="rId606" Type="http://schemas.openxmlformats.org/officeDocument/2006/relationships/hyperlink" Target="https://app.clickup.com/t/86agety19" TargetMode="External"/><Relationship Id="rId813" Type="http://schemas.openxmlformats.org/officeDocument/2006/relationships/hyperlink" Target="https://app.clickup.com/t/86acmxgcm" TargetMode="External"/><Relationship Id="rId245" Type="http://schemas.openxmlformats.org/officeDocument/2006/relationships/hyperlink" Target="https://app.clickup.com/t/17tpepcdm35" TargetMode="External"/><Relationship Id="rId452" Type="http://schemas.openxmlformats.org/officeDocument/2006/relationships/hyperlink" Target="https://app.clickup.com/t/86agetqrv" TargetMode="External"/><Relationship Id="rId897" Type="http://schemas.openxmlformats.org/officeDocument/2006/relationships/hyperlink" Target="https://app.clickup.com/t/17tpepcgtk0" TargetMode="External"/><Relationship Id="rId105" Type="http://schemas.openxmlformats.org/officeDocument/2006/relationships/hyperlink" Target="https://app.clickup.com/t/86aghrgy4" TargetMode="External"/><Relationship Id="rId312" Type="http://schemas.openxmlformats.org/officeDocument/2006/relationships/hyperlink" Target="https://app.clickup.com/t/17tpepcprj5" TargetMode="External"/><Relationship Id="rId757" Type="http://schemas.openxmlformats.org/officeDocument/2006/relationships/hyperlink" Target="https://app.clickup.com/t/86aj7nmng" TargetMode="External"/><Relationship Id="rId964" Type="http://schemas.openxmlformats.org/officeDocument/2006/relationships/hyperlink" Target="https://app.clickup.com/t/86agdw10g" TargetMode="External"/><Relationship Id="rId93" Type="http://schemas.openxmlformats.org/officeDocument/2006/relationships/hyperlink" Target="https://app.clickup.com/t/86acmkafr" TargetMode="External"/><Relationship Id="rId189" Type="http://schemas.openxmlformats.org/officeDocument/2006/relationships/hyperlink" Target="https://app.clickup.com/t/17tpepct4c6" TargetMode="External"/><Relationship Id="rId396" Type="http://schemas.openxmlformats.org/officeDocument/2006/relationships/hyperlink" Target="https://app.clickup.com/t/17tpepcpr2q" TargetMode="External"/><Relationship Id="rId617" Type="http://schemas.openxmlformats.org/officeDocument/2006/relationships/hyperlink" Target="https://app.clickup.com/t/86ad74e3v" TargetMode="External"/><Relationship Id="rId824" Type="http://schemas.openxmlformats.org/officeDocument/2006/relationships/hyperlink" Target="https://app.clickup.com/t/17tpepcgtap" TargetMode="External"/><Relationship Id="rId256" Type="http://schemas.openxmlformats.org/officeDocument/2006/relationships/hyperlink" Target="https://app.clickup.com/t/86agjadkt" TargetMode="External"/><Relationship Id="rId463" Type="http://schemas.openxmlformats.org/officeDocument/2006/relationships/hyperlink" Target="https://app.clickup.com/t/86agety0v" TargetMode="External"/><Relationship Id="rId670" Type="http://schemas.openxmlformats.org/officeDocument/2006/relationships/hyperlink" Target="https://app.clickup.com/t/86ahckp01" TargetMode="External"/><Relationship Id="rId116" Type="http://schemas.openxmlformats.org/officeDocument/2006/relationships/hyperlink" Target="https://app.clickup.com/t/86ahhrzff" TargetMode="External"/><Relationship Id="rId323" Type="http://schemas.openxmlformats.org/officeDocument/2006/relationships/hyperlink" Target="https://app.clickup.com/t/86agety1h" TargetMode="External"/><Relationship Id="rId530" Type="http://schemas.openxmlformats.org/officeDocument/2006/relationships/hyperlink" Target="https://app.clickup.com/t/17tpepcgwhu" TargetMode="External"/><Relationship Id="rId768" Type="http://schemas.openxmlformats.org/officeDocument/2006/relationships/hyperlink" Target="https://app.clickup.com/t/17tpepcgq44" TargetMode="External"/><Relationship Id="rId975" Type="http://schemas.openxmlformats.org/officeDocument/2006/relationships/hyperlink" Target="https://app.clickup.com/t/86akm8zd4" TargetMode="External"/><Relationship Id="rId20" Type="http://schemas.openxmlformats.org/officeDocument/2006/relationships/hyperlink" Target="https://app.clickup.com/t/86agpfvd9" TargetMode="External"/><Relationship Id="rId628" Type="http://schemas.openxmlformats.org/officeDocument/2006/relationships/hyperlink" Target="https://app.clickup.com/t/17tpepcgkxn" TargetMode="External"/><Relationship Id="rId835" Type="http://schemas.openxmlformats.org/officeDocument/2006/relationships/hyperlink" Target="https://app.clickup.com/t/86agbca5m" TargetMode="External"/><Relationship Id="rId267" Type="http://schemas.openxmlformats.org/officeDocument/2006/relationships/hyperlink" Target="https://app.clickup.com/t/86aghcynm" TargetMode="External"/><Relationship Id="rId474" Type="http://schemas.openxmlformats.org/officeDocument/2006/relationships/hyperlink" Target="https://app.clickup.com/t/17tpepcgkp5" TargetMode="External"/><Relationship Id="rId127" Type="http://schemas.openxmlformats.org/officeDocument/2006/relationships/hyperlink" Target="https://app.clickup.com/t/17tpepcprk6" TargetMode="External"/><Relationship Id="rId681" Type="http://schemas.openxmlformats.org/officeDocument/2006/relationships/hyperlink" Target="https://app.clickup.com/t/86agdxtkx" TargetMode="External"/><Relationship Id="rId779" Type="http://schemas.openxmlformats.org/officeDocument/2006/relationships/hyperlink" Target="https://app.clickup.com/t/86aj8173t" TargetMode="External"/><Relationship Id="rId902" Type="http://schemas.openxmlformats.org/officeDocument/2006/relationships/hyperlink" Target="https://app.clickup.com/t/86adcf7gx" TargetMode="External"/><Relationship Id="rId31" Type="http://schemas.openxmlformats.org/officeDocument/2006/relationships/hyperlink" Target="https://app.clickup.com/t/86aj7nzvj" TargetMode="External"/><Relationship Id="rId334" Type="http://schemas.openxmlformats.org/officeDocument/2006/relationships/hyperlink" Target="https://app.clickup.com/t/17tpepcdam9" TargetMode="External"/><Relationship Id="rId541" Type="http://schemas.openxmlformats.org/officeDocument/2006/relationships/hyperlink" Target="https://app.clickup.com/t/86ajbujx8" TargetMode="External"/><Relationship Id="rId639" Type="http://schemas.openxmlformats.org/officeDocument/2006/relationships/hyperlink" Target="https://app.clickup.com/t/86aghuytx" TargetMode="External"/><Relationship Id="rId180" Type="http://schemas.openxmlformats.org/officeDocument/2006/relationships/hyperlink" Target="https://app.clickup.com/t/86aj7nzub" TargetMode="External"/><Relationship Id="rId278" Type="http://schemas.openxmlformats.org/officeDocument/2006/relationships/hyperlink" Target="https://app.clickup.com/t/86aghv5h3" TargetMode="External"/><Relationship Id="rId401" Type="http://schemas.openxmlformats.org/officeDocument/2006/relationships/hyperlink" Target="https://app.clickup.com/t/86agc6tj9" TargetMode="External"/><Relationship Id="rId846" Type="http://schemas.openxmlformats.org/officeDocument/2006/relationships/hyperlink" Target="https://app.clickup.com/t/86ah417fr" TargetMode="External"/><Relationship Id="rId485" Type="http://schemas.openxmlformats.org/officeDocument/2006/relationships/hyperlink" Target="https://app.clickup.com/t/86acvyp72" TargetMode="External"/><Relationship Id="rId692" Type="http://schemas.openxmlformats.org/officeDocument/2006/relationships/hyperlink" Target="https://app.clickup.com/t/86acmkd4t" TargetMode="External"/><Relationship Id="rId706" Type="http://schemas.openxmlformats.org/officeDocument/2006/relationships/hyperlink" Target="https://app.clickup.com/t/17tpepcdg1x" TargetMode="External"/><Relationship Id="rId913" Type="http://schemas.openxmlformats.org/officeDocument/2006/relationships/hyperlink" Target="https://app.clickup.com/t/86aghgbw4" TargetMode="External"/><Relationship Id="rId42" Type="http://schemas.openxmlformats.org/officeDocument/2006/relationships/hyperlink" Target="https://app.clickup.com/t/86ajrpdpt" TargetMode="External"/><Relationship Id="rId138" Type="http://schemas.openxmlformats.org/officeDocument/2006/relationships/hyperlink" Target="https://app.clickup.com/t/17tpepcgkkw" TargetMode="External"/><Relationship Id="rId345" Type="http://schemas.openxmlformats.org/officeDocument/2006/relationships/hyperlink" Target="https://app.clickup.com/t/86aght7ae" TargetMode="External"/><Relationship Id="rId552" Type="http://schemas.openxmlformats.org/officeDocument/2006/relationships/hyperlink" Target="https://app.clickup.com/t/86aghcymq" TargetMode="External"/><Relationship Id="rId191" Type="http://schemas.openxmlformats.org/officeDocument/2006/relationships/hyperlink" Target="https://app.clickup.com/t/17tpepcpu03" TargetMode="External"/><Relationship Id="rId205" Type="http://schemas.openxmlformats.org/officeDocument/2006/relationships/hyperlink" Target="https://app.clickup.com/t/17tpepcgmj8" TargetMode="External"/><Relationship Id="rId412" Type="http://schemas.openxmlformats.org/officeDocument/2006/relationships/hyperlink" Target="https://app.clickup.com/t/86acmkcv9" TargetMode="External"/><Relationship Id="rId857" Type="http://schemas.openxmlformats.org/officeDocument/2006/relationships/hyperlink" Target="https://app.clickup.com/t/86akbgdun" TargetMode="External"/><Relationship Id="rId289" Type="http://schemas.openxmlformats.org/officeDocument/2006/relationships/hyperlink" Target="https://app.clickup.com/t/17tpepcdahb" TargetMode="External"/><Relationship Id="rId496" Type="http://schemas.openxmlformats.org/officeDocument/2006/relationships/hyperlink" Target="https://app.clickup.com/t/86agetqrc" TargetMode="External"/><Relationship Id="rId717" Type="http://schemas.openxmlformats.org/officeDocument/2006/relationships/hyperlink" Target="https://app.clickup.com/t/86aghrgym" TargetMode="External"/><Relationship Id="rId924" Type="http://schemas.openxmlformats.org/officeDocument/2006/relationships/hyperlink" Target="https://app.clickup.com/t/86agawfbr" TargetMode="External"/><Relationship Id="rId53" Type="http://schemas.openxmlformats.org/officeDocument/2006/relationships/hyperlink" Target="https://app.clickup.com/t/86agen80g" TargetMode="External"/><Relationship Id="rId149" Type="http://schemas.openxmlformats.org/officeDocument/2006/relationships/hyperlink" Target="https://app.clickup.com/t/86aeukbue" TargetMode="External"/><Relationship Id="rId356" Type="http://schemas.openxmlformats.org/officeDocument/2006/relationships/hyperlink" Target="https://app.clickup.com/t/86aj7bmyp" TargetMode="External"/><Relationship Id="rId563" Type="http://schemas.openxmlformats.org/officeDocument/2006/relationships/hyperlink" Target="https://app.clickup.com/t/86akbfyzr" TargetMode="External"/><Relationship Id="rId770" Type="http://schemas.openxmlformats.org/officeDocument/2006/relationships/hyperlink" Target="https://app.clickup.com/t/86aj7bmyy" TargetMode="External"/><Relationship Id="rId216" Type="http://schemas.openxmlformats.org/officeDocument/2006/relationships/hyperlink" Target="https://app.clickup.com/t/86agedzgg" TargetMode="External"/><Relationship Id="rId423" Type="http://schemas.openxmlformats.org/officeDocument/2006/relationships/hyperlink" Target="https://app.clickup.com/t/86age41ph" TargetMode="External"/><Relationship Id="rId868" Type="http://schemas.openxmlformats.org/officeDocument/2006/relationships/hyperlink" Target="https://app.clickup.com/t/86aj7nmnf" TargetMode="External"/><Relationship Id="rId630" Type="http://schemas.openxmlformats.org/officeDocument/2006/relationships/hyperlink" Target="https://app.clickup.com/t/86ah4bx8y" TargetMode="External"/><Relationship Id="rId728" Type="http://schemas.openxmlformats.org/officeDocument/2006/relationships/hyperlink" Target="https://app.clickup.com/t/17tpepcpr2p" TargetMode="External"/><Relationship Id="rId935" Type="http://schemas.openxmlformats.org/officeDocument/2006/relationships/hyperlink" Target="https://app.clickup.com/t/86agedhra" TargetMode="External"/><Relationship Id="rId64" Type="http://schemas.openxmlformats.org/officeDocument/2006/relationships/hyperlink" Target="https://app.clickup.com/t/86agc5vxc" TargetMode="External"/><Relationship Id="rId367" Type="http://schemas.openxmlformats.org/officeDocument/2006/relationships/hyperlink" Target="https://app.clickup.com/t/86aghcym9" TargetMode="External"/><Relationship Id="rId574" Type="http://schemas.openxmlformats.org/officeDocument/2006/relationships/hyperlink" Target="https://app.clickup.com/t/86ak8xkjb" TargetMode="External"/><Relationship Id="rId227" Type="http://schemas.openxmlformats.org/officeDocument/2006/relationships/hyperlink" Target="https://app.clickup.com/t/86agegcnh" TargetMode="External"/><Relationship Id="rId781" Type="http://schemas.openxmlformats.org/officeDocument/2006/relationships/hyperlink" Target="https://app.clickup.com/t/86agj0x75" TargetMode="External"/><Relationship Id="rId879" Type="http://schemas.openxmlformats.org/officeDocument/2006/relationships/hyperlink" Target="https://app.clickup.com/t/86addjrtr" TargetMode="External"/><Relationship Id="rId434" Type="http://schemas.openxmlformats.org/officeDocument/2006/relationships/hyperlink" Target="https://app.clickup.com/t/86agchn8u" TargetMode="External"/><Relationship Id="rId641" Type="http://schemas.openxmlformats.org/officeDocument/2006/relationships/hyperlink" Target="https://app.clickup.com/t/86agem633" TargetMode="External"/><Relationship Id="rId739" Type="http://schemas.openxmlformats.org/officeDocument/2006/relationships/hyperlink" Target="https://app.clickup.com/t/86ahyemja" TargetMode="External"/><Relationship Id="rId280" Type="http://schemas.openxmlformats.org/officeDocument/2006/relationships/hyperlink" Target="https://app.clickup.com/t/86aghmk3u" TargetMode="External"/><Relationship Id="rId501" Type="http://schemas.openxmlformats.org/officeDocument/2006/relationships/hyperlink" Target="https://app.clickup.com/t/86agety1m" TargetMode="External"/><Relationship Id="rId946" Type="http://schemas.openxmlformats.org/officeDocument/2006/relationships/hyperlink" Target="https://app.clickup.com/t/86aeukbv3" TargetMode="External"/><Relationship Id="rId75" Type="http://schemas.openxmlformats.org/officeDocument/2006/relationships/hyperlink" Target="https://app.clickup.com/t/86ahxbzgc" TargetMode="External"/><Relationship Id="rId140" Type="http://schemas.openxmlformats.org/officeDocument/2006/relationships/hyperlink" Target="https://app.clickup.com/t/17tpepcenrt" TargetMode="External"/><Relationship Id="rId378" Type="http://schemas.openxmlformats.org/officeDocument/2006/relationships/hyperlink" Target="https://app.clickup.com/t/86aj7etg6" TargetMode="External"/><Relationship Id="rId585" Type="http://schemas.openxmlformats.org/officeDocument/2006/relationships/hyperlink" Target="https://app.clickup.com/t/86aj7etga" TargetMode="External"/><Relationship Id="rId792" Type="http://schemas.openxmlformats.org/officeDocument/2006/relationships/hyperlink" Target="https://app.clickup.com/t/86adcf1y3" TargetMode="External"/><Relationship Id="rId806" Type="http://schemas.openxmlformats.org/officeDocument/2006/relationships/hyperlink" Target="https://app.clickup.com/t/17tpepcdg1w" TargetMode="External"/><Relationship Id="rId6" Type="http://schemas.openxmlformats.org/officeDocument/2006/relationships/hyperlink" Target="https://app.clickup.com/t/86aghkwdz" TargetMode="External"/><Relationship Id="rId238" Type="http://schemas.openxmlformats.org/officeDocument/2006/relationships/hyperlink" Target="https://app.clickup.com/t/86ahcknyy" TargetMode="External"/><Relationship Id="rId445" Type="http://schemas.openxmlformats.org/officeDocument/2006/relationships/hyperlink" Target="https://app.clickup.com/t/86aj7bqgp" TargetMode="External"/><Relationship Id="rId652" Type="http://schemas.openxmlformats.org/officeDocument/2006/relationships/hyperlink" Target="https://app.clickup.com/t/86aghpd41" TargetMode="External"/><Relationship Id="rId291" Type="http://schemas.openxmlformats.org/officeDocument/2006/relationships/hyperlink" Target="https://app.clickup.com/t/86aghvdf2" TargetMode="External"/><Relationship Id="rId305" Type="http://schemas.openxmlformats.org/officeDocument/2006/relationships/hyperlink" Target="https://app.clickup.com/t/17tpepcpu1c" TargetMode="External"/><Relationship Id="rId512" Type="http://schemas.openxmlformats.org/officeDocument/2006/relationships/hyperlink" Target="https://app.clickup.com/t/86agnzf0x" TargetMode="External"/><Relationship Id="rId957" Type="http://schemas.openxmlformats.org/officeDocument/2006/relationships/hyperlink" Target="https://app.clickup.com/t/86acmwemz" TargetMode="External"/><Relationship Id="rId86" Type="http://schemas.openxmlformats.org/officeDocument/2006/relationships/hyperlink" Target="https://app.clickup.com/t/17tpepct4cj" TargetMode="External"/><Relationship Id="rId151" Type="http://schemas.openxmlformats.org/officeDocument/2006/relationships/hyperlink" Target="https://app.clickup.com/t/86acmwat3" TargetMode="External"/><Relationship Id="rId389" Type="http://schemas.openxmlformats.org/officeDocument/2006/relationships/hyperlink" Target="https://app.clickup.com/t/17tpepcdaha" TargetMode="External"/><Relationship Id="rId596" Type="http://schemas.openxmlformats.org/officeDocument/2006/relationships/hyperlink" Target="https://app.clickup.com/t/86agc53uk" TargetMode="External"/><Relationship Id="rId817" Type="http://schemas.openxmlformats.org/officeDocument/2006/relationships/hyperlink" Target="https://app.clickup.com/t/86agen7zh" TargetMode="External"/><Relationship Id="rId249" Type="http://schemas.openxmlformats.org/officeDocument/2006/relationships/hyperlink" Target="https://app.clickup.com/t/17tpepcgphn" TargetMode="External"/><Relationship Id="rId456" Type="http://schemas.openxmlformats.org/officeDocument/2006/relationships/hyperlink" Target="https://app.clickup.com/t/86akbjp5q" TargetMode="External"/><Relationship Id="rId663" Type="http://schemas.openxmlformats.org/officeDocument/2006/relationships/hyperlink" Target="https://app.clickup.com/t/86agerve7" TargetMode="External"/><Relationship Id="rId870" Type="http://schemas.openxmlformats.org/officeDocument/2006/relationships/hyperlink" Target="https://app.clickup.com/t/86aj7ehkf" TargetMode="External"/><Relationship Id="rId13" Type="http://schemas.openxmlformats.org/officeDocument/2006/relationships/hyperlink" Target="https://app.clickup.com/t/17tpepcddc7" TargetMode="External"/><Relationship Id="rId109" Type="http://schemas.openxmlformats.org/officeDocument/2006/relationships/hyperlink" Target="https://app.clickup.com/t/86ahht4ef" TargetMode="External"/><Relationship Id="rId316" Type="http://schemas.openxmlformats.org/officeDocument/2006/relationships/hyperlink" Target="https://app.clickup.com/t/86aghrgz0" TargetMode="External"/><Relationship Id="rId523" Type="http://schemas.openxmlformats.org/officeDocument/2006/relationships/hyperlink" Target="https://app.clickup.com/t/86aj7nzug" TargetMode="External"/><Relationship Id="rId968" Type="http://schemas.openxmlformats.org/officeDocument/2006/relationships/hyperlink" Target="https://app.clickup.com/t/86aghjngc" TargetMode="External"/><Relationship Id="rId97" Type="http://schemas.openxmlformats.org/officeDocument/2006/relationships/hyperlink" Target="https://app.clickup.com/t/86ahdhy4g" TargetMode="External"/><Relationship Id="rId730" Type="http://schemas.openxmlformats.org/officeDocument/2006/relationships/hyperlink" Target="https://app.clickup.com/t/86ak8xca8" TargetMode="External"/><Relationship Id="rId828" Type="http://schemas.openxmlformats.org/officeDocument/2006/relationships/hyperlink" Target="https://app.clickup.com/t/86akm8zbm" TargetMode="External"/><Relationship Id="rId162" Type="http://schemas.openxmlformats.org/officeDocument/2006/relationships/hyperlink" Target="https://app.clickup.com/t/86agetqtf" TargetMode="External"/><Relationship Id="rId467" Type="http://schemas.openxmlformats.org/officeDocument/2006/relationships/hyperlink" Target="https://app.clickup.com/t/17tpepcenr4" TargetMode="External"/><Relationship Id="rId674" Type="http://schemas.openxmlformats.org/officeDocument/2006/relationships/hyperlink" Target="https://app.clickup.com/t/86agrc5w7" TargetMode="External"/><Relationship Id="rId881" Type="http://schemas.openxmlformats.org/officeDocument/2006/relationships/hyperlink" Target="https://app.clickup.com/t/86ak8wudk" TargetMode="External"/><Relationship Id="rId979" Type="http://schemas.openxmlformats.org/officeDocument/2006/relationships/hyperlink" Target="https://app.clickup.com/t/17tpepcdk0n" TargetMode="External"/><Relationship Id="rId24" Type="http://schemas.openxmlformats.org/officeDocument/2006/relationships/hyperlink" Target="https://app.clickup.com/t/86ahket8w" TargetMode="External"/><Relationship Id="rId327" Type="http://schemas.openxmlformats.org/officeDocument/2006/relationships/hyperlink" Target="https://app.clickup.com/t/86aget7yp" TargetMode="External"/><Relationship Id="rId534" Type="http://schemas.openxmlformats.org/officeDocument/2006/relationships/hyperlink" Target="https://app.clickup.com/t/86aged4ja" TargetMode="External"/><Relationship Id="rId741" Type="http://schemas.openxmlformats.org/officeDocument/2006/relationships/hyperlink" Target="https://app.clickup.com/t/86ahyemhz" TargetMode="External"/><Relationship Id="rId839" Type="http://schemas.openxmlformats.org/officeDocument/2006/relationships/hyperlink" Target="https://app.clickup.com/t/86agehw29" TargetMode="External"/><Relationship Id="rId173" Type="http://schemas.openxmlformats.org/officeDocument/2006/relationships/hyperlink" Target="https://app.clickup.com/t/86aj7nzv8" TargetMode="External"/><Relationship Id="rId380" Type="http://schemas.openxmlformats.org/officeDocument/2006/relationships/hyperlink" Target="https://app.clickup.com/t/86agety1f" TargetMode="External"/><Relationship Id="rId601" Type="http://schemas.openxmlformats.org/officeDocument/2006/relationships/hyperlink" Target="https://app.clickup.com/t/86acmkafc" TargetMode="External"/><Relationship Id="rId240" Type="http://schemas.openxmlformats.org/officeDocument/2006/relationships/hyperlink" Target="https://app.clickup.com/t/17tpepcgpg0" TargetMode="External"/><Relationship Id="rId478" Type="http://schemas.openxmlformats.org/officeDocument/2006/relationships/hyperlink" Target="https://app.clickup.com/t/86agetqr9" TargetMode="External"/><Relationship Id="rId685" Type="http://schemas.openxmlformats.org/officeDocument/2006/relationships/hyperlink" Target="https://app.clickup.com/t/86agdw498" TargetMode="External"/><Relationship Id="rId892" Type="http://schemas.openxmlformats.org/officeDocument/2006/relationships/hyperlink" Target="https://app.clickup.com/t/86agj1576" TargetMode="External"/><Relationship Id="rId906" Type="http://schemas.openxmlformats.org/officeDocument/2006/relationships/hyperlink" Target="https://app.clickup.com/t/86akm8zbz" TargetMode="External"/><Relationship Id="rId35" Type="http://schemas.openxmlformats.org/officeDocument/2006/relationships/hyperlink" Target="https://app.clickup.com/t/86aj7nzum" TargetMode="External"/><Relationship Id="rId100" Type="http://schemas.openxmlformats.org/officeDocument/2006/relationships/hyperlink" Target="https://app.clickup.com/t/86agety10" TargetMode="External"/><Relationship Id="rId338" Type="http://schemas.openxmlformats.org/officeDocument/2006/relationships/hyperlink" Target="https://app.clickup.com/t/86aj7b0uu" TargetMode="External"/><Relationship Id="rId545" Type="http://schemas.openxmlformats.org/officeDocument/2006/relationships/hyperlink" Target="https://app.clickup.com/t/17tpepct4cf" TargetMode="External"/><Relationship Id="rId752" Type="http://schemas.openxmlformats.org/officeDocument/2006/relationships/hyperlink" Target="https://app.clickup.com/t/17tpepcgq9c" TargetMode="External"/><Relationship Id="rId184" Type="http://schemas.openxmlformats.org/officeDocument/2006/relationships/hyperlink" Target="https://app.clickup.com/t/86aj7nztv" TargetMode="External"/><Relationship Id="rId391" Type="http://schemas.openxmlformats.org/officeDocument/2006/relationships/hyperlink" Target="https://app.clickup.com/t/86ah41e1f" TargetMode="External"/><Relationship Id="rId405" Type="http://schemas.openxmlformats.org/officeDocument/2006/relationships/hyperlink" Target="https://app.clickup.com/t/86agetcvg" TargetMode="External"/><Relationship Id="rId612" Type="http://schemas.openxmlformats.org/officeDocument/2006/relationships/hyperlink" Target="https://app.clickup.com/t/86aj7bqg6" TargetMode="External"/><Relationship Id="rId251" Type="http://schemas.openxmlformats.org/officeDocument/2006/relationships/hyperlink" Target="https://app.clickup.com/t/86agetcvd" TargetMode="External"/><Relationship Id="rId489" Type="http://schemas.openxmlformats.org/officeDocument/2006/relationships/hyperlink" Target="https://app.clickup.com/t/86agjaf1q" TargetMode="External"/><Relationship Id="rId696" Type="http://schemas.openxmlformats.org/officeDocument/2006/relationships/hyperlink" Target="https://app.clickup.com/t/86aghm6ga" TargetMode="External"/><Relationship Id="rId917" Type="http://schemas.openxmlformats.org/officeDocument/2006/relationships/hyperlink" Target="https://app.clickup.com/t/86aghpd22" TargetMode="External"/><Relationship Id="rId46" Type="http://schemas.openxmlformats.org/officeDocument/2006/relationships/hyperlink" Target="https://app.clickup.com/t/17tpepcprk3" TargetMode="External"/><Relationship Id="rId349" Type="http://schemas.openxmlformats.org/officeDocument/2006/relationships/hyperlink" Target="https://app.clickup.com/t/86ak1px6x" TargetMode="External"/><Relationship Id="rId556" Type="http://schemas.openxmlformats.org/officeDocument/2006/relationships/hyperlink" Target="https://app.clickup.com/t/86aghjy3x" TargetMode="External"/><Relationship Id="rId763" Type="http://schemas.openxmlformats.org/officeDocument/2006/relationships/hyperlink" Target="https://app.clickup.com/t/86aj7cq1k" TargetMode="External"/><Relationship Id="rId111" Type="http://schemas.openxmlformats.org/officeDocument/2006/relationships/hyperlink" Target="https://app.clickup.com/t/86akm8zct" TargetMode="External"/><Relationship Id="rId195" Type="http://schemas.openxmlformats.org/officeDocument/2006/relationships/hyperlink" Target="https://app.clickup.com/t/86ahckp0f" TargetMode="External"/><Relationship Id="rId209" Type="http://schemas.openxmlformats.org/officeDocument/2006/relationships/hyperlink" Target="https://app.clickup.com/t/86aj7b0ue" TargetMode="External"/><Relationship Id="rId416" Type="http://schemas.openxmlformats.org/officeDocument/2006/relationships/hyperlink" Target="https://app.clickup.com/t/86ahckp0m" TargetMode="External"/><Relationship Id="rId970" Type="http://schemas.openxmlformats.org/officeDocument/2006/relationships/hyperlink" Target="https://app.clickup.com/t/86aget0h1" TargetMode="External"/><Relationship Id="rId623" Type="http://schemas.openxmlformats.org/officeDocument/2006/relationships/hyperlink" Target="https://app.clickup.com/t/17tpepcpu14" TargetMode="External"/><Relationship Id="rId830" Type="http://schemas.openxmlformats.org/officeDocument/2006/relationships/hyperlink" Target="https://app.clickup.com/t/17tpepcdg1y" TargetMode="External"/><Relationship Id="rId928" Type="http://schemas.openxmlformats.org/officeDocument/2006/relationships/hyperlink" Target="https://app.clickup.com/t/17tpepcgtjz" TargetMode="External"/><Relationship Id="rId57" Type="http://schemas.openxmlformats.org/officeDocument/2006/relationships/hyperlink" Target="https://app.clickup.com/t/86aghm6g1" TargetMode="External"/><Relationship Id="rId262" Type="http://schemas.openxmlformats.org/officeDocument/2006/relationships/hyperlink" Target="https://app.clickup.com/t/86ahkethw" TargetMode="External"/><Relationship Id="rId567" Type="http://schemas.openxmlformats.org/officeDocument/2006/relationships/hyperlink" Target="https://app.clickup.com/t/86aj81twe" TargetMode="External"/><Relationship Id="rId122" Type="http://schemas.openxmlformats.org/officeDocument/2006/relationships/hyperlink" Target="https://app.clickup.com/t/86ajrpcp6" TargetMode="External"/><Relationship Id="rId774" Type="http://schemas.openxmlformats.org/officeDocument/2006/relationships/hyperlink" Target="https://app.clickup.com/t/86aj81q32" TargetMode="External"/><Relationship Id="rId427" Type="http://schemas.openxmlformats.org/officeDocument/2006/relationships/hyperlink" Target="https://app.clickup.com/t/86agd85nf" TargetMode="External"/><Relationship Id="rId634" Type="http://schemas.openxmlformats.org/officeDocument/2006/relationships/hyperlink" Target="https://app.clickup.com/t/86agd85nm" TargetMode="External"/><Relationship Id="rId841" Type="http://schemas.openxmlformats.org/officeDocument/2006/relationships/hyperlink" Target="https://app.clickup.com/t/86aged3vw" TargetMode="External"/><Relationship Id="rId273" Type="http://schemas.openxmlformats.org/officeDocument/2006/relationships/hyperlink" Target="https://app.clickup.com/t/17tpepcpr29" TargetMode="External"/><Relationship Id="rId480" Type="http://schemas.openxmlformats.org/officeDocument/2006/relationships/hyperlink" Target="https://app.clickup.com/t/86agc5rhm" TargetMode="External"/><Relationship Id="rId701" Type="http://schemas.openxmlformats.org/officeDocument/2006/relationships/hyperlink" Target="https://app.clickup.com/t/86adcfntn" TargetMode="External"/><Relationship Id="rId939" Type="http://schemas.openxmlformats.org/officeDocument/2006/relationships/hyperlink" Target="https://app.clickup.com/t/86agdxh2e" TargetMode="External"/><Relationship Id="rId68" Type="http://schemas.openxmlformats.org/officeDocument/2006/relationships/hyperlink" Target="https://app.clickup.com/t/86akm8zca" TargetMode="External"/><Relationship Id="rId133" Type="http://schemas.openxmlformats.org/officeDocument/2006/relationships/hyperlink" Target="https://app.clickup.com/t/86aghccqj" TargetMode="External"/><Relationship Id="rId340" Type="http://schemas.openxmlformats.org/officeDocument/2006/relationships/hyperlink" Target="https://app.clickup.com/t/17tpepcpr2v" TargetMode="External"/><Relationship Id="rId578" Type="http://schemas.openxmlformats.org/officeDocument/2006/relationships/hyperlink" Target="https://app.clickup.com/t/86aj8175b" TargetMode="External"/><Relationship Id="rId785" Type="http://schemas.openxmlformats.org/officeDocument/2006/relationships/hyperlink" Target="https://app.clickup.com/t/86ahcknzv" TargetMode="External"/><Relationship Id="rId200" Type="http://schemas.openxmlformats.org/officeDocument/2006/relationships/hyperlink" Target="https://app.clickup.com/t/17tpepcpu02" TargetMode="External"/><Relationship Id="rId438" Type="http://schemas.openxmlformats.org/officeDocument/2006/relationships/hyperlink" Target="https://app.clickup.com/t/86acmwerr" TargetMode="External"/><Relationship Id="rId645" Type="http://schemas.openxmlformats.org/officeDocument/2006/relationships/hyperlink" Target="https://app.clickup.com/t/86agnz084" TargetMode="External"/><Relationship Id="rId852" Type="http://schemas.openxmlformats.org/officeDocument/2006/relationships/hyperlink" Target="https://app.clickup.com/t/86agen7yw" TargetMode="External"/><Relationship Id="rId284" Type="http://schemas.openxmlformats.org/officeDocument/2006/relationships/hyperlink" Target="https://app.clickup.com/t/86aghg303" TargetMode="External"/><Relationship Id="rId491" Type="http://schemas.openxmlformats.org/officeDocument/2006/relationships/hyperlink" Target="https://app.clickup.com/t/86agedkkn" TargetMode="External"/><Relationship Id="rId505" Type="http://schemas.openxmlformats.org/officeDocument/2006/relationships/hyperlink" Target="https://app.clickup.com/t/86aghvmvd" TargetMode="External"/><Relationship Id="rId712" Type="http://schemas.openxmlformats.org/officeDocument/2006/relationships/hyperlink" Target="https://app.clickup.com/t/86aghpd4y" TargetMode="External"/><Relationship Id="rId79" Type="http://schemas.openxmlformats.org/officeDocument/2006/relationships/hyperlink" Target="https://app.clickup.com/t/86akm8zde" TargetMode="External"/><Relationship Id="rId144" Type="http://schemas.openxmlformats.org/officeDocument/2006/relationships/hyperlink" Target="https://app.clickup.com/t/86aget0jj" TargetMode="External"/><Relationship Id="rId589" Type="http://schemas.openxmlformats.org/officeDocument/2006/relationships/hyperlink" Target="https://app.clickup.com/t/86aj7ehkp" TargetMode="External"/><Relationship Id="rId796" Type="http://schemas.openxmlformats.org/officeDocument/2006/relationships/hyperlink" Target="https://app.clickup.com/t/86akm8zea" TargetMode="External"/><Relationship Id="rId351" Type="http://schemas.openxmlformats.org/officeDocument/2006/relationships/hyperlink" Target="https://app.clickup.com/t/86ak1px25" TargetMode="External"/><Relationship Id="rId449" Type="http://schemas.openxmlformats.org/officeDocument/2006/relationships/hyperlink" Target="https://app.clickup.com/t/86aghnk69" TargetMode="External"/><Relationship Id="rId656" Type="http://schemas.openxmlformats.org/officeDocument/2006/relationships/hyperlink" Target="https://app.clickup.com/t/86aghnk58" TargetMode="External"/><Relationship Id="rId863" Type="http://schemas.openxmlformats.org/officeDocument/2006/relationships/hyperlink" Target="https://app.clickup.com/t/86aj809qv" TargetMode="External"/><Relationship Id="rId211" Type="http://schemas.openxmlformats.org/officeDocument/2006/relationships/hyperlink" Target="https://app.clickup.com/t/86ahrherk" TargetMode="External"/><Relationship Id="rId295" Type="http://schemas.openxmlformats.org/officeDocument/2006/relationships/hyperlink" Target="https://app.clickup.com/t/86aghvmum" TargetMode="External"/><Relationship Id="rId309" Type="http://schemas.openxmlformats.org/officeDocument/2006/relationships/hyperlink" Target="https://app.clickup.com/t/86ahckp1u" TargetMode="External"/><Relationship Id="rId516" Type="http://schemas.openxmlformats.org/officeDocument/2006/relationships/hyperlink" Target="https://app.clickup.com/t/86agdhgng" TargetMode="External"/><Relationship Id="rId723" Type="http://schemas.openxmlformats.org/officeDocument/2006/relationships/hyperlink" Target="https://app.clickup.com/t/86aj7bx9v" TargetMode="External"/><Relationship Id="rId930" Type="http://schemas.openxmlformats.org/officeDocument/2006/relationships/hyperlink" Target="https://app.clickup.com/t/86ajwdy4c" TargetMode="External"/><Relationship Id="rId155" Type="http://schemas.openxmlformats.org/officeDocument/2006/relationships/hyperlink" Target="https://app.clickup.com/t/86ahxby7r" TargetMode="External"/><Relationship Id="rId362" Type="http://schemas.openxmlformats.org/officeDocument/2006/relationships/hyperlink" Target="https://app.clickup.com/t/86ahckp2g" TargetMode="External"/><Relationship Id="rId222" Type="http://schemas.openxmlformats.org/officeDocument/2006/relationships/hyperlink" Target="https://app.clickup.com/t/86agb7nf0" TargetMode="External"/><Relationship Id="rId667" Type="http://schemas.openxmlformats.org/officeDocument/2006/relationships/hyperlink" Target="https://app.clickup.com/t/86agcx548" TargetMode="External"/><Relationship Id="rId874" Type="http://schemas.openxmlformats.org/officeDocument/2006/relationships/hyperlink" Target="https://app.clickup.com/t/86aj7edfx" TargetMode="External"/><Relationship Id="rId17" Type="http://schemas.openxmlformats.org/officeDocument/2006/relationships/hyperlink" Target="https://app.clickup.com/t/86aghvdeq" TargetMode="External"/><Relationship Id="rId527" Type="http://schemas.openxmlformats.org/officeDocument/2006/relationships/hyperlink" Target="https://app.clickup.com/t/86aged0jm" TargetMode="External"/><Relationship Id="rId734" Type="http://schemas.openxmlformats.org/officeDocument/2006/relationships/hyperlink" Target="https://app.clickup.com/t/86adcfc49" TargetMode="External"/><Relationship Id="rId941" Type="http://schemas.openxmlformats.org/officeDocument/2006/relationships/hyperlink" Target="https://app.clickup.com/t/86agcx36b" TargetMode="External"/><Relationship Id="rId70" Type="http://schemas.openxmlformats.org/officeDocument/2006/relationships/hyperlink" Target="https://app.clickup.com/t/17tpepcgpg2" TargetMode="External"/><Relationship Id="rId166" Type="http://schemas.openxmlformats.org/officeDocument/2006/relationships/hyperlink" Target="https://app.clickup.com/t/17tpepct4c7" TargetMode="External"/><Relationship Id="rId373" Type="http://schemas.openxmlformats.org/officeDocument/2006/relationships/hyperlink" Target="https://app.clickup.com/t/86aget7yr" TargetMode="External"/><Relationship Id="rId580" Type="http://schemas.openxmlformats.org/officeDocument/2006/relationships/hyperlink" Target="https://app.clickup.com/t/86aj8172y" TargetMode="External"/><Relationship Id="rId801" Type="http://schemas.openxmlformats.org/officeDocument/2006/relationships/hyperlink" Target="https://app.clickup.com/t/86agv0f9a" TargetMode="External"/><Relationship Id="rId1" Type="http://schemas.openxmlformats.org/officeDocument/2006/relationships/hyperlink" Target="https://app.clickup.com/t/86acvyn3f" TargetMode="External"/><Relationship Id="rId233" Type="http://schemas.openxmlformats.org/officeDocument/2006/relationships/hyperlink" Target="https://app.clickup.com/t/17tpepcent0" TargetMode="External"/><Relationship Id="rId440" Type="http://schemas.openxmlformats.org/officeDocument/2006/relationships/hyperlink" Target="https://app.clickup.com/t/86agcx35x" TargetMode="External"/><Relationship Id="rId678" Type="http://schemas.openxmlformats.org/officeDocument/2006/relationships/hyperlink" Target="https://app.clickup.com/t/86ageee52" TargetMode="External"/><Relationship Id="rId885" Type="http://schemas.openxmlformats.org/officeDocument/2006/relationships/hyperlink" Target="https://app.clickup.com/t/86aj8174y" TargetMode="External"/><Relationship Id="rId28" Type="http://schemas.openxmlformats.org/officeDocument/2006/relationships/hyperlink" Target="https://app.clickup.com/t/86ahrhbbm" TargetMode="External"/><Relationship Id="rId300" Type="http://schemas.openxmlformats.org/officeDocument/2006/relationships/hyperlink" Target="https://app.clickup.com/t/86aghrgxf" TargetMode="External"/><Relationship Id="rId538" Type="http://schemas.openxmlformats.org/officeDocument/2006/relationships/hyperlink" Target="https://app.clickup.com/t/86aew31gf" TargetMode="External"/><Relationship Id="rId745" Type="http://schemas.openxmlformats.org/officeDocument/2006/relationships/hyperlink" Target="https://app.clickup.com/t/86ahyehpf" TargetMode="External"/><Relationship Id="rId952" Type="http://schemas.openxmlformats.org/officeDocument/2006/relationships/hyperlink" Target="https://app.clickup.com/t/86acvxbw1" TargetMode="External"/><Relationship Id="rId81" Type="http://schemas.openxmlformats.org/officeDocument/2006/relationships/hyperlink" Target="https://app.clickup.com/t/86aghg2z4" TargetMode="External"/><Relationship Id="rId177" Type="http://schemas.openxmlformats.org/officeDocument/2006/relationships/hyperlink" Target="https://app.clickup.com/t/86aj7nzux" TargetMode="External"/><Relationship Id="rId384" Type="http://schemas.openxmlformats.org/officeDocument/2006/relationships/hyperlink" Target="https://app.clickup.com/t/86agety14" TargetMode="External"/><Relationship Id="rId591" Type="http://schemas.openxmlformats.org/officeDocument/2006/relationships/hyperlink" Target="https://app.clickup.com/t/86aj7e6rc" TargetMode="External"/><Relationship Id="rId605" Type="http://schemas.openxmlformats.org/officeDocument/2006/relationships/hyperlink" Target="https://app.clickup.com/t/86agva98y" TargetMode="External"/><Relationship Id="rId812" Type="http://schemas.openxmlformats.org/officeDocument/2006/relationships/hyperlink" Target="https://app.clickup.com/t/86acnggrc" TargetMode="External"/><Relationship Id="rId244" Type="http://schemas.openxmlformats.org/officeDocument/2006/relationships/hyperlink" Target="https://app.clickup.com/t/86aghd14n" TargetMode="External"/><Relationship Id="rId689" Type="http://schemas.openxmlformats.org/officeDocument/2006/relationships/hyperlink" Target="https://app.clickup.com/t/86aghvddk" TargetMode="External"/><Relationship Id="rId896" Type="http://schemas.openxmlformats.org/officeDocument/2006/relationships/hyperlink" Target="https://app.clickup.com/t/17tpepcprj3" TargetMode="External"/><Relationship Id="rId39" Type="http://schemas.openxmlformats.org/officeDocument/2006/relationships/hyperlink" Target="https://app.clickup.com/t/86aghvmva" TargetMode="External"/><Relationship Id="rId451" Type="http://schemas.openxmlformats.org/officeDocument/2006/relationships/hyperlink" Target="https://app.clickup.com/t/86aghg2ye" TargetMode="External"/><Relationship Id="rId549" Type="http://schemas.openxmlformats.org/officeDocument/2006/relationships/hyperlink" Target="https://app.clickup.com/t/86akm8zdm" TargetMode="External"/><Relationship Id="rId756" Type="http://schemas.openxmlformats.org/officeDocument/2006/relationships/hyperlink" Target="https://app.clickup.com/t/86aj802r3" TargetMode="External"/><Relationship Id="rId104" Type="http://schemas.openxmlformats.org/officeDocument/2006/relationships/hyperlink" Target="https://app.clickup.com/t/86akm8zcg" TargetMode="External"/><Relationship Id="rId188" Type="http://schemas.openxmlformats.org/officeDocument/2006/relationships/hyperlink" Target="https://app.clickup.com/t/86aget7z3" TargetMode="External"/><Relationship Id="rId311" Type="http://schemas.openxmlformats.org/officeDocument/2006/relationships/hyperlink" Target="https://app.clickup.com/t/17tpepcprj8" TargetMode="External"/><Relationship Id="rId395" Type="http://schemas.openxmlformats.org/officeDocument/2006/relationships/hyperlink" Target="https://app.clickup.com/t/17tpepct4ac" TargetMode="External"/><Relationship Id="rId409" Type="http://schemas.openxmlformats.org/officeDocument/2006/relationships/hyperlink" Target="https://app.clickup.com/t/86age4306" TargetMode="External"/><Relationship Id="rId963" Type="http://schemas.openxmlformats.org/officeDocument/2006/relationships/hyperlink" Target="https://app.clickup.com/t/86agdxfag" TargetMode="External"/><Relationship Id="rId92" Type="http://schemas.openxmlformats.org/officeDocument/2006/relationships/hyperlink" Target="https://app.clickup.com/t/86aghkwe7" TargetMode="External"/><Relationship Id="rId616" Type="http://schemas.openxmlformats.org/officeDocument/2006/relationships/hyperlink" Target="https://app.clickup.com/t/86ad74fwv" TargetMode="External"/><Relationship Id="rId823" Type="http://schemas.openxmlformats.org/officeDocument/2006/relationships/hyperlink" Target="https://app.clickup.com/t/86agce1mq" TargetMode="External"/><Relationship Id="rId255" Type="http://schemas.openxmlformats.org/officeDocument/2006/relationships/hyperlink" Target="https://app.clickup.com/t/86agnzcur" TargetMode="External"/><Relationship Id="rId462" Type="http://schemas.openxmlformats.org/officeDocument/2006/relationships/hyperlink" Target="https://app.clickup.com/t/86aghcymn" TargetMode="External"/><Relationship Id="rId115" Type="http://schemas.openxmlformats.org/officeDocument/2006/relationships/hyperlink" Target="https://app.clickup.com/t/17tpepct4cm" TargetMode="External"/><Relationship Id="rId322" Type="http://schemas.openxmlformats.org/officeDocument/2006/relationships/hyperlink" Target="https://app.clickup.com/t/86akm8zbd" TargetMode="External"/><Relationship Id="rId767" Type="http://schemas.openxmlformats.org/officeDocument/2006/relationships/hyperlink" Target="https://app.clickup.com/t/17tpepcgt64" TargetMode="External"/><Relationship Id="rId974" Type="http://schemas.openxmlformats.org/officeDocument/2006/relationships/hyperlink" Target="https://app.clickup.com/t/86aght79t" TargetMode="External"/><Relationship Id="rId61" Type="http://schemas.openxmlformats.org/officeDocument/2006/relationships/hyperlink" Target="https://app.clickup.com/t/86acmxf6b" TargetMode="External"/><Relationship Id="rId199" Type="http://schemas.openxmlformats.org/officeDocument/2006/relationships/hyperlink" Target="https://app.clickup.com/t/17tpepcpu04" TargetMode="External"/><Relationship Id="rId571" Type="http://schemas.openxmlformats.org/officeDocument/2006/relationships/hyperlink" Target="https://app.clickup.com/t/86agdxw9e" TargetMode="External"/><Relationship Id="rId627" Type="http://schemas.openxmlformats.org/officeDocument/2006/relationships/hyperlink" Target="https://app.clickup.com/t/86aghgbyx" TargetMode="External"/><Relationship Id="rId669" Type="http://schemas.openxmlformats.org/officeDocument/2006/relationships/hyperlink" Target="https://app.clickup.com/t/86aj0abt9" TargetMode="External"/><Relationship Id="rId834" Type="http://schemas.openxmlformats.org/officeDocument/2006/relationships/hyperlink" Target="https://app.clickup.com/t/86aghnk6f" TargetMode="External"/><Relationship Id="rId876" Type="http://schemas.openxmlformats.org/officeDocument/2006/relationships/hyperlink" Target="https://app.clickup.com/t/86aj7cq1n" TargetMode="External"/><Relationship Id="rId19" Type="http://schemas.openxmlformats.org/officeDocument/2006/relationships/hyperlink" Target="https://app.clickup.com/t/86aj7c60y" TargetMode="External"/><Relationship Id="rId224" Type="http://schemas.openxmlformats.org/officeDocument/2006/relationships/hyperlink" Target="https://app.clickup.com/t/17tpepcptzx" TargetMode="External"/><Relationship Id="rId266" Type="http://schemas.openxmlformats.org/officeDocument/2006/relationships/hyperlink" Target="https://app.clickup.com/t/86aghg30k" TargetMode="External"/><Relationship Id="rId431" Type="http://schemas.openxmlformats.org/officeDocument/2006/relationships/hyperlink" Target="https://app.clickup.com/t/86agckjn9" TargetMode="External"/><Relationship Id="rId473" Type="http://schemas.openxmlformats.org/officeDocument/2006/relationships/hyperlink" Target="https://app.clickup.com/t/17tpepcpu1w" TargetMode="External"/><Relationship Id="rId529" Type="http://schemas.openxmlformats.org/officeDocument/2006/relationships/hyperlink" Target="https://app.clickup.com/t/17tpepcpu1x" TargetMode="External"/><Relationship Id="rId680" Type="http://schemas.openxmlformats.org/officeDocument/2006/relationships/hyperlink" Target="https://app.clickup.com/t/86aged4ae" TargetMode="External"/><Relationship Id="rId736" Type="http://schemas.openxmlformats.org/officeDocument/2006/relationships/hyperlink" Target="https://app.clickup.com/t/86ad74b02" TargetMode="External"/><Relationship Id="rId901" Type="http://schemas.openxmlformats.org/officeDocument/2006/relationships/hyperlink" Target="https://app.clickup.com/t/86adz9d4n" TargetMode="External"/><Relationship Id="rId30" Type="http://schemas.openxmlformats.org/officeDocument/2006/relationships/hyperlink" Target="https://app.clickup.com/t/86aj7nzvu" TargetMode="External"/><Relationship Id="rId126" Type="http://schemas.openxmlformats.org/officeDocument/2006/relationships/hyperlink" Target="https://app.clickup.com/t/86aght7a0" TargetMode="External"/><Relationship Id="rId168" Type="http://schemas.openxmlformats.org/officeDocument/2006/relationships/hyperlink" Target="https://app.clickup.com/t/86ahxbj49" TargetMode="External"/><Relationship Id="rId333" Type="http://schemas.openxmlformats.org/officeDocument/2006/relationships/hyperlink" Target="https://app.clickup.com/t/17tpepcpr26" TargetMode="External"/><Relationship Id="rId540" Type="http://schemas.openxmlformats.org/officeDocument/2006/relationships/hyperlink" Target="https://app.clickup.com/t/17tpepcgwrv" TargetMode="External"/><Relationship Id="rId778" Type="http://schemas.openxmlformats.org/officeDocument/2006/relationships/hyperlink" Target="https://app.clickup.com/t/86aj8174f" TargetMode="External"/><Relationship Id="rId943" Type="http://schemas.openxmlformats.org/officeDocument/2006/relationships/hyperlink" Target="https://app.clickup.com/t/86agcdz1u" TargetMode="External"/><Relationship Id="rId72" Type="http://schemas.openxmlformats.org/officeDocument/2006/relationships/hyperlink" Target="https://app.clickup.com/t/17tpepcmy8d" TargetMode="External"/><Relationship Id="rId375" Type="http://schemas.openxmlformats.org/officeDocument/2006/relationships/hyperlink" Target="https://app.clickup.com/t/17tpepcprk2" TargetMode="External"/><Relationship Id="rId582" Type="http://schemas.openxmlformats.org/officeDocument/2006/relationships/hyperlink" Target="https://app.clickup.com/t/86aj8171w" TargetMode="External"/><Relationship Id="rId638" Type="http://schemas.openxmlformats.org/officeDocument/2006/relationships/hyperlink" Target="https://app.clickup.com/t/86ahrkgmf" TargetMode="External"/><Relationship Id="rId803" Type="http://schemas.openxmlformats.org/officeDocument/2006/relationships/hyperlink" Target="https://app.clickup.com/t/86agja747" TargetMode="External"/><Relationship Id="rId845" Type="http://schemas.openxmlformats.org/officeDocument/2006/relationships/hyperlink" Target="https://app.clickup.com/t/86agdxkqb" TargetMode="External"/><Relationship Id="rId3" Type="http://schemas.openxmlformats.org/officeDocument/2006/relationships/hyperlink" Target="https://app.clickup.com/t/86akm8zdk" TargetMode="External"/><Relationship Id="rId235" Type="http://schemas.openxmlformats.org/officeDocument/2006/relationships/hyperlink" Target="https://app.clickup.com/t/86aghgbwp" TargetMode="External"/><Relationship Id="rId277" Type="http://schemas.openxmlformats.org/officeDocument/2006/relationships/hyperlink" Target="https://app.clickup.com/t/86agc71jx" TargetMode="External"/><Relationship Id="rId400" Type="http://schemas.openxmlformats.org/officeDocument/2006/relationships/hyperlink" Target="https://app.clickup.com/t/86agc73rm" TargetMode="External"/><Relationship Id="rId442" Type="http://schemas.openxmlformats.org/officeDocument/2006/relationships/hyperlink" Target="https://app.clickup.com/t/86acmx0ez" TargetMode="External"/><Relationship Id="rId484" Type="http://schemas.openxmlformats.org/officeDocument/2006/relationships/hyperlink" Target="https://app.clickup.com/t/86agdhb5t" TargetMode="External"/><Relationship Id="rId705" Type="http://schemas.openxmlformats.org/officeDocument/2006/relationships/hyperlink" Target="https://app.clickup.com/t/86agetcvt" TargetMode="External"/><Relationship Id="rId887" Type="http://schemas.openxmlformats.org/officeDocument/2006/relationships/hyperlink" Target="https://app.clickup.com/t/86aj8173f" TargetMode="External"/><Relationship Id="rId137" Type="http://schemas.openxmlformats.org/officeDocument/2006/relationships/hyperlink" Target="https://app.clickup.com/t/17tpepcmy8c" TargetMode="External"/><Relationship Id="rId302" Type="http://schemas.openxmlformats.org/officeDocument/2006/relationships/hyperlink" Target="https://app.clickup.com/t/86aghvmtx" TargetMode="External"/><Relationship Id="rId344" Type="http://schemas.openxmlformats.org/officeDocument/2006/relationships/hyperlink" Target="https://app.clickup.com/t/17tpepcpu1h" TargetMode="External"/><Relationship Id="rId691" Type="http://schemas.openxmlformats.org/officeDocument/2006/relationships/hyperlink" Target="https://app.clickup.com/t/86acmxevv" TargetMode="External"/><Relationship Id="rId747" Type="http://schemas.openxmlformats.org/officeDocument/2006/relationships/hyperlink" Target="https://app.clickup.com/t/86ahyegjk" TargetMode="External"/><Relationship Id="rId789" Type="http://schemas.openxmlformats.org/officeDocument/2006/relationships/hyperlink" Target="https://app.clickup.com/t/86agerveg" TargetMode="External"/><Relationship Id="rId912" Type="http://schemas.openxmlformats.org/officeDocument/2006/relationships/hyperlink" Target="https://app.clickup.com/t/86aghgbx6" TargetMode="External"/><Relationship Id="rId954" Type="http://schemas.openxmlformats.org/officeDocument/2006/relationships/hyperlink" Target="https://app.clickup.com/t/86acmwewt" TargetMode="External"/><Relationship Id="rId41" Type="http://schemas.openxmlformats.org/officeDocument/2006/relationships/hyperlink" Target="https://app.clickup.com/t/86akm8zdu" TargetMode="External"/><Relationship Id="rId83" Type="http://schemas.openxmlformats.org/officeDocument/2006/relationships/hyperlink" Target="https://app.clickup.com/t/17tpepcpuv6" TargetMode="External"/><Relationship Id="rId179" Type="http://schemas.openxmlformats.org/officeDocument/2006/relationships/hyperlink" Target="https://app.clickup.com/t/86aj7nzut" TargetMode="External"/><Relationship Id="rId386" Type="http://schemas.openxmlformats.org/officeDocument/2006/relationships/hyperlink" Target="https://app.clickup.com/t/86age4g67" TargetMode="External"/><Relationship Id="rId551" Type="http://schemas.openxmlformats.org/officeDocument/2006/relationships/hyperlink" Target="https://app.clickup.com/t/86aghjy3j" TargetMode="External"/><Relationship Id="rId593" Type="http://schemas.openxmlformats.org/officeDocument/2006/relationships/hyperlink" Target="https://app.clickup.com/t/86akm8zcr" TargetMode="External"/><Relationship Id="rId607" Type="http://schemas.openxmlformats.org/officeDocument/2006/relationships/hyperlink" Target="https://app.clickup.com/t/86ageh69z" TargetMode="External"/><Relationship Id="rId649" Type="http://schemas.openxmlformats.org/officeDocument/2006/relationships/hyperlink" Target="https://app.clickup.com/t/17tpepcekpq" TargetMode="External"/><Relationship Id="rId814" Type="http://schemas.openxmlformats.org/officeDocument/2006/relationships/hyperlink" Target="https://app.clickup.com/t/86aghnk71" TargetMode="External"/><Relationship Id="rId856" Type="http://schemas.openxmlformats.org/officeDocument/2006/relationships/hyperlink" Target="https://app.clickup.com/t/86aghcyn0" TargetMode="External"/><Relationship Id="rId190" Type="http://schemas.openxmlformats.org/officeDocument/2006/relationships/hyperlink" Target="https://app.clickup.com/t/86agj15wy" TargetMode="External"/><Relationship Id="rId204" Type="http://schemas.openxmlformats.org/officeDocument/2006/relationships/hyperlink" Target="https://app.clickup.com/t/17tpepcgqnq" TargetMode="External"/><Relationship Id="rId246" Type="http://schemas.openxmlformats.org/officeDocument/2006/relationships/hyperlink" Target="https://app.clickup.com/t/86aghcyku" TargetMode="External"/><Relationship Id="rId288" Type="http://schemas.openxmlformats.org/officeDocument/2006/relationships/hyperlink" Target="https://app.clickup.com/t/86acmx33z" TargetMode="External"/><Relationship Id="rId411" Type="http://schemas.openxmlformats.org/officeDocument/2006/relationships/hyperlink" Target="https://app.clickup.com/t/86acmkewk" TargetMode="External"/><Relationship Id="rId453" Type="http://schemas.openxmlformats.org/officeDocument/2006/relationships/hyperlink" Target="https://app.clickup.com/t/86aget0hp" TargetMode="External"/><Relationship Id="rId509" Type="http://schemas.openxmlformats.org/officeDocument/2006/relationships/hyperlink" Target="https://app.clickup.com/t/17tpepct4d6" TargetMode="External"/><Relationship Id="rId660" Type="http://schemas.openxmlformats.org/officeDocument/2006/relationships/hyperlink" Target="https://app.clickup.com/t/86agb97mq" TargetMode="External"/><Relationship Id="rId898" Type="http://schemas.openxmlformats.org/officeDocument/2006/relationships/hyperlink" Target="https://app.clickup.com/t/86ak8xcbm" TargetMode="External"/><Relationship Id="rId106" Type="http://schemas.openxmlformats.org/officeDocument/2006/relationships/hyperlink" Target="https://app.clickup.com/t/17tpepcgphp" TargetMode="External"/><Relationship Id="rId313" Type="http://schemas.openxmlformats.org/officeDocument/2006/relationships/hyperlink" Target="https://app.clickup.com/t/17tpepcgkmw" TargetMode="External"/><Relationship Id="rId495" Type="http://schemas.openxmlformats.org/officeDocument/2006/relationships/hyperlink" Target="https://app.clickup.com/t/17tpepcprj7" TargetMode="External"/><Relationship Id="rId716" Type="http://schemas.openxmlformats.org/officeDocument/2006/relationships/hyperlink" Target="https://app.clickup.com/t/86aghvmw1" TargetMode="External"/><Relationship Id="rId758" Type="http://schemas.openxmlformats.org/officeDocument/2006/relationships/hyperlink" Target="https://app.clickup.com/t/86aj7nmnd" TargetMode="External"/><Relationship Id="rId923" Type="http://schemas.openxmlformats.org/officeDocument/2006/relationships/hyperlink" Target="https://app.clickup.com/t/86agb7du2" TargetMode="External"/><Relationship Id="rId965" Type="http://schemas.openxmlformats.org/officeDocument/2006/relationships/hyperlink" Target="https://app.clickup.com/t/86agdvyp6" TargetMode="External"/><Relationship Id="rId10" Type="http://schemas.openxmlformats.org/officeDocument/2006/relationships/hyperlink" Target="https://app.clickup.com/t/86ahckp0b" TargetMode="External"/><Relationship Id="rId52" Type="http://schemas.openxmlformats.org/officeDocument/2006/relationships/hyperlink" Target="https://app.clickup.com/t/86aj7b7pf" TargetMode="External"/><Relationship Id="rId94" Type="http://schemas.openxmlformats.org/officeDocument/2006/relationships/hyperlink" Target="https://app.clickup.com/t/17tpepcmy78" TargetMode="External"/><Relationship Id="rId148" Type="http://schemas.openxmlformats.org/officeDocument/2006/relationships/hyperlink" Target="https://app.clickup.com/t/17tpepcdama" TargetMode="External"/><Relationship Id="rId355" Type="http://schemas.openxmlformats.org/officeDocument/2006/relationships/hyperlink" Target="https://app.clickup.com/t/86aj7bqgc" TargetMode="External"/><Relationship Id="rId397" Type="http://schemas.openxmlformats.org/officeDocument/2006/relationships/hyperlink" Target="https://app.clickup.com/t/17tpepcenrn" TargetMode="External"/><Relationship Id="rId520" Type="http://schemas.openxmlformats.org/officeDocument/2006/relationships/hyperlink" Target="https://app.clickup.com/t/86aghpd5q" TargetMode="External"/><Relationship Id="rId562" Type="http://schemas.openxmlformats.org/officeDocument/2006/relationships/hyperlink" Target="https://app.clickup.com/t/86akbg0v4" TargetMode="External"/><Relationship Id="rId618" Type="http://schemas.openxmlformats.org/officeDocument/2006/relationships/hyperlink" Target="https://app.clickup.com/t/86ahkew4h" TargetMode="External"/><Relationship Id="rId825" Type="http://schemas.openxmlformats.org/officeDocument/2006/relationships/hyperlink" Target="https://app.clickup.com/t/86ah41h60" TargetMode="External"/><Relationship Id="rId215" Type="http://schemas.openxmlformats.org/officeDocument/2006/relationships/hyperlink" Target="https://app.clickup.com/t/86aghcynb" TargetMode="External"/><Relationship Id="rId257" Type="http://schemas.openxmlformats.org/officeDocument/2006/relationships/hyperlink" Target="https://app.clickup.com/t/86agcj1ga" TargetMode="External"/><Relationship Id="rId422" Type="http://schemas.openxmlformats.org/officeDocument/2006/relationships/hyperlink" Target="https://app.clickup.com/t/86aged7qr" TargetMode="External"/><Relationship Id="rId464" Type="http://schemas.openxmlformats.org/officeDocument/2006/relationships/hyperlink" Target="https://app.clickup.com/t/86aget0j6" TargetMode="External"/><Relationship Id="rId867" Type="http://schemas.openxmlformats.org/officeDocument/2006/relationships/hyperlink" Target="https://app.clickup.com/t/86aj800x6" TargetMode="External"/><Relationship Id="rId299" Type="http://schemas.openxmlformats.org/officeDocument/2006/relationships/hyperlink" Target="https://app.clickup.com/t/86aghg2zh" TargetMode="External"/><Relationship Id="rId727" Type="http://schemas.openxmlformats.org/officeDocument/2006/relationships/hyperlink" Target="https://app.clickup.com/t/17tpepcpr2t" TargetMode="External"/><Relationship Id="rId934" Type="http://schemas.openxmlformats.org/officeDocument/2006/relationships/hyperlink" Target="https://app.clickup.com/t/86ageecj9" TargetMode="External"/><Relationship Id="rId63" Type="http://schemas.openxmlformats.org/officeDocument/2006/relationships/hyperlink" Target="https://app.clickup.com/t/86agc64qm" TargetMode="External"/><Relationship Id="rId159" Type="http://schemas.openxmlformats.org/officeDocument/2006/relationships/hyperlink" Target="https://app.clickup.com/t/86agervem" TargetMode="External"/><Relationship Id="rId366" Type="http://schemas.openxmlformats.org/officeDocument/2006/relationships/hyperlink" Target="https://app.clickup.com/t/86akm8w6a" TargetMode="External"/><Relationship Id="rId573" Type="http://schemas.openxmlformats.org/officeDocument/2006/relationships/hyperlink" Target="https://app.clickup.com/t/17tpepcpr2a" TargetMode="External"/><Relationship Id="rId780" Type="http://schemas.openxmlformats.org/officeDocument/2006/relationships/hyperlink" Target="https://app.clickup.com/t/86aj81725" TargetMode="External"/><Relationship Id="rId226" Type="http://schemas.openxmlformats.org/officeDocument/2006/relationships/hyperlink" Target="https://app.clickup.com/t/86aghkwdk" TargetMode="External"/><Relationship Id="rId433" Type="http://schemas.openxmlformats.org/officeDocument/2006/relationships/hyperlink" Target="https://app.clickup.com/t/17tpepcdm2z" TargetMode="External"/><Relationship Id="rId878" Type="http://schemas.openxmlformats.org/officeDocument/2006/relationships/hyperlink" Target="https://app.clickup.com/t/86aj7cq0x" TargetMode="External"/><Relationship Id="rId640" Type="http://schemas.openxmlformats.org/officeDocument/2006/relationships/hyperlink" Target="https://app.clickup.com/t/86agen7z3" TargetMode="External"/><Relationship Id="rId738" Type="http://schemas.openxmlformats.org/officeDocument/2006/relationships/hyperlink" Target="https://app.clickup.com/t/86aj7rb0p" TargetMode="External"/><Relationship Id="rId945" Type="http://schemas.openxmlformats.org/officeDocument/2006/relationships/hyperlink" Target="https://app.clickup.com/t/86acmxkgd" TargetMode="External"/><Relationship Id="rId74" Type="http://schemas.openxmlformats.org/officeDocument/2006/relationships/hyperlink" Target="https://app.clickup.com/t/17tpepcmy8e" TargetMode="External"/><Relationship Id="rId377" Type="http://schemas.openxmlformats.org/officeDocument/2006/relationships/hyperlink" Target="https://app.clickup.com/t/86aj811pt" TargetMode="External"/><Relationship Id="rId500" Type="http://schemas.openxmlformats.org/officeDocument/2006/relationships/hyperlink" Target="https://app.clickup.com/t/86aghgbxz" TargetMode="External"/><Relationship Id="rId584" Type="http://schemas.openxmlformats.org/officeDocument/2006/relationships/hyperlink" Target="https://app.clickup.com/t/86aj8171d" TargetMode="External"/><Relationship Id="rId805" Type="http://schemas.openxmlformats.org/officeDocument/2006/relationships/hyperlink" Target="https://app.clickup.com/t/86agb8595" TargetMode="External"/><Relationship Id="rId5" Type="http://schemas.openxmlformats.org/officeDocument/2006/relationships/hyperlink" Target="https://app.clickup.com/t/86akm8zd0" TargetMode="External"/><Relationship Id="rId237" Type="http://schemas.openxmlformats.org/officeDocument/2006/relationships/hyperlink" Target="https://app.clickup.com/t/17tpepcpu29" TargetMode="External"/><Relationship Id="rId791" Type="http://schemas.openxmlformats.org/officeDocument/2006/relationships/hyperlink" Target="https://app.clickup.com/t/86adcf4qw" TargetMode="External"/><Relationship Id="rId889" Type="http://schemas.openxmlformats.org/officeDocument/2006/relationships/hyperlink" Target="https://app.clickup.com/t/86aj81715" TargetMode="External"/><Relationship Id="rId444" Type="http://schemas.openxmlformats.org/officeDocument/2006/relationships/hyperlink" Target="https://app.clickup.com/t/86acmwdxz" TargetMode="External"/><Relationship Id="rId651" Type="http://schemas.openxmlformats.org/officeDocument/2006/relationships/hyperlink" Target="https://app.clickup.com/t/86acmxh0n" TargetMode="External"/><Relationship Id="rId749" Type="http://schemas.openxmlformats.org/officeDocument/2006/relationships/hyperlink" Target="https://app.clickup.com/t/86ahxbnff" TargetMode="External"/><Relationship Id="rId290" Type="http://schemas.openxmlformats.org/officeDocument/2006/relationships/hyperlink" Target="https://app.clickup.com/t/86agpfz97" TargetMode="External"/><Relationship Id="rId304" Type="http://schemas.openxmlformats.org/officeDocument/2006/relationships/hyperlink" Target="https://app.clickup.com/t/86aghjnhg" TargetMode="External"/><Relationship Id="rId388" Type="http://schemas.openxmlformats.org/officeDocument/2006/relationships/hyperlink" Target="https://app.clickup.com/t/17tpepcpr24" TargetMode="External"/><Relationship Id="rId511" Type="http://schemas.openxmlformats.org/officeDocument/2006/relationships/hyperlink" Target="https://app.clickup.com/t/86aj0af99" TargetMode="External"/><Relationship Id="rId609" Type="http://schemas.openxmlformats.org/officeDocument/2006/relationships/hyperlink" Target="https://app.clickup.com/t/86age48j6" TargetMode="External"/><Relationship Id="rId956" Type="http://schemas.openxmlformats.org/officeDocument/2006/relationships/hyperlink" Target="https://app.clickup.com/t/86acmweuz" TargetMode="External"/><Relationship Id="rId85" Type="http://schemas.openxmlformats.org/officeDocument/2006/relationships/hyperlink" Target="https://app.clickup.com/t/86ahf81y6" TargetMode="External"/><Relationship Id="rId150" Type="http://schemas.openxmlformats.org/officeDocument/2006/relationships/hyperlink" Target="https://app.clickup.com/t/86acmwaua" TargetMode="External"/><Relationship Id="rId595" Type="http://schemas.openxmlformats.org/officeDocument/2006/relationships/hyperlink" Target="https://app.clickup.com/t/86ah42xg4" TargetMode="External"/><Relationship Id="rId816" Type="http://schemas.openxmlformats.org/officeDocument/2006/relationships/hyperlink" Target="https://app.clickup.com/t/86agc5et6" TargetMode="External"/><Relationship Id="rId248" Type="http://schemas.openxmlformats.org/officeDocument/2006/relationships/hyperlink" Target="https://app.clickup.com/t/17tpepcpu06" TargetMode="External"/><Relationship Id="rId455" Type="http://schemas.openxmlformats.org/officeDocument/2006/relationships/hyperlink" Target="https://app.clickup.com/t/86akbjpp2" TargetMode="External"/><Relationship Id="rId662" Type="http://schemas.openxmlformats.org/officeDocument/2006/relationships/hyperlink" Target="https://app.clickup.com/t/86agja43h" TargetMode="External"/><Relationship Id="rId12" Type="http://schemas.openxmlformats.org/officeDocument/2006/relationships/hyperlink" Target="https://app.clickup.com/t/86ahcknyj" TargetMode="External"/><Relationship Id="rId108" Type="http://schemas.openxmlformats.org/officeDocument/2006/relationships/hyperlink" Target="https://app.clickup.com/t/86aghvdek" TargetMode="External"/><Relationship Id="rId315" Type="http://schemas.openxmlformats.org/officeDocument/2006/relationships/hyperlink" Target="https://app.clickup.com/t/86akm8zbq" TargetMode="External"/><Relationship Id="rId522" Type="http://schemas.openxmlformats.org/officeDocument/2006/relationships/hyperlink" Target="https://app.clickup.com/t/17tpepcpr2c" TargetMode="External"/><Relationship Id="rId967" Type="http://schemas.openxmlformats.org/officeDocument/2006/relationships/hyperlink" Target="https://app.clickup.com/t/86aghmk1c" TargetMode="External"/><Relationship Id="rId96" Type="http://schemas.openxmlformats.org/officeDocument/2006/relationships/hyperlink" Target="https://app.clickup.com/t/86agd8vu7" TargetMode="External"/><Relationship Id="rId161" Type="http://schemas.openxmlformats.org/officeDocument/2006/relationships/hyperlink" Target="https://app.clickup.com/t/17tpepcpr2m" TargetMode="External"/><Relationship Id="rId399" Type="http://schemas.openxmlformats.org/officeDocument/2006/relationships/hyperlink" Target="https://app.clickup.com/t/86aghpd94" TargetMode="External"/><Relationship Id="rId827" Type="http://schemas.openxmlformats.org/officeDocument/2006/relationships/hyperlink" Target="https://app.clickup.com/t/86agem63t" TargetMode="External"/><Relationship Id="rId259" Type="http://schemas.openxmlformats.org/officeDocument/2006/relationships/hyperlink" Target="https://app.clickup.com/t/86akm8zc1" TargetMode="External"/><Relationship Id="rId466" Type="http://schemas.openxmlformats.org/officeDocument/2006/relationships/hyperlink" Target="https://app.clickup.com/t/17tpepcghc9" TargetMode="External"/><Relationship Id="rId673" Type="http://schemas.openxmlformats.org/officeDocument/2006/relationships/hyperlink" Target="https://app.clickup.com/t/86agvagug" TargetMode="External"/><Relationship Id="rId880" Type="http://schemas.openxmlformats.org/officeDocument/2006/relationships/hyperlink" Target="https://app.clickup.com/t/86ak8xk00" TargetMode="External"/><Relationship Id="rId23" Type="http://schemas.openxmlformats.org/officeDocument/2006/relationships/hyperlink" Target="https://app.clickup.com/t/86agdhgp1" TargetMode="External"/><Relationship Id="rId119" Type="http://schemas.openxmlformats.org/officeDocument/2006/relationships/hyperlink" Target="https://app.clickup.com/t/17tpepcgqpc" TargetMode="External"/><Relationship Id="rId326" Type="http://schemas.openxmlformats.org/officeDocument/2006/relationships/hyperlink" Target="https://app.clickup.com/t/86aghpd1m" TargetMode="External"/><Relationship Id="rId533" Type="http://schemas.openxmlformats.org/officeDocument/2006/relationships/hyperlink" Target="https://app.clickup.com/t/86agee9ed" TargetMode="External"/><Relationship Id="rId978" Type="http://schemas.openxmlformats.org/officeDocument/2006/relationships/hyperlink" Target="https://app.clickup.com/t/86ahyemhn" TargetMode="External"/><Relationship Id="rId740" Type="http://schemas.openxmlformats.org/officeDocument/2006/relationships/hyperlink" Target="https://app.clickup.com/t/86ahyemj5" TargetMode="External"/><Relationship Id="rId838" Type="http://schemas.openxmlformats.org/officeDocument/2006/relationships/hyperlink" Target="https://app.clickup.com/t/86agzk7t8" TargetMode="External"/><Relationship Id="rId172" Type="http://schemas.openxmlformats.org/officeDocument/2006/relationships/hyperlink" Target="https://app.clickup.com/t/86aj7nzvb" TargetMode="External"/><Relationship Id="rId477" Type="http://schemas.openxmlformats.org/officeDocument/2006/relationships/hyperlink" Target="https://app.clickup.com/t/86aghvde0" TargetMode="External"/><Relationship Id="rId600" Type="http://schemas.openxmlformats.org/officeDocument/2006/relationships/hyperlink" Target="https://app.clickup.com/t/86acmkcrn" TargetMode="External"/><Relationship Id="rId684" Type="http://schemas.openxmlformats.org/officeDocument/2006/relationships/hyperlink" Target="https://app.clickup.com/t/86agdwca5" TargetMode="External"/><Relationship Id="rId337" Type="http://schemas.openxmlformats.org/officeDocument/2006/relationships/hyperlink" Target="https://app.clickup.com/t/86aj7b7kv" TargetMode="External"/><Relationship Id="rId891" Type="http://schemas.openxmlformats.org/officeDocument/2006/relationships/hyperlink" Target="https://app.clickup.com/t/86ah42u2v" TargetMode="External"/><Relationship Id="rId905" Type="http://schemas.openxmlformats.org/officeDocument/2006/relationships/hyperlink" Target="https://app.clickup.com/t/17tpepcpr25" TargetMode="External"/><Relationship Id="rId34" Type="http://schemas.openxmlformats.org/officeDocument/2006/relationships/hyperlink" Target="https://app.clickup.com/t/86aj7nzuq" TargetMode="External"/><Relationship Id="rId544" Type="http://schemas.openxmlformats.org/officeDocument/2006/relationships/hyperlink" Target="https://app.clickup.com/t/86acmwc3a" TargetMode="External"/><Relationship Id="rId751" Type="http://schemas.openxmlformats.org/officeDocument/2006/relationships/hyperlink" Target="https://app.clickup.com/t/86ah4b9qq" TargetMode="External"/><Relationship Id="rId849" Type="http://schemas.openxmlformats.org/officeDocument/2006/relationships/hyperlink" Target="https://app.clickup.com/t/86ahkeq1j" TargetMode="External"/><Relationship Id="rId183" Type="http://schemas.openxmlformats.org/officeDocument/2006/relationships/hyperlink" Target="https://app.clickup.com/t/86aj7nztw" TargetMode="External"/><Relationship Id="rId390" Type="http://schemas.openxmlformats.org/officeDocument/2006/relationships/hyperlink" Target="https://app.clickup.com/t/86akm8ze8" TargetMode="External"/><Relationship Id="rId404" Type="http://schemas.openxmlformats.org/officeDocument/2006/relationships/hyperlink" Target="https://app.clickup.com/t/86aghcym4" TargetMode="External"/><Relationship Id="rId611" Type="http://schemas.openxmlformats.org/officeDocument/2006/relationships/hyperlink" Target="https://app.clickup.com/t/86aj7c61m" TargetMode="External"/><Relationship Id="rId250" Type="http://schemas.openxmlformats.org/officeDocument/2006/relationships/hyperlink" Target="https://app.clickup.com/t/86aghnk7c" TargetMode="External"/><Relationship Id="rId488" Type="http://schemas.openxmlformats.org/officeDocument/2006/relationships/hyperlink" Target="https://app.clickup.com/t/17tpepcdg1v" TargetMode="External"/><Relationship Id="rId695" Type="http://schemas.openxmlformats.org/officeDocument/2006/relationships/hyperlink" Target="https://app.clickup.com/t/86aghm6hd" TargetMode="External"/><Relationship Id="rId709" Type="http://schemas.openxmlformats.org/officeDocument/2006/relationships/hyperlink" Target="https://app.clickup.com/t/17tpepcprk4" TargetMode="External"/><Relationship Id="rId916" Type="http://schemas.openxmlformats.org/officeDocument/2006/relationships/hyperlink" Target="https://app.clickup.com/t/86agja6pg" TargetMode="External"/><Relationship Id="rId45" Type="http://schemas.openxmlformats.org/officeDocument/2006/relationships/hyperlink" Target="https://app.clickup.com/t/86acmxh1v" TargetMode="External"/><Relationship Id="rId110" Type="http://schemas.openxmlformats.org/officeDocument/2006/relationships/hyperlink" Target="https://app.clickup.com/t/86aghv5gx" TargetMode="External"/><Relationship Id="rId348" Type="http://schemas.openxmlformats.org/officeDocument/2006/relationships/hyperlink" Target="https://app.clickup.com/t/86ak1pxa5" TargetMode="External"/><Relationship Id="rId555" Type="http://schemas.openxmlformats.org/officeDocument/2006/relationships/hyperlink" Target="https://app.clickup.com/t/86aghjy5r" TargetMode="External"/><Relationship Id="rId762" Type="http://schemas.openxmlformats.org/officeDocument/2006/relationships/hyperlink" Target="https://app.clickup.com/t/86aj7edfz" TargetMode="External"/><Relationship Id="rId194" Type="http://schemas.openxmlformats.org/officeDocument/2006/relationships/hyperlink" Target="https://app.clickup.com/t/86ahckp1w" TargetMode="External"/><Relationship Id="rId208" Type="http://schemas.openxmlformats.org/officeDocument/2006/relationships/hyperlink" Target="https://app.clickup.com/t/86aj7b0un" TargetMode="External"/><Relationship Id="rId415" Type="http://schemas.openxmlformats.org/officeDocument/2006/relationships/hyperlink" Target="https://app.clickup.com/t/86ahckp1z" TargetMode="External"/><Relationship Id="rId622" Type="http://schemas.openxmlformats.org/officeDocument/2006/relationships/hyperlink" Target="https://app.clickup.com/t/86agerved" TargetMode="External"/><Relationship Id="rId261" Type="http://schemas.openxmlformats.org/officeDocument/2006/relationships/hyperlink" Target="https://app.clickup.com/t/86aghvdfb" TargetMode="External"/><Relationship Id="rId499" Type="http://schemas.openxmlformats.org/officeDocument/2006/relationships/hyperlink" Target="https://app.clickup.com/t/86aghpd73" TargetMode="External"/><Relationship Id="rId927" Type="http://schemas.openxmlformats.org/officeDocument/2006/relationships/hyperlink" Target="https://app.clickup.com/t/86age51er" TargetMode="External"/><Relationship Id="rId56" Type="http://schemas.openxmlformats.org/officeDocument/2006/relationships/hyperlink" Target="https://app.clickup.com/t/17tpepcdaef" TargetMode="External"/><Relationship Id="rId359" Type="http://schemas.openxmlformats.org/officeDocument/2006/relationships/hyperlink" Target="https://app.clickup.com/t/86aj7b9gd" TargetMode="External"/><Relationship Id="rId566" Type="http://schemas.openxmlformats.org/officeDocument/2006/relationships/hyperlink" Target="https://app.clickup.com/t/86aj81twh" TargetMode="External"/><Relationship Id="rId773" Type="http://schemas.openxmlformats.org/officeDocument/2006/relationships/hyperlink" Target="https://app.clickup.com/t/86ak8wu2m" TargetMode="External"/><Relationship Id="rId121" Type="http://schemas.openxmlformats.org/officeDocument/2006/relationships/hyperlink" Target="https://app.clickup.com/t/17tpepcdam8" TargetMode="External"/><Relationship Id="rId219" Type="http://schemas.openxmlformats.org/officeDocument/2006/relationships/hyperlink" Target="https://app.clickup.com/t/86agnzdx8" TargetMode="External"/><Relationship Id="rId426" Type="http://schemas.openxmlformats.org/officeDocument/2006/relationships/hyperlink" Target="https://app.clickup.com/t/86agdhgnx" TargetMode="External"/><Relationship Id="rId633" Type="http://schemas.openxmlformats.org/officeDocument/2006/relationships/hyperlink" Target="https://app.clickup.com/t/86ahckny8" TargetMode="External"/><Relationship Id="rId840" Type="http://schemas.openxmlformats.org/officeDocument/2006/relationships/hyperlink" Target="https://app.clickup.com/t/86agee527" TargetMode="External"/><Relationship Id="rId938" Type="http://schemas.openxmlformats.org/officeDocument/2006/relationships/hyperlink" Target="https://app.clickup.com/t/86agdxkq5" TargetMode="External"/><Relationship Id="rId67" Type="http://schemas.openxmlformats.org/officeDocument/2006/relationships/hyperlink" Target="https://app.clickup.com/t/86akm8zd2" TargetMode="External"/><Relationship Id="rId272" Type="http://schemas.openxmlformats.org/officeDocument/2006/relationships/hyperlink" Target="https://app.clickup.com/t/86aghpd4j" TargetMode="External"/><Relationship Id="rId577" Type="http://schemas.openxmlformats.org/officeDocument/2006/relationships/hyperlink" Target="https://app.clickup.com/t/86ak8wtpj" TargetMode="External"/><Relationship Id="rId700" Type="http://schemas.openxmlformats.org/officeDocument/2006/relationships/hyperlink" Target="https://app.clickup.com/t/86aew2yd7" TargetMode="External"/><Relationship Id="rId132" Type="http://schemas.openxmlformats.org/officeDocument/2006/relationships/hyperlink" Target="https://app.clickup.com/t/86aghv5gn" TargetMode="External"/><Relationship Id="rId784" Type="http://schemas.openxmlformats.org/officeDocument/2006/relationships/hyperlink" Target="https://app.clickup.com/t/86aged25h" TargetMode="External"/><Relationship Id="rId437" Type="http://schemas.openxmlformats.org/officeDocument/2006/relationships/hyperlink" Target="https://app.clickup.com/t/86acmwhyh" TargetMode="External"/><Relationship Id="rId644" Type="http://schemas.openxmlformats.org/officeDocument/2006/relationships/hyperlink" Target="https://app.clickup.com/t/86ahcknyn" TargetMode="External"/><Relationship Id="rId851" Type="http://schemas.openxmlformats.org/officeDocument/2006/relationships/hyperlink" Target="https://app.clickup.com/t/86aghcymf" TargetMode="External"/><Relationship Id="rId283" Type="http://schemas.openxmlformats.org/officeDocument/2006/relationships/hyperlink" Target="https://app.clickup.com/t/17tpepcep2n" TargetMode="External"/><Relationship Id="rId490" Type="http://schemas.openxmlformats.org/officeDocument/2006/relationships/hyperlink" Target="https://app.clickup.com/t/86agegq7m" TargetMode="External"/><Relationship Id="rId504" Type="http://schemas.openxmlformats.org/officeDocument/2006/relationships/hyperlink" Target="https://app.clickup.com/t/17tpepcprjh" TargetMode="External"/><Relationship Id="rId711" Type="http://schemas.openxmlformats.org/officeDocument/2006/relationships/hyperlink" Target="https://app.clickup.com/t/17tpepcprk0" TargetMode="External"/><Relationship Id="rId949" Type="http://schemas.openxmlformats.org/officeDocument/2006/relationships/hyperlink" Target="https://app.clickup.com/t/86acvxdvt" TargetMode="External"/><Relationship Id="rId78" Type="http://schemas.openxmlformats.org/officeDocument/2006/relationships/hyperlink" Target="https://app.clickup.com/t/86aget7yz" TargetMode="External"/><Relationship Id="rId143" Type="http://schemas.openxmlformats.org/officeDocument/2006/relationships/hyperlink" Target="https://app.clickup.com/t/86aj7rq96" TargetMode="External"/><Relationship Id="rId350" Type="http://schemas.openxmlformats.org/officeDocument/2006/relationships/hyperlink" Target="https://app.clickup.com/t/86ak1px4w" TargetMode="External"/><Relationship Id="rId588" Type="http://schemas.openxmlformats.org/officeDocument/2006/relationships/hyperlink" Target="https://app.clickup.com/t/86aj7etfy" TargetMode="External"/><Relationship Id="rId795" Type="http://schemas.openxmlformats.org/officeDocument/2006/relationships/hyperlink" Target="https://app.clickup.com/t/86ad731ye" TargetMode="External"/><Relationship Id="rId809" Type="http://schemas.openxmlformats.org/officeDocument/2006/relationships/hyperlink" Target="https://app.clickup.com/t/86ak01051" TargetMode="External"/><Relationship Id="rId9" Type="http://schemas.openxmlformats.org/officeDocument/2006/relationships/hyperlink" Target="https://app.clickup.com/t/86agetqqx" TargetMode="External"/><Relationship Id="rId210" Type="http://schemas.openxmlformats.org/officeDocument/2006/relationships/hyperlink" Target="https://app.clickup.com/t/86aj7a0kg" TargetMode="External"/><Relationship Id="rId448" Type="http://schemas.openxmlformats.org/officeDocument/2006/relationships/hyperlink" Target="https://app.clickup.com/t/86akm8zcn" TargetMode="External"/><Relationship Id="rId655" Type="http://schemas.openxmlformats.org/officeDocument/2006/relationships/hyperlink" Target="https://app.clickup.com/t/86aghnk7k" TargetMode="External"/><Relationship Id="rId862" Type="http://schemas.openxmlformats.org/officeDocument/2006/relationships/hyperlink" Target="https://app.clickup.com/t/86aj80bmn" TargetMode="External"/><Relationship Id="rId294" Type="http://schemas.openxmlformats.org/officeDocument/2006/relationships/hyperlink" Target="https://app.clickup.com/t/86agd825f" TargetMode="External"/><Relationship Id="rId308" Type="http://schemas.openxmlformats.org/officeDocument/2006/relationships/hyperlink" Target="https://app.clickup.com/t/86agc59nd" TargetMode="External"/><Relationship Id="rId515" Type="http://schemas.openxmlformats.org/officeDocument/2006/relationships/hyperlink" Target="https://app.clickup.com/t/86agvaj6z" TargetMode="External"/><Relationship Id="rId722" Type="http://schemas.openxmlformats.org/officeDocument/2006/relationships/hyperlink" Target="https://app.clickup.com/t/86agnyuvb" TargetMode="External"/><Relationship Id="rId89" Type="http://schemas.openxmlformats.org/officeDocument/2006/relationships/hyperlink" Target="https://app.clickup.com/t/17tpepcprk9" TargetMode="External"/><Relationship Id="rId154" Type="http://schemas.openxmlformats.org/officeDocument/2006/relationships/hyperlink" Target="https://app.clickup.com/t/86ahxbyqh" TargetMode="External"/><Relationship Id="rId361" Type="http://schemas.openxmlformats.org/officeDocument/2006/relationships/hyperlink" Target="https://app.clickup.com/t/86aj7b0ur" TargetMode="External"/><Relationship Id="rId599" Type="http://schemas.openxmlformats.org/officeDocument/2006/relationships/hyperlink" Target="https://app.clickup.com/t/86acmkhxv" TargetMode="External"/><Relationship Id="rId459" Type="http://schemas.openxmlformats.org/officeDocument/2006/relationships/hyperlink" Target="https://app.clickup.com/t/86aju2f6r" TargetMode="External"/><Relationship Id="rId666" Type="http://schemas.openxmlformats.org/officeDocument/2006/relationships/hyperlink" Target="https://app.clickup.com/t/86agd85na" TargetMode="External"/><Relationship Id="rId873" Type="http://schemas.openxmlformats.org/officeDocument/2006/relationships/hyperlink" Target="https://app.clickup.com/t/86aj7edg1" TargetMode="External"/><Relationship Id="rId16" Type="http://schemas.openxmlformats.org/officeDocument/2006/relationships/hyperlink" Target="https://app.clickup.com/t/86aghjy3t" TargetMode="External"/><Relationship Id="rId221" Type="http://schemas.openxmlformats.org/officeDocument/2006/relationships/hyperlink" Target="https://app.clickup.com/t/86agety12" TargetMode="External"/><Relationship Id="rId319" Type="http://schemas.openxmlformats.org/officeDocument/2006/relationships/hyperlink" Target="https://app.clickup.com/t/86agetqr5" TargetMode="External"/><Relationship Id="rId526" Type="http://schemas.openxmlformats.org/officeDocument/2006/relationships/hyperlink" Target="https://app.clickup.com/t/86agehd0r" TargetMode="External"/><Relationship Id="rId733" Type="http://schemas.openxmlformats.org/officeDocument/2006/relationships/hyperlink" Target="https://app.clickup.com/t/86adcfjfc" TargetMode="External"/><Relationship Id="rId940" Type="http://schemas.openxmlformats.org/officeDocument/2006/relationships/hyperlink" Target="https://app.clickup.com/t/86agdf9y2" TargetMode="External"/><Relationship Id="rId165" Type="http://schemas.openxmlformats.org/officeDocument/2006/relationships/hyperlink" Target="https://app.clickup.com/t/17tpepcdm30" TargetMode="External"/><Relationship Id="rId372" Type="http://schemas.openxmlformats.org/officeDocument/2006/relationships/hyperlink" Target="https://app.clickup.com/t/17tpepcpr6k" TargetMode="External"/><Relationship Id="rId677" Type="http://schemas.openxmlformats.org/officeDocument/2006/relationships/hyperlink" Target="https://app.clickup.com/t/86agehw2k" TargetMode="External"/><Relationship Id="rId800" Type="http://schemas.openxmlformats.org/officeDocument/2006/relationships/hyperlink" Target="https://app.clickup.com/t/86age47x7" TargetMode="External"/><Relationship Id="rId232" Type="http://schemas.openxmlformats.org/officeDocument/2006/relationships/hyperlink" Target="https://app.clickup.com/t/86agervek" TargetMode="External"/><Relationship Id="rId884" Type="http://schemas.openxmlformats.org/officeDocument/2006/relationships/hyperlink" Target="https://app.clickup.com/t/86ak8wt21" TargetMode="External"/><Relationship Id="rId27" Type="http://schemas.openxmlformats.org/officeDocument/2006/relationships/hyperlink" Target="https://app.clickup.com/t/86aj7bqh4" TargetMode="External"/><Relationship Id="rId537" Type="http://schemas.openxmlformats.org/officeDocument/2006/relationships/hyperlink" Target="https://app.clickup.com/t/17tpepcpu2a" TargetMode="External"/><Relationship Id="rId744" Type="http://schemas.openxmlformats.org/officeDocument/2006/relationships/hyperlink" Target="https://app.clickup.com/t/86ahyehpk" TargetMode="External"/><Relationship Id="rId951" Type="http://schemas.openxmlformats.org/officeDocument/2006/relationships/hyperlink" Target="https://app.clickup.com/t/86acvxch7" TargetMode="External"/><Relationship Id="rId80" Type="http://schemas.openxmlformats.org/officeDocument/2006/relationships/hyperlink" Target="https://app.clickup.com/t/17tpepcgphr" TargetMode="External"/><Relationship Id="rId176" Type="http://schemas.openxmlformats.org/officeDocument/2006/relationships/hyperlink" Target="https://app.clickup.com/t/86aj7nzv0" TargetMode="External"/><Relationship Id="rId383" Type="http://schemas.openxmlformats.org/officeDocument/2006/relationships/hyperlink" Target="https://app.clickup.com/t/86aghcynu" TargetMode="External"/><Relationship Id="rId590" Type="http://schemas.openxmlformats.org/officeDocument/2006/relationships/hyperlink" Target="https://app.clickup.com/t/86aj7edg2" TargetMode="External"/><Relationship Id="rId604" Type="http://schemas.openxmlformats.org/officeDocument/2006/relationships/hyperlink" Target="https://app.clickup.com/t/86ah2au8n" TargetMode="External"/><Relationship Id="rId811" Type="http://schemas.openxmlformats.org/officeDocument/2006/relationships/hyperlink" Target="https://app.clickup.com/t/86aght79b" TargetMode="External"/><Relationship Id="rId243" Type="http://schemas.openxmlformats.org/officeDocument/2006/relationships/hyperlink" Target="https://app.clickup.com/t/86ahcknzf" TargetMode="External"/><Relationship Id="rId450" Type="http://schemas.openxmlformats.org/officeDocument/2006/relationships/hyperlink" Target="https://app.clickup.com/t/86aghjy3p" TargetMode="External"/><Relationship Id="rId688" Type="http://schemas.openxmlformats.org/officeDocument/2006/relationships/hyperlink" Target="https://app.clickup.com/t/86aj8172f" TargetMode="External"/><Relationship Id="rId895" Type="http://schemas.openxmlformats.org/officeDocument/2006/relationships/hyperlink" Target="https://app.clickup.com/t/86agbc0fz" TargetMode="External"/><Relationship Id="rId909" Type="http://schemas.openxmlformats.org/officeDocument/2006/relationships/hyperlink" Target="https://app.clickup.com/t/86acmxgff" TargetMode="External"/><Relationship Id="rId38" Type="http://schemas.openxmlformats.org/officeDocument/2006/relationships/hyperlink" Target="https://app.clickup.com/t/86akm8zef" TargetMode="External"/><Relationship Id="rId103" Type="http://schemas.openxmlformats.org/officeDocument/2006/relationships/hyperlink" Target="https://app.clickup.com/t/17tpepcpr2y" TargetMode="External"/><Relationship Id="rId310" Type="http://schemas.openxmlformats.org/officeDocument/2006/relationships/hyperlink" Target="https://app.clickup.com/t/86agnyyd6" TargetMode="External"/><Relationship Id="rId548" Type="http://schemas.openxmlformats.org/officeDocument/2006/relationships/hyperlink" Target="https://app.clickup.com/t/17tpepcpu1u" TargetMode="External"/><Relationship Id="rId755" Type="http://schemas.openxmlformats.org/officeDocument/2006/relationships/hyperlink" Target="https://app.clickup.com/t/86aj806w0" TargetMode="External"/><Relationship Id="rId962" Type="http://schemas.openxmlformats.org/officeDocument/2006/relationships/hyperlink" Target="https://app.clickup.com/t/86aghccm4" TargetMode="External"/><Relationship Id="rId91" Type="http://schemas.openxmlformats.org/officeDocument/2006/relationships/hyperlink" Target="https://app.clickup.com/t/86aght7az" TargetMode="External"/><Relationship Id="rId187" Type="http://schemas.openxmlformats.org/officeDocument/2006/relationships/hyperlink" Target="https://app.clickup.com/t/86aghjy57" TargetMode="External"/><Relationship Id="rId394" Type="http://schemas.openxmlformats.org/officeDocument/2006/relationships/hyperlink" Target="https://app.clickup.com/t/86adp98np" TargetMode="External"/><Relationship Id="rId408" Type="http://schemas.openxmlformats.org/officeDocument/2006/relationships/hyperlink" Target="https://app.clickup.com/t/86agnzfvp" TargetMode="External"/><Relationship Id="rId615" Type="http://schemas.openxmlformats.org/officeDocument/2006/relationships/hyperlink" Target="https://app.clickup.com/t/86aghccpa" TargetMode="External"/><Relationship Id="rId822" Type="http://schemas.openxmlformats.org/officeDocument/2006/relationships/hyperlink" Target="https://app.clickup.com/t/86agcwbhb" TargetMode="External"/><Relationship Id="rId254" Type="http://schemas.openxmlformats.org/officeDocument/2006/relationships/hyperlink" Target="https://app.clickup.com/t/86agzk67a" TargetMode="External"/><Relationship Id="rId699" Type="http://schemas.openxmlformats.org/officeDocument/2006/relationships/hyperlink" Target="https://app.clickup.com/t/86agem64z" TargetMode="External"/><Relationship Id="rId49" Type="http://schemas.openxmlformats.org/officeDocument/2006/relationships/hyperlink" Target="https://app.clickup.com/t/86aghpd64" TargetMode="External"/><Relationship Id="rId114" Type="http://schemas.openxmlformats.org/officeDocument/2006/relationships/hyperlink" Target="https://app.clickup.com/t/86akm8zdw" TargetMode="External"/><Relationship Id="rId461" Type="http://schemas.openxmlformats.org/officeDocument/2006/relationships/hyperlink" Target="https://app.clickup.com/t/86ahfaxw1" TargetMode="External"/><Relationship Id="rId559" Type="http://schemas.openxmlformats.org/officeDocument/2006/relationships/hyperlink" Target="https://app.clickup.com/t/86agbacbm" TargetMode="External"/><Relationship Id="rId766" Type="http://schemas.openxmlformats.org/officeDocument/2006/relationships/hyperlink" Target="https://app.clickup.com/t/86agervej" TargetMode="External"/><Relationship Id="rId198" Type="http://schemas.openxmlformats.org/officeDocument/2006/relationships/hyperlink" Target="https://app.clickup.com/t/86aget0hz" TargetMode="External"/><Relationship Id="rId321" Type="http://schemas.openxmlformats.org/officeDocument/2006/relationships/hyperlink" Target="https://app.clickup.com/t/86akm8ze3" TargetMode="External"/><Relationship Id="rId419" Type="http://schemas.openxmlformats.org/officeDocument/2006/relationships/hyperlink" Target="https://app.clickup.com/t/86aghpd6m" TargetMode="External"/><Relationship Id="rId626" Type="http://schemas.openxmlformats.org/officeDocument/2006/relationships/hyperlink" Target="https://app.clickup.com/t/86ajv7gnq" TargetMode="External"/><Relationship Id="rId973" Type="http://schemas.openxmlformats.org/officeDocument/2006/relationships/hyperlink" Target="https://app.clickup.com/t/86agem63x" TargetMode="External"/><Relationship Id="rId833" Type="http://schemas.openxmlformats.org/officeDocument/2006/relationships/hyperlink" Target="https://app.clickup.com/t/86aghpd2z" TargetMode="External"/><Relationship Id="rId265" Type="http://schemas.openxmlformats.org/officeDocument/2006/relationships/hyperlink" Target="https://app.clickup.com/t/86aghmk5t" TargetMode="External"/><Relationship Id="rId472" Type="http://schemas.openxmlformats.org/officeDocument/2006/relationships/hyperlink" Target="https://app.clickup.com/t/86agd932g" TargetMode="External"/><Relationship Id="rId900" Type="http://schemas.openxmlformats.org/officeDocument/2006/relationships/hyperlink" Target="https://app.clickup.com/t/86agdw6ak" TargetMode="External"/><Relationship Id="rId125" Type="http://schemas.openxmlformats.org/officeDocument/2006/relationships/hyperlink" Target="https://app.clickup.com/t/86aghvmv4" TargetMode="External"/><Relationship Id="rId332" Type="http://schemas.openxmlformats.org/officeDocument/2006/relationships/hyperlink" Target="https://app.clickup.com/t/17tpepcpr28" TargetMode="External"/><Relationship Id="rId777" Type="http://schemas.openxmlformats.org/officeDocument/2006/relationships/hyperlink" Target="https://app.clickup.com/t/86aj81q2r" TargetMode="External"/><Relationship Id="rId637" Type="http://schemas.openxmlformats.org/officeDocument/2006/relationships/hyperlink" Target="https://app.clickup.com/t/86agetpf5" TargetMode="External"/><Relationship Id="rId844" Type="http://schemas.openxmlformats.org/officeDocument/2006/relationships/hyperlink" Target="https://app.clickup.com/t/17tpepcgwhv" TargetMode="External"/><Relationship Id="rId276" Type="http://schemas.openxmlformats.org/officeDocument/2006/relationships/hyperlink" Target="https://app.clickup.com/t/86aghvmuw" TargetMode="External"/><Relationship Id="rId483" Type="http://schemas.openxmlformats.org/officeDocument/2006/relationships/hyperlink" Target="https://app.clickup.com/t/86agegjw0" TargetMode="External"/><Relationship Id="rId690" Type="http://schemas.openxmlformats.org/officeDocument/2006/relationships/hyperlink" Target="https://app.clickup.com/t/86acmwdvu" TargetMode="External"/><Relationship Id="rId704" Type="http://schemas.openxmlformats.org/officeDocument/2006/relationships/hyperlink" Target="https://app.clickup.com/t/86aghjnh5" TargetMode="External"/><Relationship Id="rId911" Type="http://schemas.openxmlformats.org/officeDocument/2006/relationships/hyperlink" Target="https://app.clickup.com/t/86aghgbzg" TargetMode="External"/><Relationship Id="rId40" Type="http://schemas.openxmlformats.org/officeDocument/2006/relationships/hyperlink" Target="https://app.clickup.com/t/86acmwekb" TargetMode="External"/><Relationship Id="rId136" Type="http://schemas.openxmlformats.org/officeDocument/2006/relationships/hyperlink" Target="https://app.clickup.com/t/17tpepct4ck" TargetMode="External"/><Relationship Id="rId343" Type="http://schemas.openxmlformats.org/officeDocument/2006/relationships/hyperlink" Target="https://app.clickup.com/t/86agcvtg4" TargetMode="External"/><Relationship Id="rId550" Type="http://schemas.openxmlformats.org/officeDocument/2006/relationships/hyperlink" Target="https://app.clickup.com/t/86aghjnhb" TargetMode="External"/><Relationship Id="rId788" Type="http://schemas.openxmlformats.org/officeDocument/2006/relationships/hyperlink" Target="https://app.clickup.com/t/86ak8xc89" TargetMode="External"/><Relationship Id="rId203" Type="http://schemas.openxmlformats.org/officeDocument/2006/relationships/hyperlink" Target="https://app.clickup.com/t/86aght78w" TargetMode="External"/><Relationship Id="rId648" Type="http://schemas.openxmlformats.org/officeDocument/2006/relationships/hyperlink" Target="https://app.clickup.com/t/86agd8vk5" TargetMode="External"/><Relationship Id="rId855" Type="http://schemas.openxmlformats.org/officeDocument/2006/relationships/hyperlink" Target="https://app.clickup.com/t/86acmkf23" TargetMode="External"/><Relationship Id="rId287" Type="http://schemas.openxmlformats.org/officeDocument/2006/relationships/hyperlink" Target="https://app.clickup.com/t/86agetqt6" TargetMode="External"/><Relationship Id="rId410" Type="http://schemas.openxmlformats.org/officeDocument/2006/relationships/hyperlink" Target="https://app.clickup.com/t/86agd825m" TargetMode="External"/><Relationship Id="rId494" Type="http://schemas.openxmlformats.org/officeDocument/2006/relationships/hyperlink" Target="https://app.clickup.com/t/17tpepcpu1e" TargetMode="External"/><Relationship Id="rId508" Type="http://schemas.openxmlformats.org/officeDocument/2006/relationships/hyperlink" Target="https://app.clickup.com/t/86aj7ehm6" TargetMode="External"/><Relationship Id="rId715" Type="http://schemas.openxmlformats.org/officeDocument/2006/relationships/hyperlink" Target="https://app.clickup.com/t/86agv0dq2" TargetMode="External"/><Relationship Id="rId922" Type="http://schemas.openxmlformats.org/officeDocument/2006/relationships/hyperlink" Target="https://app.clickup.com/t/86agba9u3" TargetMode="External"/><Relationship Id="rId147" Type="http://schemas.openxmlformats.org/officeDocument/2006/relationships/hyperlink" Target="https://app.clickup.com/t/17tpepcgqnk" TargetMode="External"/><Relationship Id="rId354" Type="http://schemas.openxmlformats.org/officeDocument/2006/relationships/hyperlink" Target="https://app.clickup.com/t/86ak1hzqf" TargetMode="External"/><Relationship Id="rId799" Type="http://schemas.openxmlformats.org/officeDocument/2006/relationships/hyperlink" Target="https://app.clickup.com/t/86ah4bx8j" TargetMode="External"/><Relationship Id="rId51" Type="http://schemas.openxmlformats.org/officeDocument/2006/relationships/hyperlink" Target="https://app.clickup.com/t/17tpepcpu1k" TargetMode="External"/><Relationship Id="rId561" Type="http://schemas.openxmlformats.org/officeDocument/2006/relationships/hyperlink" Target="https://app.clickup.com/t/86akbg169" TargetMode="External"/><Relationship Id="rId659" Type="http://schemas.openxmlformats.org/officeDocument/2006/relationships/hyperlink" Target="https://app.clickup.com/t/86agbak8j" TargetMode="External"/><Relationship Id="rId866" Type="http://schemas.openxmlformats.org/officeDocument/2006/relationships/hyperlink" Target="https://app.clickup.com/t/86aj8051a" TargetMode="External"/><Relationship Id="rId214" Type="http://schemas.openxmlformats.org/officeDocument/2006/relationships/hyperlink" Target="https://app.clickup.com/t/86agjaf14" TargetMode="External"/><Relationship Id="rId298" Type="http://schemas.openxmlformats.org/officeDocument/2006/relationships/hyperlink" Target="https://app.clickup.com/t/17tpepcep33" TargetMode="External"/><Relationship Id="rId421" Type="http://schemas.openxmlformats.org/officeDocument/2006/relationships/hyperlink" Target="https://app.clickup.com/t/86ageg95w" TargetMode="External"/><Relationship Id="rId519" Type="http://schemas.openxmlformats.org/officeDocument/2006/relationships/hyperlink" Target="https://app.clickup.com/t/86aj6wf2e" TargetMode="External"/><Relationship Id="rId158" Type="http://schemas.openxmlformats.org/officeDocument/2006/relationships/hyperlink" Target="https://app.clickup.com/t/86aghmk4j" TargetMode="External"/><Relationship Id="rId726" Type="http://schemas.openxmlformats.org/officeDocument/2006/relationships/hyperlink" Target="https://app.clickup.com/t/86agnywek" TargetMode="External"/><Relationship Id="rId933" Type="http://schemas.openxmlformats.org/officeDocument/2006/relationships/hyperlink" Target="https://app.clickup.com/t/86agjabtq" TargetMode="External"/><Relationship Id="rId62" Type="http://schemas.openxmlformats.org/officeDocument/2006/relationships/hyperlink" Target="https://app.clickup.com/t/86agcx0kv" TargetMode="External"/><Relationship Id="rId365" Type="http://schemas.openxmlformats.org/officeDocument/2006/relationships/hyperlink" Target="https://app.clickup.com/t/17tpepcpu1g" TargetMode="External"/><Relationship Id="rId572" Type="http://schemas.openxmlformats.org/officeDocument/2006/relationships/hyperlink" Target="https://app.clickup.com/t/86agdxug5" TargetMode="External"/><Relationship Id="rId225" Type="http://schemas.openxmlformats.org/officeDocument/2006/relationships/hyperlink" Target="https://app.clickup.com/t/86akm8zby" TargetMode="External"/><Relationship Id="rId432" Type="http://schemas.openxmlformats.org/officeDocument/2006/relationships/hyperlink" Target="https://app.clickup.com/t/17tpepcgqy3" TargetMode="External"/><Relationship Id="rId877" Type="http://schemas.openxmlformats.org/officeDocument/2006/relationships/hyperlink" Target="https://app.clickup.com/t/86aj7cq19" TargetMode="External"/><Relationship Id="rId737" Type="http://schemas.openxmlformats.org/officeDocument/2006/relationships/hyperlink" Target="https://app.clickup.com/t/17tpepcdm2y" TargetMode="External"/><Relationship Id="rId944" Type="http://schemas.openxmlformats.org/officeDocument/2006/relationships/hyperlink" Target="https://app.clickup.com/t/86agcdv7m" TargetMode="External"/><Relationship Id="rId73" Type="http://schemas.openxmlformats.org/officeDocument/2006/relationships/hyperlink" Target="https://app.clickup.com/t/17tpepcpu1d" TargetMode="External"/><Relationship Id="rId169" Type="http://schemas.openxmlformats.org/officeDocument/2006/relationships/hyperlink" Target="https://app.clickup.com/t/86aj7qbvg" TargetMode="External"/><Relationship Id="rId376" Type="http://schemas.openxmlformats.org/officeDocument/2006/relationships/hyperlink" Target="https://app.clickup.com/t/86ajbu9jv" TargetMode="External"/><Relationship Id="rId583" Type="http://schemas.openxmlformats.org/officeDocument/2006/relationships/hyperlink" Target="https://app.clickup.com/t/86aj8171m" TargetMode="External"/><Relationship Id="rId790" Type="http://schemas.openxmlformats.org/officeDocument/2006/relationships/hyperlink" Target="https://app.clickup.com/t/86adcf6mn" TargetMode="External"/><Relationship Id="rId804" Type="http://schemas.openxmlformats.org/officeDocument/2006/relationships/hyperlink" Target="https://app.clickup.com/t/86agnyrnj" TargetMode="External"/><Relationship Id="rId4" Type="http://schemas.openxmlformats.org/officeDocument/2006/relationships/hyperlink" Target="https://app.clickup.com/t/86aghrguf" TargetMode="External"/><Relationship Id="rId236" Type="http://schemas.openxmlformats.org/officeDocument/2006/relationships/hyperlink" Target="https://app.clickup.com/t/86agy1hhy" TargetMode="External"/><Relationship Id="rId443" Type="http://schemas.openxmlformats.org/officeDocument/2006/relationships/hyperlink" Target="https://app.clickup.com/t/86acmwexu" TargetMode="External"/><Relationship Id="rId650" Type="http://schemas.openxmlformats.org/officeDocument/2006/relationships/hyperlink" Target="https://app.clickup.com/t/86aght78r" TargetMode="External"/><Relationship Id="rId888" Type="http://schemas.openxmlformats.org/officeDocument/2006/relationships/hyperlink" Target="https://app.clickup.com/t/86aj81729" TargetMode="External"/><Relationship Id="rId303" Type="http://schemas.openxmlformats.org/officeDocument/2006/relationships/hyperlink" Target="https://app.clickup.com/t/86ahkern3" TargetMode="External"/><Relationship Id="rId748" Type="http://schemas.openxmlformats.org/officeDocument/2006/relationships/hyperlink" Target="https://app.clickup.com/t/86ahyee99" TargetMode="External"/><Relationship Id="rId955" Type="http://schemas.openxmlformats.org/officeDocument/2006/relationships/hyperlink" Target="https://app.clickup.com/t/86acmweve" TargetMode="External"/><Relationship Id="rId84" Type="http://schemas.openxmlformats.org/officeDocument/2006/relationships/hyperlink" Target="https://app.clickup.com/t/86akam4qm" TargetMode="External"/><Relationship Id="rId387" Type="http://schemas.openxmlformats.org/officeDocument/2006/relationships/hyperlink" Target="https://app.clickup.com/t/86acmwezp" TargetMode="External"/><Relationship Id="rId510" Type="http://schemas.openxmlformats.org/officeDocument/2006/relationships/hyperlink" Target="https://app.clickup.com/t/17tpepcprjm" TargetMode="External"/><Relationship Id="rId594" Type="http://schemas.openxmlformats.org/officeDocument/2006/relationships/hyperlink" Target="https://app.clickup.com/t/86ah4ayf5" TargetMode="External"/><Relationship Id="rId608" Type="http://schemas.openxmlformats.org/officeDocument/2006/relationships/hyperlink" Target="https://app.clickup.com/t/86age4cnw" TargetMode="External"/><Relationship Id="rId815" Type="http://schemas.openxmlformats.org/officeDocument/2006/relationships/hyperlink" Target="https://app.clickup.com/t/86aghnk6v" TargetMode="External"/><Relationship Id="rId247" Type="http://schemas.openxmlformats.org/officeDocument/2006/relationships/hyperlink" Target="https://app.clickup.com/t/17tpepct4cc" TargetMode="External"/><Relationship Id="rId899" Type="http://schemas.openxmlformats.org/officeDocument/2006/relationships/hyperlink" Target="https://app.clickup.com/t/86agedpc9" TargetMode="External"/><Relationship Id="rId107" Type="http://schemas.openxmlformats.org/officeDocument/2006/relationships/hyperlink" Target="https://app.clickup.com/t/86aj7bx9d" TargetMode="External"/><Relationship Id="rId454" Type="http://schemas.openxmlformats.org/officeDocument/2006/relationships/hyperlink" Target="https://app.clickup.com/t/86akbjqec" TargetMode="External"/><Relationship Id="rId661" Type="http://schemas.openxmlformats.org/officeDocument/2006/relationships/hyperlink" Target="https://app.clickup.com/t/86ahcknza" TargetMode="External"/><Relationship Id="rId759" Type="http://schemas.openxmlformats.org/officeDocument/2006/relationships/hyperlink" Target="https://app.clickup.com/t/86aj7ehky" TargetMode="External"/><Relationship Id="rId966" Type="http://schemas.openxmlformats.org/officeDocument/2006/relationships/hyperlink" Target="https://app.clickup.com/t/86ajfk6mf" TargetMode="External"/><Relationship Id="rId11" Type="http://schemas.openxmlformats.org/officeDocument/2006/relationships/hyperlink" Target="https://app.clickup.com/t/86agjaf19" TargetMode="External"/><Relationship Id="rId314" Type="http://schemas.openxmlformats.org/officeDocument/2006/relationships/hyperlink" Target="https://app.clickup.com/t/86akm8zdz" TargetMode="External"/><Relationship Id="rId398" Type="http://schemas.openxmlformats.org/officeDocument/2006/relationships/hyperlink" Target="https://app.clickup.com/t/17tpepcdk0k" TargetMode="External"/><Relationship Id="rId521" Type="http://schemas.openxmlformats.org/officeDocument/2006/relationships/hyperlink" Target="https://app.clickup.com/t/17tpepct4d5" TargetMode="External"/><Relationship Id="rId619" Type="http://schemas.openxmlformats.org/officeDocument/2006/relationships/hyperlink" Target="https://app.clickup.com/t/86agwyda2" TargetMode="External"/><Relationship Id="rId95" Type="http://schemas.openxmlformats.org/officeDocument/2006/relationships/hyperlink" Target="https://app.clickup.com/t/86ahckp0x" TargetMode="External"/><Relationship Id="rId160" Type="http://schemas.openxmlformats.org/officeDocument/2006/relationships/hyperlink" Target="https://app.clickup.com/t/17tpepcpr2u" TargetMode="External"/><Relationship Id="rId826" Type="http://schemas.openxmlformats.org/officeDocument/2006/relationships/hyperlink" Target="https://app.clickup.com/t/86aghjy5x" TargetMode="External"/><Relationship Id="rId258" Type="http://schemas.openxmlformats.org/officeDocument/2006/relationships/hyperlink" Target="https://app.clickup.com/t/17tpepcpu18" TargetMode="External"/><Relationship Id="rId465" Type="http://schemas.openxmlformats.org/officeDocument/2006/relationships/hyperlink" Target="https://app.clickup.com/t/86agem639" TargetMode="External"/><Relationship Id="rId672" Type="http://schemas.openxmlformats.org/officeDocument/2006/relationships/hyperlink" Target="https://app.clickup.com/t/86ah20kyf" TargetMode="External"/><Relationship Id="rId22" Type="http://schemas.openxmlformats.org/officeDocument/2006/relationships/hyperlink" Target="https://app.clickup.com/t/86acmxhwv" TargetMode="External"/><Relationship Id="rId118" Type="http://schemas.openxmlformats.org/officeDocument/2006/relationships/hyperlink" Target="https://app.clickup.com/t/17tpepcgqwv" TargetMode="External"/><Relationship Id="rId325" Type="http://schemas.openxmlformats.org/officeDocument/2006/relationships/hyperlink" Target="https://app.clickup.com/t/86akm8zbp" TargetMode="External"/><Relationship Id="rId532" Type="http://schemas.openxmlformats.org/officeDocument/2006/relationships/hyperlink" Target="https://app.clickup.com/t/86ageggv8" TargetMode="External"/><Relationship Id="rId977" Type="http://schemas.openxmlformats.org/officeDocument/2006/relationships/hyperlink" Target="https://app.clickup.com/t/86aj80zzr" TargetMode="External"/><Relationship Id="rId171" Type="http://schemas.openxmlformats.org/officeDocument/2006/relationships/hyperlink" Target="https://app.clickup.com/t/86aj7nzvm" TargetMode="External"/><Relationship Id="rId837" Type="http://schemas.openxmlformats.org/officeDocument/2006/relationships/hyperlink" Target="https://app.clickup.com/t/86agzkd08" TargetMode="External"/><Relationship Id="rId269" Type="http://schemas.openxmlformats.org/officeDocument/2006/relationships/hyperlink" Target="https://app.clickup.com/t/86agc5c94" TargetMode="External"/><Relationship Id="rId476" Type="http://schemas.openxmlformats.org/officeDocument/2006/relationships/hyperlink" Target="https://app.clickup.com/t/86ah1yu24" TargetMode="External"/><Relationship Id="rId683" Type="http://schemas.openxmlformats.org/officeDocument/2006/relationships/hyperlink" Target="https://app.clickup.com/t/86agdxcwd" TargetMode="External"/><Relationship Id="rId890" Type="http://schemas.openxmlformats.org/officeDocument/2006/relationships/hyperlink" Target="https://app.clickup.com/t/86aj811pn" TargetMode="External"/><Relationship Id="rId904" Type="http://schemas.openxmlformats.org/officeDocument/2006/relationships/hyperlink" Target="https://app.clickup.com/t/17tpepcpr7w" TargetMode="External"/><Relationship Id="rId33" Type="http://schemas.openxmlformats.org/officeDocument/2006/relationships/hyperlink" Target="https://app.clickup.com/t/86aj7nzvf" TargetMode="External"/><Relationship Id="rId129" Type="http://schemas.openxmlformats.org/officeDocument/2006/relationships/hyperlink" Target="https://app.clickup.com/t/86aj7b9g5" TargetMode="External"/><Relationship Id="rId336" Type="http://schemas.openxmlformats.org/officeDocument/2006/relationships/hyperlink" Target="https://app.clickup.com/t/86aja97du" TargetMode="External"/><Relationship Id="rId543" Type="http://schemas.openxmlformats.org/officeDocument/2006/relationships/hyperlink" Target="https://app.clickup.com/t/86acvx92y" TargetMode="External"/><Relationship Id="rId182" Type="http://schemas.openxmlformats.org/officeDocument/2006/relationships/hyperlink" Target="https://app.clickup.com/t/86aj7nzu0" TargetMode="External"/><Relationship Id="rId403" Type="http://schemas.openxmlformats.org/officeDocument/2006/relationships/hyperlink" Target="https://app.clickup.com/t/86aghjnhp" TargetMode="External"/><Relationship Id="rId750" Type="http://schemas.openxmlformats.org/officeDocument/2006/relationships/hyperlink" Target="https://app.clickup.com/t/86ahxbm0f" TargetMode="External"/><Relationship Id="rId848" Type="http://schemas.openxmlformats.org/officeDocument/2006/relationships/hyperlink" Target="https://app.clickup.com/t/86acmwent" TargetMode="External"/><Relationship Id="rId487" Type="http://schemas.openxmlformats.org/officeDocument/2006/relationships/hyperlink" Target="https://app.clickup.com/t/86acmkh8e" TargetMode="External"/><Relationship Id="rId610" Type="http://schemas.openxmlformats.org/officeDocument/2006/relationships/hyperlink" Target="https://app.clickup.com/t/86agd825h" TargetMode="External"/><Relationship Id="rId694" Type="http://schemas.openxmlformats.org/officeDocument/2006/relationships/hyperlink" Target="https://app.clickup.com/t/86aghvmvp" TargetMode="External"/><Relationship Id="rId708" Type="http://schemas.openxmlformats.org/officeDocument/2006/relationships/hyperlink" Target="https://app.clickup.com/t/17tpepcpu1y" TargetMode="External"/><Relationship Id="rId915" Type="http://schemas.openxmlformats.org/officeDocument/2006/relationships/hyperlink" Target="https://app.clickup.com/t/86aghjy3c" TargetMode="External"/><Relationship Id="rId347" Type="http://schemas.openxmlformats.org/officeDocument/2006/relationships/hyperlink" Target="https://app.clickup.com/t/86ah27kta" TargetMode="External"/><Relationship Id="rId44" Type="http://schemas.openxmlformats.org/officeDocument/2006/relationships/hyperlink" Target="https://app.clickup.com/t/86aget7yk" TargetMode="External"/><Relationship Id="rId554" Type="http://schemas.openxmlformats.org/officeDocument/2006/relationships/hyperlink" Target="https://app.clickup.com/t/86agen7zu" TargetMode="External"/><Relationship Id="rId761" Type="http://schemas.openxmlformats.org/officeDocument/2006/relationships/hyperlink" Target="https://app.clickup.com/t/86aj7edg4" TargetMode="External"/><Relationship Id="rId859" Type="http://schemas.openxmlformats.org/officeDocument/2006/relationships/hyperlink" Target="https://app.clickup.com/t/86akbff20" TargetMode="External"/><Relationship Id="rId193" Type="http://schemas.openxmlformats.org/officeDocument/2006/relationships/hyperlink" Target="https://app.clickup.com/t/17tpepcgm2f" TargetMode="External"/><Relationship Id="rId207" Type="http://schemas.openxmlformats.org/officeDocument/2006/relationships/hyperlink" Target="https://app.clickup.com/t/86aj7b0va" TargetMode="External"/><Relationship Id="rId414" Type="http://schemas.openxmlformats.org/officeDocument/2006/relationships/hyperlink" Target="https://app.clickup.com/t/17tpepcep4z" TargetMode="External"/><Relationship Id="rId498" Type="http://schemas.openxmlformats.org/officeDocument/2006/relationships/hyperlink" Target="https://app.clickup.com/t/86ahketju" TargetMode="External"/><Relationship Id="rId621" Type="http://schemas.openxmlformats.org/officeDocument/2006/relationships/hyperlink" Target="https://app.clickup.com/t/86agetcvx" TargetMode="External"/><Relationship Id="rId260" Type="http://schemas.openxmlformats.org/officeDocument/2006/relationships/hyperlink" Target="https://app.clickup.com/t/17tpepcprjb" TargetMode="External"/><Relationship Id="rId719" Type="http://schemas.openxmlformats.org/officeDocument/2006/relationships/hyperlink" Target="https://app.clickup.com/t/86ah4bxa3" TargetMode="External"/><Relationship Id="rId926" Type="http://schemas.openxmlformats.org/officeDocument/2006/relationships/hyperlink" Target="https://app.clickup.com/t/86agj0q0t" TargetMode="External"/><Relationship Id="rId55" Type="http://schemas.openxmlformats.org/officeDocument/2006/relationships/hyperlink" Target="https://app.clickup.com/t/17tpepcpr2r" TargetMode="External"/><Relationship Id="rId120" Type="http://schemas.openxmlformats.org/officeDocument/2006/relationships/hyperlink" Target="https://app.clickup.com/t/17tpepcent3" TargetMode="External"/><Relationship Id="rId358" Type="http://schemas.openxmlformats.org/officeDocument/2006/relationships/hyperlink" Target="https://app.clickup.com/t/86aj7bdp1" TargetMode="External"/><Relationship Id="rId565" Type="http://schemas.openxmlformats.org/officeDocument/2006/relationships/hyperlink" Target="https://app.clickup.com/t/86akam2dc" TargetMode="External"/><Relationship Id="rId772" Type="http://schemas.openxmlformats.org/officeDocument/2006/relationships/hyperlink" Target="https://app.clickup.com/t/86ak8wur7" TargetMode="External"/><Relationship Id="rId218" Type="http://schemas.openxmlformats.org/officeDocument/2006/relationships/hyperlink" Target="https://app.clickup.com/t/86agd80q7" TargetMode="External"/><Relationship Id="rId425" Type="http://schemas.openxmlformats.org/officeDocument/2006/relationships/hyperlink" Target="https://app.clickup.com/t/86agdwatb" TargetMode="External"/><Relationship Id="rId632" Type="http://schemas.openxmlformats.org/officeDocument/2006/relationships/hyperlink" Target="https://app.clickup.com/t/17tpepcgu8m" TargetMode="External"/><Relationship Id="rId271" Type="http://schemas.openxmlformats.org/officeDocument/2006/relationships/hyperlink" Target="https://app.clickup.com/t/17tpepcdaeg" TargetMode="External"/><Relationship Id="rId937" Type="http://schemas.openxmlformats.org/officeDocument/2006/relationships/hyperlink" Target="https://app.clickup.com/t/86agdxkqg" TargetMode="External"/><Relationship Id="rId66" Type="http://schemas.openxmlformats.org/officeDocument/2006/relationships/hyperlink" Target="https://app.clickup.com/t/86aget0j9" TargetMode="External"/><Relationship Id="rId131" Type="http://schemas.openxmlformats.org/officeDocument/2006/relationships/hyperlink" Target="https://app.clickup.com/t/86ah20vy7" TargetMode="External"/><Relationship Id="rId369" Type="http://schemas.openxmlformats.org/officeDocument/2006/relationships/hyperlink" Target="https://app.clickup.com/t/86aghgbyn" TargetMode="External"/><Relationship Id="rId576" Type="http://schemas.openxmlformats.org/officeDocument/2006/relationships/hyperlink" Target="https://app.clickup.com/t/86ak8xk3a" TargetMode="External"/><Relationship Id="rId783" Type="http://schemas.openxmlformats.org/officeDocument/2006/relationships/hyperlink" Target="https://app.clickup.com/t/86acmxem6" TargetMode="External"/><Relationship Id="rId229" Type="http://schemas.openxmlformats.org/officeDocument/2006/relationships/hyperlink" Target="https://app.clickup.com/t/86ahyemjf" TargetMode="External"/><Relationship Id="rId436" Type="http://schemas.openxmlformats.org/officeDocument/2006/relationships/hyperlink" Target="https://app.clickup.com/t/86acmxeyv" TargetMode="External"/><Relationship Id="rId643" Type="http://schemas.openxmlformats.org/officeDocument/2006/relationships/hyperlink" Target="https://app.clickup.com/t/17tpepcdg1u" TargetMode="External"/><Relationship Id="rId850" Type="http://schemas.openxmlformats.org/officeDocument/2006/relationships/hyperlink" Target="https://app.clickup.com/t/86aghm6hz" TargetMode="External"/><Relationship Id="rId948" Type="http://schemas.openxmlformats.org/officeDocument/2006/relationships/hyperlink" Target="https://app.clickup.com/t/86ad1d9qy" TargetMode="External"/><Relationship Id="rId77" Type="http://schemas.openxmlformats.org/officeDocument/2006/relationships/hyperlink" Target="https://app.clickup.com/t/86agetqtb" TargetMode="External"/><Relationship Id="rId282" Type="http://schemas.openxmlformats.org/officeDocument/2006/relationships/hyperlink" Target="https://app.clickup.com/t/86acmwf2n" TargetMode="External"/><Relationship Id="rId503" Type="http://schemas.openxmlformats.org/officeDocument/2006/relationships/hyperlink" Target="https://app.clickup.com/t/17tpepcpr27" TargetMode="External"/><Relationship Id="rId587" Type="http://schemas.openxmlformats.org/officeDocument/2006/relationships/hyperlink" Target="https://app.clickup.com/t/86aj7etg1" TargetMode="External"/><Relationship Id="rId710" Type="http://schemas.openxmlformats.org/officeDocument/2006/relationships/hyperlink" Target="https://app.clickup.com/t/17tpepcprk1" TargetMode="External"/><Relationship Id="rId808" Type="http://schemas.openxmlformats.org/officeDocument/2006/relationships/hyperlink" Target="https://app.clickup.com/t/17tpepcgu8n" TargetMode="External"/><Relationship Id="rId8" Type="http://schemas.openxmlformats.org/officeDocument/2006/relationships/hyperlink" Target="https://app.clickup.com/t/86aj81736" TargetMode="External"/><Relationship Id="rId142" Type="http://schemas.openxmlformats.org/officeDocument/2006/relationships/hyperlink" Target="https://app.clickup.com/t/86akm8w63" TargetMode="External"/><Relationship Id="rId447" Type="http://schemas.openxmlformats.org/officeDocument/2006/relationships/hyperlink" Target="https://app.clickup.com/t/17tpepcghca" TargetMode="External"/><Relationship Id="rId794" Type="http://schemas.openxmlformats.org/officeDocument/2006/relationships/hyperlink" Target="https://app.clickup.com/t/86ad740kv" TargetMode="External"/><Relationship Id="rId654" Type="http://schemas.openxmlformats.org/officeDocument/2006/relationships/hyperlink" Target="https://app.clickup.com/t/17tpepcdaee" TargetMode="External"/><Relationship Id="rId861" Type="http://schemas.openxmlformats.org/officeDocument/2006/relationships/hyperlink" Target="https://app.clickup.com/t/86aj80vwq" TargetMode="External"/><Relationship Id="rId959" Type="http://schemas.openxmlformats.org/officeDocument/2006/relationships/hyperlink" Target="https://app.clickup.com/t/86aghm6gm" TargetMode="External"/><Relationship Id="rId293" Type="http://schemas.openxmlformats.org/officeDocument/2006/relationships/hyperlink" Target="https://app.clickup.com/t/86acmxhx0" TargetMode="External"/><Relationship Id="rId307" Type="http://schemas.openxmlformats.org/officeDocument/2006/relationships/hyperlink" Target="https://app.clickup.com/t/86ahketck" TargetMode="External"/><Relationship Id="rId514" Type="http://schemas.openxmlformats.org/officeDocument/2006/relationships/hyperlink" Target="https://app.clickup.com/t/86akm8ze6" TargetMode="External"/><Relationship Id="rId721" Type="http://schemas.openxmlformats.org/officeDocument/2006/relationships/hyperlink" Target="https://app.clickup.com/t/86ah4bx97" TargetMode="External"/><Relationship Id="rId88" Type="http://schemas.openxmlformats.org/officeDocument/2006/relationships/hyperlink" Target="https://app.clickup.com/t/86akm8zd7" TargetMode="External"/><Relationship Id="rId153" Type="http://schemas.openxmlformats.org/officeDocument/2006/relationships/hyperlink" Target="https://app.clickup.com/t/86aj7bx9m" TargetMode="External"/><Relationship Id="rId360" Type="http://schemas.openxmlformats.org/officeDocument/2006/relationships/hyperlink" Target="https://app.clickup.com/t/86aj7b9fy" TargetMode="External"/><Relationship Id="rId598" Type="http://schemas.openxmlformats.org/officeDocument/2006/relationships/hyperlink" Target="https://app.clickup.com/t/86acmwz7c" TargetMode="External"/><Relationship Id="rId819" Type="http://schemas.openxmlformats.org/officeDocument/2006/relationships/hyperlink" Target="https://app.clickup.com/t/86aj0aedq" TargetMode="External"/><Relationship Id="rId220" Type="http://schemas.openxmlformats.org/officeDocument/2006/relationships/hyperlink" Target="https://app.clickup.com/t/86aghmk4x" TargetMode="External"/><Relationship Id="rId458" Type="http://schemas.openxmlformats.org/officeDocument/2006/relationships/hyperlink" Target="https://app.clickup.com/t/86akbjmw5" TargetMode="External"/><Relationship Id="rId665" Type="http://schemas.openxmlformats.org/officeDocument/2006/relationships/hyperlink" Target="https://app.clickup.com/t/86agdxvm8" TargetMode="External"/><Relationship Id="rId872" Type="http://schemas.openxmlformats.org/officeDocument/2006/relationships/hyperlink" Target="https://app.clickup.com/t/86aj7edg5" TargetMode="External"/><Relationship Id="rId15" Type="http://schemas.openxmlformats.org/officeDocument/2006/relationships/hyperlink" Target="https://app.clickup.com/t/86akm8zcd" TargetMode="External"/><Relationship Id="rId318" Type="http://schemas.openxmlformats.org/officeDocument/2006/relationships/hyperlink" Target="https://app.clickup.com/t/86aghg2yw" TargetMode="External"/><Relationship Id="rId525" Type="http://schemas.openxmlformats.org/officeDocument/2006/relationships/hyperlink" Target="https://app.clickup.com/t/86agvadxu" TargetMode="External"/><Relationship Id="rId732" Type="http://schemas.openxmlformats.org/officeDocument/2006/relationships/hyperlink" Target="https://app.clickup.com/t/86adcft1p" TargetMode="External"/><Relationship Id="rId99" Type="http://schemas.openxmlformats.org/officeDocument/2006/relationships/hyperlink" Target="https://app.clickup.com/t/86aghccq2" TargetMode="External"/><Relationship Id="rId164" Type="http://schemas.openxmlformats.org/officeDocument/2006/relationships/hyperlink" Target="https://app.clickup.com/t/17tpepcghcf" TargetMode="External"/><Relationship Id="rId371" Type="http://schemas.openxmlformats.org/officeDocument/2006/relationships/hyperlink" Target="https://app.clickup.com/t/17tpepcprj0" TargetMode="External"/><Relationship Id="rId469" Type="http://schemas.openxmlformats.org/officeDocument/2006/relationships/hyperlink" Target="https://app.clickup.com/t/86agdhgnr" TargetMode="External"/><Relationship Id="rId676" Type="http://schemas.openxmlformats.org/officeDocument/2006/relationships/hyperlink" Target="https://app.clickup.com/t/86agjaf0v" TargetMode="External"/><Relationship Id="rId883" Type="http://schemas.openxmlformats.org/officeDocument/2006/relationships/hyperlink" Target="https://app.clickup.com/t/86ak8wt9c" TargetMode="External"/><Relationship Id="rId26" Type="http://schemas.openxmlformats.org/officeDocument/2006/relationships/hyperlink" Target="https://app.clickup.com/t/17tpepcdk0j" TargetMode="External"/><Relationship Id="rId231" Type="http://schemas.openxmlformats.org/officeDocument/2006/relationships/hyperlink" Target="https://app.clickup.com/t/86ah4b34c" TargetMode="External"/><Relationship Id="rId329" Type="http://schemas.openxmlformats.org/officeDocument/2006/relationships/hyperlink" Target="https://app.clickup.com/t/86aghcck7" TargetMode="External"/><Relationship Id="rId536" Type="http://schemas.openxmlformats.org/officeDocument/2006/relationships/hyperlink" Target="https://app.clickup.com/t/17tpepct4cg" TargetMode="External"/><Relationship Id="rId175" Type="http://schemas.openxmlformats.org/officeDocument/2006/relationships/hyperlink" Target="https://app.clickup.com/t/86aj7nzv1" TargetMode="External"/><Relationship Id="rId743" Type="http://schemas.openxmlformats.org/officeDocument/2006/relationships/hyperlink" Target="https://app.clickup.com/t/86ahyemhb" TargetMode="External"/><Relationship Id="rId950" Type="http://schemas.openxmlformats.org/officeDocument/2006/relationships/hyperlink" Target="https://app.clickup.com/t/86acvxdv7" TargetMode="External"/><Relationship Id="rId382" Type="http://schemas.openxmlformats.org/officeDocument/2006/relationships/hyperlink" Target="https://app.clickup.com/t/86agetcvj" TargetMode="External"/><Relationship Id="rId603" Type="http://schemas.openxmlformats.org/officeDocument/2006/relationships/hyperlink" Target="https://app.clickup.com/t/86acmkad2" TargetMode="External"/><Relationship Id="rId687" Type="http://schemas.openxmlformats.org/officeDocument/2006/relationships/hyperlink" Target="https://app.clickup.com/t/86agcwum3" TargetMode="External"/><Relationship Id="rId810" Type="http://schemas.openxmlformats.org/officeDocument/2006/relationships/hyperlink" Target="https://app.clickup.com/t/86aght7ap" TargetMode="External"/><Relationship Id="rId908" Type="http://schemas.openxmlformats.org/officeDocument/2006/relationships/hyperlink" Target="https://app.clickup.com/t/86agem64b" TargetMode="External"/><Relationship Id="rId242" Type="http://schemas.openxmlformats.org/officeDocument/2006/relationships/hyperlink" Target="https://app.clickup.com/t/86ahcknzr" TargetMode="External"/><Relationship Id="rId894" Type="http://schemas.openxmlformats.org/officeDocument/2006/relationships/hyperlink" Target="https://app.clickup.com/t/86agc55f1" TargetMode="External"/><Relationship Id="rId37" Type="http://schemas.openxmlformats.org/officeDocument/2006/relationships/hyperlink" Target="https://app.clickup.com/t/86aghg2zx" TargetMode="External"/><Relationship Id="rId102" Type="http://schemas.openxmlformats.org/officeDocument/2006/relationships/hyperlink" Target="https://app.clickup.com/t/17tpepct4ch" TargetMode="External"/><Relationship Id="rId547" Type="http://schemas.openxmlformats.org/officeDocument/2006/relationships/hyperlink" Target="https://app.clickup.com/t/86acw3r68" TargetMode="External"/><Relationship Id="rId754" Type="http://schemas.openxmlformats.org/officeDocument/2006/relationships/hyperlink" Target="https://app.clickup.com/t/86aj80add" TargetMode="External"/><Relationship Id="rId961" Type="http://schemas.openxmlformats.org/officeDocument/2006/relationships/hyperlink" Target="https://app.clickup.com/t/86aghmk2j" TargetMode="External"/><Relationship Id="rId90" Type="http://schemas.openxmlformats.org/officeDocument/2006/relationships/hyperlink" Target="https://app.clickup.com/t/17tpepcgpg1" TargetMode="External"/><Relationship Id="rId186" Type="http://schemas.openxmlformats.org/officeDocument/2006/relationships/hyperlink" Target="https://app.clickup.com/t/86aghmk46" TargetMode="External"/><Relationship Id="rId393" Type="http://schemas.openxmlformats.org/officeDocument/2006/relationships/hyperlink" Target="https://app.clickup.com/t/86aghvmvv" TargetMode="External"/><Relationship Id="rId407" Type="http://schemas.openxmlformats.org/officeDocument/2006/relationships/hyperlink" Target="https://app.clickup.com/t/86agc5773" TargetMode="External"/><Relationship Id="rId614" Type="http://schemas.openxmlformats.org/officeDocument/2006/relationships/hyperlink" Target="https://app.clickup.com/t/86aghmk20" TargetMode="External"/><Relationship Id="rId821" Type="http://schemas.openxmlformats.org/officeDocument/2006/relationships/hyperlink" Target="https://app.clickup.com/t/86agdw29k" TargetMode="External"/><Relationship Id="rId253" Type="http://schemas.openxmlformats.org/officeDocument/2006/relationships/hyperlink" Target="https://app.clickup.com/t/86ah25xb9" TargetMode="External"/><Relationship Id="rId460" Type="http://schemas.openxmlformats.org/officeDocument/2006/relationships/hyperlink" Target="https://app.clickup.com/t/86aju2dr9" TargetMode="External"/><Relationship Id="rId698" Type="http://schemas.openxmlformats.org/officeDocument/2006/relationships/hyperlink" Target="https://app.clickup.com/t/86agerve9" TargetMode="External"/><Relationship Id="rId919" Type="http://schemas.openxmlformats.org/officeDocument/2006/relationships/hyperlink" Target="https://app.clickup.com/t/86agc5k9z" TargetMode="External"/><Relationship Id="rId48" Type="http://schemas.openxmlformats.org/officeDocument/2006/relationships/hyperlink" Target="https://app.clickup.com/t/86aghvmuc" TargetMode="External"/><Relationship Id="rId113" Type="http://schemas.openxmlformats.org/officeDocument/2006/relationships/hyperlink" Target="https://app.clickup.com/t/86ah42zgr" TargetMode="External"/><Relationship Id="rId320" Type="http://schemas.openxmlformats.org/officeDocument/2006/relationships/hyperlink" Target="https://app.clickup.com/t/17tpepcprk8" TargetMode="External"/><Relationship Id="rId558" Type="http://schemas.openxmlformats.org/officeDocument/2006/relationships/hyperlink" Target="https://app.clickup.com/t/86agetcvn" TargetMode="External"/><Relationship Id="rId765" Type="http://schemas.openxmlformats.org/officeDocument/2006/relationships/hyperlink" Target="https://app.clickup.com/t/86aget0h6" TargetMode="External"/><Relationship Id="rId972" Type="http://schemas.openxmlformats.org/officeDocument/2006/relationships/hyperlink" Target="https://app.clickup.com/t/86agem645" TargetMode="External"/><Relationship Id="rId197" Type="http://schemas.openxmlformats.org/officeDocument/2006/relationships/hyperlink" Target="https://app.clickup.com/t/86akm8zbv" TargetMode="External"/><Relationship Id="rId418" Type="http://schemas.openxmlformats.org/officeDocument/2006/relationships/hyperlink" Target="https://app.clickup.com/t/86agjaf0z" TargetMode="External"/><Relationship Id="rId625" Type="http://schemas.openxmlformats.org/officeDocument/2006/relationships/hyperlink" Target="https://app.clickup.com/t/86ajv7h6t" TargetMode="External"/><Relationship Id="rId832" Type="http://schemas.openxmlformats.org/officeDocument/2006/relationships/hyperlink" Target="https://app.clickup.com/t/86aghpd7e" TargetMode="External"/><Relationship Id="rId264" Type="http://schemas.openxmlformats.org/officeDocument/2006/relationships/hyperlink" Target="https://app.clickup.com/t/86aghrgv6" TargetMode="External"/><Relationship Id="rId471" Type="http://schemas.openxmlformats.org/officeDocument/2006/relationships/hyperlink" Target="https://app.clickup.com/t/17tpepcdm32" TargetMode="External"/><Relationship Id="rId59" Type="http://schemas.openxmlformats.org/officeDocument/2006/relationships/hyperlink" Target="https://app.clickup.com/t/86aj7c618" TargetMode="External"/><Relationship Id="rId124" Type="http://schemas.openxmlformats.org/officeDocument/2006/relationships/hyperlink" Target="https://app.clickup.com/t/86aghrgwq" TargetMode="External"/><Relationship Id="rId569" Type="http://schemas.openxmlformats.org/officeDocument/2006/relationships/hyperlink" Target="https://app.clickup.com/t/86aj7ehmd" TargetMode="External"/><Relationship Id="rId776" Type="http://schemas.openxmlformats.org/officeDocument/2006/relationships/hyperlink" Target="https://app.clickup.com/t/86aj81q2v" TargetMode="External"/><Relationship Id="rId331" Type="http://schemas.openxmlformats.org/officeDocument/2006/relationships/hyperlink" Target="https://app.clickup.com/t/86acmx2h4" TargetMode="External"/><Relationship Id="rId429" Type="http://schemas.openxmlformats.org/officeDocument/2006/relationships/hyperlink" Target="https://app.clickup.com/t/86agcw425" TargetMode="External"/><Relationship Id="rId636" Type="http://schemas.openxmlformats.org/officeDocument/2006/relationships/hyperlink" Target="https://app.clickup.com/t/86agety1c" TargetMode="External"/><Relationship Id="rId843" Type="http://schemas.openxmlformats.org/officeDocument/2006/relationships/hyperlink" Target="https://app.clickup.com/t/86adcfpwj" TargetMode="External"/><Relationship Id="rId275" Type="http://schemas.openxmlformats.org/officeDocument/2006/relationships/hyperlink" Target="https://app.clickup.com/t/86ahckp07" TargetMode="External"/><Relationship Id="rId482" Type="http://schemas.openxmlformats.org/officeDocument/2006/relationships/hyperlink" Target="https://app.clickup.com/t/86agja9vw" TargetMode="External"/><Relationship Id="rId703" Type="http://schemas.openxmlformats.org/officeDocument/2006/relationships/hyperlink" Target="https://app.clickup.com/t/86aghm6gu" TargetMode="External"/><Relationship Id="rId910" Type="http://schemas.openxmlformats.org/officeDocument/2006/relationships/hyperlink" Target="https://app.clickup.com/t/86ahkebm4" TargetMode="External"/><Relationship Id="rId135" Type="http://schemas.openxmlformats.org/officeDocument/2006/relationships/hyperlink" Target="https://app.clickup.com/t/86agc69ak" TargetMode="External"/><Relationship Id="rId342" Type="http://schemas.openxmlformats.org/officeDocument/2006/relationships/hyperlink" Target="https://app.clickup.com/t/86aghuytq" TargetMode="External"/><Relationship Id="rId787" Type="http://schemas.openxmlformats.org/officeDocument/2006/relationships/hyperlink" Target="https://app.clickup.com/t/86ak8xccb" TargetMode="External"/><Relationship Id="rId202" Type="http://schemas.openxmlformats.org/officeDocument/2006/relationships/hyperlink" Target="https://app.clickup.com/t/86aghvaad" TargetMode="External"/><Relationship Id="rId647" Type="http://schemas.openxmlformats.org/officeDocument/2006/relationships/hyperlink" Target="https://app.clickup.com/t/86aght77r" TargetMode="External"/><Relationship Id="rId854" Type="http://schemas.openxmlformats.org/officeDocument/2006/relationships/hyperlink" Target="https://app.clickup.com/t/86agem63k" TargetMode="External"/><Relationship Id="rId286" Type="http://schemas.openxmlformats.org/officeDocument/2006/relationships/hyperlink" Target="https://app.clickup.com/t/86agety1j" TargetMode="External"/><Relationship Id="rId493" Type="http://schemas.openxmlformats.org/officeDocument/2006/relationships/hyperlink" Target="https://app.clickup.com/t/86agdxkqd" TargetMode="External"/><Relationship Id="rId507" Type="http://schemas.openxmlformats.org/officeDocument/2006/relationships/hyperlink" Target="https://app.clickup.com/t/17tpepcpr2b" TargetMode="External"/><Relationship Id="rId714" Type="http://schemas.openxmlformats.org/officeDocument/2006/relationships/hyperlink" Target="https://app.clickup.com/t/86akm8zdq" TargetMode="External"/><Relationship Id="rId921" Type="http://schemas.openxmlformats.org/officeDocument/2006/relationships/hyperlink" Target="https://app.clickup.com/t/86agbbh4v" TargetMode="External"/><Relationship Id="rId50" Type="http://schemas.openxmlformats.org/officeDocument/2006/relationships/hyperlink" Target="https://app.clickup.com/t/86aghrgth" TargetMode="External"/><Relationship Id="rId146" Type="http://schemas.openxmlformats.org/officeDocument/2006/relationships/hyperlink" Target="https://app.clickup.com/t/17tpepcgqnn" TargetMode="External"/><Relationship Id="rId353" Type="http://schemas.openxmlformats.org/officeDocument/2006/relationships/hyperlink" Target="https://app.clickup.com/t/86ak1j0tf" TargetMode="External"/><Relationship Id="rId560" Type="http://schemas.openxmlformats.org/officeDocument/2006/relationships/hyperlink" Target="https://app.clickup.com/t/86akbg19u" TargetMode="External"/><Relationship Id="rId798" Type="http://schemas.openxmlformats.org/officeDocument/2006/relationships/hyperlink" Target="https://app.clickup.com/t/86ah4bx92" TargetMode="External"/><Relationship Id="rId213" Type="http://schemas.openxmlformats.org/officeDocument/2006/relationships/hyperlink" Target="https://app.clickup.com/t/86agv9x68" TargetMode="External"/><Relationship Id="rId420" Type="http://schemas.openxmlformats.org/officeDocument/2006/relationships/hyperlink" Target="https://app.clickup.com/t/86ageht27" TargetMode="External"/><Relationship Id="rId658" Type="http://schemas.openxmlformats.org/officeDocument/2006/relationships/hyperlink" Target="https://app.clickup.com/t/86agbaupd" TargetMode="External"/><Relationship Id="rId865" Type="http://schemas.openxmlformats.org/officeDocument/2006/relationships/hyperlink" Target="https://app.clickup.com/t/86aj807ef" TargetMode="External"/><Relationship Id="rId297" Type="http://schemas.openxmlformats.org/officeDocument/2006/relationships/hyperlink" Target="https://app.clickup.com/t/17tpepcptzw" TargetMode="External"/><Relationship Id="rId518" Type="http://schemas.openxmlformats.org/officeDocument/2006/relationships/hyperlink" Target="https://app.clickup.com/t/86akm8zbf" TargetMode="External"/><Relationship Id="rId725" Type="http://schemas.openxmlformats.org/officeDocument/2006/relationships/hyperlink" Target="https://app.clickup.com/t/86agva5rp" TargetMode="External"/><Relationship Id="rId932" Type="http://schemas.openxmlformats.org/officeDocument/2006/relationships/hyperlink" Target="https://app.clickup.com/t/86agjaf1g" TargetMode="External"/><Relationship Id="rId157" Type="http://schemas.openxmlformats.org/officeDocument/2006/relationships/hyperlink" Target="https://app.clickup.com/t/17tpepcggwd" TargetMode="External"/><Relationship Id="rId364" Type="http://schemas.openxmlformats.org/officeDocument/2006/relationships/hyperlink" Target="https://app.clickup.com/t/86aghcc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3"/>
  <sheetViews>
    <sheetView showGridLines="0" tabSelected="1" workbookViewId="0"/>
  </sheetViews>
  <sheetFormatPr defaultRowHeight="14.4" x14ac:dyDescent="0.3"/>
  <cols>
    <col min="1" max="1" width="3" customWidth="1"/>
    <col min="2" max="2" width="30" customWidth="1"/>
    <col min="3" max="3" width="110" customWidth="1"/>
  </cols>
  <sheetData>
    <row r="2" spans="2:3" ht="17.399999999999999" x14ac:dyDescent="0.3">
      <c r="B2" s="1" t="s">
        <v>0</v>
      </c>
    </row>
    <row r="3" spans="2:3" ht="66" x14ac:dyDescent="0.3">
      <c r="B3" s="2" t="s">
        <v>1</v>
      </c>
    </row>
    <row r="5" spans="2:3" ht="30" customHeight="1" x14ac:dyDescent="0.3">
      <c r="B5" s="3" t="s">
        <v>2</v>
      </c>
      <c r="C5" s="4" t="s">
        <v>3</v>
      </c>
    </row>
    <row r="6" spans="2:3" ht="30" customHeight="1" x14ac:dyDescent="0.3">
      <c r="B6" s="3" t="s">
        <v>4</v>
      </c>
      <c r="C6" s="4" t="s">
        <v>5</v>
      </c>
    </row>
    <row r="7" spans="2:3" ht="60" customHeight="1" x14ac:dyDescent="0.3">
      <c r="B7" s="3" t="s">
        <v>6</v>
      </c>
      <c r="C7" s="4" t="s">
        <v>7</v>
      </c>
    </row>
    <row r="8" spans="2:3" ht="45" customHeight="1" x14ac:dyDescent="0.3">
      <c r="B8" s="3" t="s">
        <v>8</v>
      </c>
      <c r="C8" s="4" t="s">
        <v>9</v>
      </c>
    </row>
    <row r="9" spans="2:3" ht="45" customHeight="1" x14ac:dyDescent="0.3">
      <c r="B9" s="3" t="s">
        <v>10</v>
      </c>
      <c r="C9" s="4" t="s">
        <v>11</v>
      </c>
    </row>
    <row r="10" spans="2:3" ht="60" customHeight="1" x14ac:dyDescent="0.3">
      <c r="B10" s="3" t="s">
        <v>12</v>
      </c>
      <c r="C10" s="4" t="s">
        <v>13</v>
      </c>
    </row>
    <row r="11" spans="2:3" ht="30" customHeight="1" x14ac:dyDescent="0.3">
      <c r="B11" s="3" t="s">
        <v>14</v>
      </c>
      <c r="C11" s="4" t="s">
        <v>15</v>
      </c>
    </row>
    <row r="12" spans="2:3" ht="45" customHeight="1" x14ac:dyDescent="0.3">
      <c r="B12" s="3" t="s">
        <v>16</v>
      </c>
      <c r="C12" s="4" t="s">
        <v>17</v>
      </c>
    </row>
    <row r="13" spans="2:3" ht="30" customHeight="1" x14ac:dyDescent="0.3">
      <c r="B13" s="3" t="s">
        <v>18</v>
      </c>
      <c r="C13" s="4"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
  <sheetViews>
    <sheetView showGridLines="0" workbookViewId="0"/>
  </sheetViews>
  <sheetFormatPr defaultRowHeight="14.4" x14ac:dyDescent="0.3"/>
  <cols>
    <col min="1" max="1" width="30" customWidth="1"/>
    <col min="2" max="5" width="13" customWidth="1"/>
    <col min="6" max="6" width="22" customWidth="1"/>
    <col min="7" max="10" width="13" customWidth="1"/>
  </cols>
  <sheetData>
    <row r="1" spans="1:8" ht="17.399999999999999" x14ac:dyDescent="0.3">
      <c r="A1" s="1" t="s">
        <v>20</v>
      </c>
    </row>
    <row r="2" spans="1:8" ht="39.6" x14ac:dyDescent="0.3">
      <c r="A2" s="2" t="s">
        <v>21</v>
      </c>
    </row>
    <row r="4" spans="1:8" x14ac:dyDescent="0.3">
      <c r="A4" s="3" t="s">
        <v>22</v>
      </c>
      <c r="B4" s="5">
        <f>COUNTA(Todas!$B$5:$B$983)</f>
        <v>979</v>
      </c>
    </row>
    <row r="5" spans="1:8" x14ac:dyDescent="0.3">
      <c r="A5" s="3" t="s">
        <v>23</v>
      </c>
      <c r="B5" s="5">
        <f>COUNTIF(Todas!$H$5:$H$983,"Aberta")</f>
        <v>398</v>
      </c>
    </row>
    <row r="6" spans="1:8" x14ac:dyDescent="0.3">
      <c r="A6" s="3" t="s">
        <v>24</v>
      </c>
      <c r="B6" s="5">
        <f>COUNTIF(Todas!$H$5:$H$983,"Concluída")</f>
        <v>502</v>
      </c>
    </row>
    <row r="7" spans="1:8" x14ac:dyDescent="0.3">
      <c r="A7" s="3" t="s">
        <v>25</v>
      </c>
      <c r="B7" s="5">
        <f>COUNTIF(Todas!$H$5:$H$983,"Cancelada")</f>
        <v>79</v>
      </c>
    </row>
    <row r="9" spans="1:8" ht="34.049999999999997" customHeight="1" x14ac:dyDescent="0.3">
      <c r="A9" s="6" t="s">
        <v>26</v>
      </c>
      <c r="B9" s="6" t="s">
        <v>27</v>
      </c>
      <c r="C9" s="6" t="s">
        <v>28</v>
      </c>
      <c r="D9" s="6" t="s">
        <v>29</v>
      </c>
      <c r="E9" s="6" t="s">
        <v>30</v>
      </c>
      <c r="F9" s="6" t="s">
        <v>31</v>
      </c>
      <c r="G9" s="6" t="s">
        <v>32</v>
      </c>
      <c r="H9" s="6" t="s">
        <v>33</v>
      </c>
    </row>
    <row r="10" spans="1:8" x14ac:dyDescent="0.3">
      <c r="A10" s="3" t="s">
        <v>34</v>
      </c>
      <c r="B10" s="7">
        <v>0.05</v>
      </c>
      <c r="C10" s="7">
        <v>0.1</v>
      </c>
      <c r="D10" s="5">
        <f>COUNTIF(Todas!$W$5:$W$983,4)</f>
        <v>56</v>
      </c>
      <c r="E10" s="8">
        <f>D10/$B$4</f>
        <v>5.7201225740551587E-2</v>
      </c>
      <c r="F10" s="9" t="str">
        <f>IF(E10&lt;B10,"abaixo da faixa",IF(E10&gt;C10,"acima da faixa","dentro da faixa"))</f>
        <v>dentro da faixa</v>
      </c>
      <c r="G10" s="9">
        <f>COUNTIFS(Todas!$W$5:$W$983,4,Todas!$H$5:$H$983,"Aberta")</f>
        <v>32</v>
      </c>
      <c r="H10" s="8">
        <f>G10/$B$5</f>
        <v>8.0402010050251257E-2</v>
      </c>
    </row>
    <row r="11" spans="1:8" x14ac:dyDescent="0.3">
      <c r="A11" s="3" t="s">
        <v>35</v>
      </c>
      <c r="B11" s="7">
        <v>0.15</v>
      </c>
      <c r="C11" s="7">
        <v>0.25</v>
      </c>
      <c r="D11" s="5">
        <f>COUNTIF(Todas!$W$5:$W$983,3)</f>
        <v>166</v>
      </c>
      <c r="E11" s="8">
        <f>D11/$B$4</f>
        <v>0.16956077630234934</v>
      </c>
      <c r="F11" s="9" t="str">
        <f>IF(E11&lt;B11,"abaixo da faixa",IF(E11&gt;C11,"acima da faixa","dentro da faixa"))</f>
        <v>dentro da faixa</v>
      </c>
      <c r="G11" s="9">
        <f>COUNTIFS(Todas!$W$5:$W$983,3,Todas!$H$5:$H$983,"Aberta")</f>
        <v>108</v>
      </c>
      <c r="H11" s="8">
        <f>G11/$B$5</f>
        <v>0.271356783919598</v>
      </c>
    </row>
    <row r="12" spans="1:8" x14ac:dyDescent="0.3">
      <c r="A12" s="3" t="s">
        <v>36</v>
      </c>
      <c r="B12" s="10"/>
      <c r="C12" s="10"/>
      <c r="D12" s="5">
        <f>COUNTIF(Todas!$W$5:$W$983,2)</f>
        <v>245</v>
      </c>
      <c r="E12" s="8">
        <f>D12/$B$4</f>
        <v>0.25025536261491316</v>
      </c>
      <c r="F12" s="9" t="s">
        <v>37</v>
      </c>
      <c r="G12" s="9">
        <f>COUNTIFS(Todas!$W$5:$W$983,2,Todas!$H$5:$H$983,"Aberta")</f>
        <v>116</v>
      </c>
      <c r="H12" s="8">
        <f>G12/$B$5</f>
        <v>0.29145728643216079</v>
      </c>
    </row>
    <row r="13" spans="1:8" x14ac:dyDescent="0.3">
      <c r="A13" s="3" t="s">
        <v>38</v>
      </c>
      <c r="B13" s="10"/>
      <c r="C13" s="10"/>
      <c r="D13" s="5">
        <f>COUNTIF(Todas!$W$5:$W$983,1)</f>
        <v>512</v>
      </c>
      <c r="E13" s="8">
        <f>D13/$B$4</f>
        <v>0.52298263534218592</v>
      </c>
      <c r="F13" s="9" t="s">
        <v>37</v>
      </c>
      <c r="G13" s="9">
        <f>COUNTIFS(Todas!$W$5:$W$983,1,Todas!$H$5:$H$983,"Aberta")</f>
        <v>142</v>
      </c>
      <c r="H13" s="8">
        <f>G13/$B$5</f>
        <v>0.35678391959798994</v>
      </c>
    </row>
    <row r="14" spans="1:8" x14ac:dyDescent="0.3">
      <c r="A14" s="3" t="s">
        <v>39</v>
      </c>
      <c r="B14" s="11"/>
      <c r="C14" s="7">
        <v>0.3</v>
      </c>
      <c r="D14" s="5">
        <f>D10+D11</f>
        <v>222</v>
      </c>
      <c r="E14" s="8">
        <f>D14/$B$4</f>
        <v>0.22676200204290092</v>
      </c>
      <c r="F14" s="9" t="str">
        <f>IF(E14&gt;C14,"acima da trava","dentro da trava")</f>
        <v>dentro da trava</v>
      </c>
      <c r="G14" s="5">
        <f>G10+G11</f>
        <v>140</v>
      </c>
      <c r="H14" s="8">
        <f>G14/$B$5</f>
        <v>0.35175879396984927</v>
      </c>
    </row>
    <row r="15" spans="1:8" ht="26.4" x14ac:dyDescent="0.3">
      <c r="A15" s="3" t="s">
        <v>40</v>
      </c>
      <c r="B15" s="11"/>
      <c r="C15" s="7">
        <v>0.3</v>
      </c>
      <c r="D15" s="11"/>
      <c r="E15" s="11"/>
      <c r="F15" s="5" t="str">
        <f>IF(H14&gt;C15,"acima da trava","dentro da trava")</f>
        <v>acima da trava</v>
      </c>
      <c r="G15" s="11"/>
      <c r="H15" s="8">
        <f>H14</f>
        <v>0.35175879396984927</v>
      </c>
    </row>
    <row r="16" spans="1:8" x14ac:dyDescent="0.3">
      <c r="A16" s="12" t="s">
        <v>41</v>
      </c>
    </row>
    <row r="18" spans="1:7" ht="34.049999999999997" customHeight="1" x14ac:dyDescent="0.3">
      <c r="A18" s="6" t="s">
        <v>42</v>
      </c>
      <c r="B18" s="6" t="s">
        <v>43</v>
      </c>
      <c r="C18" s="6" t="s">
        <v>32</v>
      </c>
      <c r="D18" s="6" t="s">
        <v>44</v>
      </c>
      <c r="E18" s="6" t="s">
        <v>45</v>
      </c>
      <c r="F18" s="6" t="s">
        <v>46</v>
      </c>
      <c r="G18" s="6" t="s">
        <v>47</v>
      </c>
    </row>
    <row r="19" spans="1:7" x14ac:dyDescent="0.3">
      <c r="A19" s="3" t="s">
        <v>48</v>
      </c>
      <c r="B19" s="9">
        <f>COUNTIF(Todas!$D$5:$D$983,A19)</f>
        <v>66</v>
      </c>
      <c r="C19" s="9">
        <f>COUNTIFS(Todas!$D$5:$D$983,A19,Todas!$H$5:$H$983,"Aberta")</f>
        <v>16</v>
      </c>
      <c r="D19" s="9">
        <f>COUNTIFS(Todas!$D$5:$D$983,$A19,Todas!$W$5:$W$983,4)</f>
        <v>2</v>
      </c>
      <c r="E19" s="9">
        <f>COUNTIFS(Todas!$D$5:$D$983,$A19,Todas!$W$5:$W$983,3)</f>
        <v>4</v>
      </c>
      <c r="F19" s="9">
        <f>COUNTIFS(Todas!$D$5:$D$983,$A19,Todas!$W$5:$W$983,4,Todas!$H$5:$H$983,"Aberta")</f>
        <v>1</v>
      </c>
      <c r="G19" s="9">
        <f>COUNTIFS(Todas!$D$5:$D$983,$A19,Todas!$W$5:$W$983,3,Todas!$H$5:$H$983,"Aberta")</f>
        <v>4</v>
      </c>
    </row>
    <row r="20" spans="1:7" x14ac:dyDescent="0.3">
      <c r="A20" s="3" t="s">
        <v>49</v>
      </c>
      <c r="B20" s="9">
        <f>COUNTIF(Todas!$D$5:$D$983,A20)</f>
        <v>54</v>
      </c>
      <c r="C20" s="9">
        <f>COUNTIFS(Todas!$D$5:$D$983,A20,Todas!$H$5:$H$983,"Aberta")</f>
        <v>12</v>
      </c>
      <c r="D20" s="9">
        <f>COUNTIFS(Todas!$D$5:$D$983,$A20,Todas!$W$5:$W$983,4)</f>
        <v>1</v>
      </c>
      <c r="E20" s="9">
        <f>COUNTIFS(Todas!$D$5:$D$983,$A20,Todas!$W$5:$W$983,3)</f>
        <v>4</v>
      </c>
      <c r="F20" s="9">
        <f>COUNTIFS(Todas!$D$5:$D$983,$A20,Todas!$W$5:$W$983,4,Todas!$H$5:$H$983,"Aberta")</f>
        <v>0</v>
      </c>
      <c r="G20" s="9">
        <f>COUNTIFS(Todas!$D$5:$D$983,$A20,Todas!$W$5:$W$983,3,Todas!$H$5:$H$983,"Aberta")</f>
        <v>3</v>
      </c>
    </row>
    <row r="21" spans="1:7" x14ac:dyDescent="0.3">
      <c r="A21" s="3" t="s">
        <v>50</v>
      </c>
      <c r="B21" s="9">
        <f>COUNTIF(Todas!$D$5:$D$983,A21)</f>
        <v>271</v>
      </c>
      <c r="C21" s="9">
        <f>COUNTIFS(Todas!$D$5:$D$983,A21,Todas!$H$5:$H$983,"Aberta")</f>
        <v>74</v>
      </c>
      <c r="D21" s="9">
        <f>COUNTIFS(Todas!$D$5:$D$983,$A21,Todas!$W$5:$W$983,4)</f>
        <v>11</v>
      </c>
      <c r="E21" s="9">
        <f>COUNTIFS(Todas!$D$5:$D$983,$A21,Todas!$W$5:$W$983,3)</f>
        <v>30</v>
      </c>
      <c r="F21" s="9">
        <f>COUNTIFS(Todas!$D$5:$D$983,$A21,Todas!$W$5:$W$983,4,Todas!$H$5:$H$983,"Aberta")</f>
        <v>8</v>
      </c>
      <c r="G21" s="9">
        <f>COUNTIFS(Todas!$D$5:$D$983,$A21,Todas!$W$5:$W$983,3,Todas!$H$5:$H$983,"Aberta")</f>
        <v>21</v>
      </c>
    </row>
    <row r="22" spans="1:7" x14ac:dyDescent="0.3">
      <c r="A22" s="3" t="s">
        <v>51</v>
      </c>
      <c r="B22" s="9">
        <f>COUNTIF(Todas!$D$5:$D$983,A22)</f>
        <v>125</v>
      </c>
      <c r="C22" s="9">
        <f>COUNTIFS(Todas!$D$5:$D$983,A22,Todas!$H$5:$H$983,"Aberta")</f>
        <v>30</v>
      </c>
      <c r="D22" s="9">
        <f>COUNTIFS(Todas!$D$5:$D$983,$A22,Todas!$W$5:$W$983,4)</f>
        <v>13</v>
      </c>
      <c r="E22" s="9">
        <f>COUNTIFS(Todas!$D$5:$D$983,$A22,Todas!$W$5:$W$983,3)</f>
        <v>23</v>
      </c>
      <c r="F22" s="9">
        <f>COUNTIFS(Todas!$D$5:$D$983,$A22,Todas!$W$5:$W$983,4,Todas!$H$5:$H$983,"Aberta")</f>
        <v>3</v>
      </c>
      <c r="G22" s="9">
        <f>COUNTIFS(Todas!$D$5:$D$983,$A22,Todas!$W$5:$W$983,3,Todas!$H$5:$H$983,"Aberta")</f>
        <v>4</v>
      </c>
    </row>
    <row r="23" spans="1:7" x14ac:dyDescent="0.3">
      <c r="A23" s="3" t="s">
        <v>52</v>
      </c>
      <c r="B23" s="9">
        <f>COUNTIF(Todas!$D$5:$D$983,A23)</f>
        <v>123</v>
      </c>
      <c r="C23" s="9">
        <f>COUNTIFS(Todas!$D$5:$D$983,A23,Todas!$H$5:$H$983,"Aberta")</f>
        <v>33</v>
      </c>
      <c r="D23" s="9">
        <f>COUNTIFS(Todas!$D$5:$D$983,$A23,Todas!$W$5:$W$983,4)</f>
        <v>5</v>
      </c>
      <c r="E23" s="9">
        <f>COUNTIFS(Todas!$D$5:$D$983,$A23,Todas!$W$5:$W$983,3)</f>
        <v>19</v>
      </c>
      <c r="F23" s="9">
        <f>COUNTIFS(Todas!$D$5:$D$983,$A23,Todas!$W$5:$W$983,4,Todas!$H$5:$H$983,"Aberta")</f>
        <v>4</v>
      </c>
      <c r="G23" s="9">
        <f>COUNTIFS(Todas!$D$5:$D$983,$A23,Todas!$W$5:$W$983,3,Todas!$H$5:$H$983,"Aberta")</f>
        <v>7</v>
      </c>
    </row>
    <row r="24" spans="1:7" x14ac:dyDescent="0.3">
      <c r="A24" s="3" t="s">
        <v>53</v>
      </c>
      <c r="B24" s="9">
        <f>COUNTIF(Todas!$D$5:$D$983,A24)</f>
        <v>92</v>
      </c>
      <c r="C24" s="9">
        <f>COUNTIFS(Todas!$D$5:$D$983,A24,Todas!$H$5:$H$983,"Aberta")</f>
        <v>39</v>
      </c>
      <c r="D24" s="9">
        <f>COUNTIFS(Todas!$D$5:$D$983,$A24,Todas!$W$5:$W$983,4)</f>
        <v>5</v>
      </c>
      <c r="E24" s="9">
        <f>COUNTIFS(Todas!$D$5:$D$983,$A24,Todas!$W$5:$W$983,3)</f>
        <v>17</v>
      </c>
      <c r="F24" s="9">
        <f>COUNTIFS(Todas!$D$5:$D$983,$A24,Todas!$W$5:$W$983,4,Todas!$H$5:$H$983,"Aberta")</f>
        <v>2</v>
      </c>
      <c r="G24" s="9">
        <f>COUNTIFS(Todas!$D$5:$D$983,$A24,Todas!$W$5:$W$983,3,Todas!$H$5:$H$983,"Aberta")</f>
        <v>11</v>
      </c>
    </row>
    <row r="25" spans="1:7" x14ac:dyDescent="0.3">
      <c r="A25" s="3" t="s">
        <v>54</v>
      </c>
      <c r="B25" s="9">
        <f>COUNTIF(Todas!$D$5:$D$983,A25)</f>
        <v>123</v>
      </c>
      <c r="C25" s="9">
        <f>COUNTIFS(Todas!$D$5:$D$983,A25,Todas!$H$5:$H$983,"Aberta")</f>
        <v>74</v>
      </c>
      <c r="D25" s="9">
        <f>COUNTIFS(Todas!$D$5:$D$983,$A25,Todas!$W$5:$W$983,4)</f>
        <v>15</v>
      </c>
      <c r="E25" s="9">
        <f>COUNTIFS(Todas!$D$5:$D$983,$A25,Todas!$W$5:$W$983,3)</f>
        <v>30</v>
      </c>
      <c r="F25" s="9">
        <f>COUNTIFS(Todas!$D$5:$D$983,$A25,Todas!$W$5:$W$983,4,Todas!$H$5:$H$983,"Aberta")</f>
        <v>10</v>
      </c>
      <c r="G25" s="9">
        <f>COUNTIFS(Todas!$D$5:$D$983,$A25,Todas!$W$5:$W$983,3,Todas!$H$5:$H$983,"Aberta")</f>
        <v>19</v>
      </c>
    </row>
    <row r="26" spans="1:7" x14ac:dyDescent="0.3">
      <c r="A26" s="3" t="s">
        <v>55</v>
      </c>
      <c r="B26" s="9">
        <f>COUNTIF(Todas!$D$5:$D$983,A26)</f>
        <v>55</v>
      </c>
      <c r="C26" s="9">
        <f>COUNTIFS(Todas!$D$5:$D$983,A26,Todas!$H$5:$H$983,"Aberta")</f>
        <v>53</v>
      </c>
      <c r="D26" s="9">
        <f>COUNTIFS(Todas!$D$5:$D$983,$A26,Todas!$W$5:$W$983,4)</f>
        <v>1</v>
      </c>
      <c r="E26" s="9">
        <f>COUNTIFS(Todas!$D$5:$D$983,$A26,Todas!$W$5:$W$983,3)</f>
        <v>20</v>
      </c>
      <c r="F26" s="9">
        <f>COUNTIFS(Todas!$D$5:$D$983,$A26,Todas!$W$5:$W$983,4,Todas!$H$5:$H$983,"Aberta")</f>
        <v>1</v>
      </c>
      <c r="G26" s="9">
        <f>COUNTIFS(Todas!$D$5:$D$983,$A26,Todas!$W$5:$W$983,3,Todas!$H$5:$H$983,"Aberta")</f>
        <v>20</v>
      </c>
    </row>
    <row r="27" spans="1:7" x14ac:dyDescent="0.3">
      <c r="A27" s="3" t="s">
        <v>56</v>
      </c>
      <c r="B27" s="9">
        <f>COUNTIF(Todas!$D$5:$D$983,A27)</f>
        <v>69</v>
      </c>
      <c r="C27" s="9">
        <f>COUNTIFS(Todas!$D$5:$D$983,A27,Todas!$H$5:$H$983,"Aberta")</f>
        <v>66</v>
      </c>
      <c r="D27" s="9">
        <f>COUNTIFS(Todas!$D$5:$D$983,$A27,Todas!$W$5:$W$983,4)</f>
        <v>3</v>
      </c>
      <c r="E27" s="9">
        <f>COUNTIFS(Todas!$D$5:$D$983,$A27,Todas!$W$5:$W$983,3)</f>
        <v>19</v>
      </c>
      <c r="F27" s="9">
        <f>COUNTIFS(Todas!$D$5:$D$983,$A27,Todas!$W$5:$W$983,4,Todas!$H$5:$H$983,"Aberta")</f>
        <v>3</v>
      </c>
      <c r="G27" s="9">
        <f>COUNTIFS(Todas!$D$5:$D$983,$A27,Todas!$W$5:$W$983,3,Todas!$H$5:$H$983,"Aberta")</f>
        <v>19</v>
      </c>
    </row>
    <row r="28" spans="1:7" x14ac:dyDescent="0.3">
      <c r="A28" s="3" t="s">
        <v>57</v>
      </c>
      <c r="B28" s="9">
        <f>COUNTIF(Todas!$D$5:$D$983,A28)</f>
        <v>1</v>
      </c>
      <c r="C28" s="9">
        <f>COUNTIFS(Todas!$D$5:$D$983,A28,Todas!$H$5:$H$983,"Aberta")</f>
        <v>1</v>
      </c>
      <c r="D28" s="9">
        <f>COUNTIFS(Todas!$D$5:$D$983,$A28,Todas!$W$5:$W$983,4)</f>
        <v>0</v>
      </c>
      <c r="E28" s="9">
        <f>COUNTIFS(Todas!$D$5:$D$983,$A28,Todas!$W$5:$W$983,3)</f>
        <v>0</v>
      </c>
      <c r="F28" s="9">
        <f>COUNTIFS(Todas!$D$5:$D$983,$A28,Todas!$W$5:$W$983,4,Todas!$H$5:$H$983,"Aberta")</f>
        <v>0</v>
      </c>
      <c r="G28" s="9">
        <f>COUNTIFS(Todas!$D$5:$D$983,$A28,Todas!$W$5:$W$983,3,Todas!$H$5:$H$983,"Aberta")</f>
        <v>0</v>
      </c>
    </row>
    <row r="29" spans="1:7" x14ac:dyDescent="0.3">
      <c r="A29" s="3" t="s">
        <v>43</v>
      </c>
      <c r="B29" s="5">
        <f t="shared" ref="B29:G29" si="0">SUM(B19:B28)</f>
        <v>979</v>
      </c>
      <c r="C29" s="5">
        <f t="shared" si="0"/>
        <v>398</v>
      </c>
      <c r="D29" s="5">
        <f t="shared" si="0"/>
        <v>56</v>
      </c>
      <c r="E29" s="5">
        <f t="shared" si="0"/>
        <v>166</v>
      </c>
      <c r="F29" s="5">
        <f t="shared" si="0"/>
        <v>32</v>
      </c>
      <c r="G29" s="5">
        <f t="shared" si="0"/>
        <v>108</v>
      </c>
    </row>
    <row r="31" spans="1:7" ht="26.4" x14ac:dyDescent="0.3">
      <c r="A31" s="13" t="s">
        <v>58</v>
      </c>
      <c r="D31" s="14" t="s">
        <v>59</v>
      </c>
      <c r="E31" s="15">
        <v>3</v>
      </c>
    </row>
    <row r="32" spans="1:7" ht="34.049999999999997" customHeight="1" x14ac:dyDescent="0.3">
      <c r="A32" s="6" t="s">
        <v>60</v>
      </c>
      <c r="B32" s="6" t="s">
        <v>46</v>
      </c>
      <c r="C32" s="6" t="s">
        <v>47</v>
      </c>
      <c r="D32" s="6" t="s">
        <v>61</v>
      </c>
      <c r="E32" s="6" t="s">
        <v>62</v>
      </c>
    </row>
    <row r="33" spans="1:5" ht="26.4" x14ac:dyDescent="0.3">
      <c r="A33" s="3" t="s">
        <v>63</v>
      </c>
      <c r="B33" s="9">
        <f>COUNTIFS(Todas!$E$5:$E$983,A33,Todas!$W$5:$W$983,4,Todas!$H$5:$H$983,"Aberta")</f>
        <v>8</v>
      </c>
      <c r="C33" s="9">
        <f>COUNTIFS(Todas!$E$5:$E$983,A33,Todas!$W$5:$W$983,3,Todas!$H$5:$H$983,"Aberta")</f>
        <v>5</v>
      </c>
      <c r="D33" s="9">
        <f>COUNTIFS(Todas!$E$5:$E$983,A33,Todas!$H$5:$H$983,"Aberta")</f>
        <v>18</v>
      </c>
      <c r="E33" s="9" t="str">
        <f t="shared" ref="E33:E57" si="1">IF(B33&gt;$E$31,"acima do limite","ok")</f>
        <v>acima do limite</v>
      </c>
    </row>
    <row r="34" spans="1:5" ht="26.4" x14ac:dyDescent="0.3">
      <c r="A34" s="3" t="s">
        <v>64</v>
      </c>
      <c r="B34" s="9">
        <f>COUNTIFS(Todas!$E$5:$E$983,A34,Todas!$W$5:$W$983,4,Todas!$H$5:$H$983,"Aberta")</f>
        <v>6</v>
      </c>
      <c r="C34" s="9">
        <f>COUNTIFS(Todas!$E$5:$E$983,A34,Todas!$W$5:$W$983,3,Todas!$H$5:$H$983,"Aberta")</f>
        <v>22</v>
      </c>
      <c r="D34" s="9">
        <f>COUNTIFS(Todas!$E$5:$E$983,A34,Todas!$H$5:$H$983,"Aberta")</f>
        <v>103</v>
      </c>
      <c r="E34" s="9" t="str">
        <f t="shared" si="1"/>
        <v>acima do limite</v>
      </c>
    </row>
    <row r="35" spans="1:5" ht="26.4" x14ac:dyDescent="0.3">
      <c r="A35" s="3" t="s">
        <v>65</v>
      </c>
      <c r="B35" s="9">
        <f>COUNTIFS(Todas!$E$5:$E$983,A35,Todas!$W$5:$W$983,4,Todas!$H$5:$H$983,"Aberta")</f>
        <v>5</v>
      </c>
      <c r="C35" s="9">
        <f>COUNTIFS(Todas!$E$5:$E$983,A35,Todas!$W$5:$W$983,3,Todas!$H$5:$H$983,"Aberta")</f>
        <v>4</v>
      </c>
      <c r="D35" s="9">
        <f>COUNTIFS(Todas!$E$5:$E$983,A35,Todas!$H$5:$H$983,"Aberta")</f>
        <v>14</v>
      </c>
      <c r="E35" s="9" t="str">
        <f t="shared" si="1"/>
        <v>acima do limite</v>
      </c>
    </row>
    <row r="36" spans="1:5" x14ac:dyDescent="0.3">
      <c r="A36" s="3" t="s">
        <v>66</v>
      </c>
      <c r="B36" s="9">
        <f>COUNTIFS(Todas!$E$5:$E$983,A36,Todas!$W$5:$W$983,4,Todas!$H$5:$H$983,"Aberta")</f>
        <v>3</v>
      </c>
      <c r="C36" s="9">
        <f>COUNTIFS(Todas!$E$5:$E$983,A36,Todas!$W$5:$W$983,3,Todas!$H$5:$H$983,"Aberta")</f>
        <v>2</v>
      </c>
      <c r="D36" s="9">
        <f>COUNTIFS(Todas!$E$5:$E$983,A36,Todas!$H$5:$H$983,"Aberta")</f>
        <v>19</v>
      </c>
      <c r="E36" s="9" t="str">
        <f t="shared" si="1"/>
        <v>ok</v>
      </c>
    </row>
    <row r="37" spans="1:5" x14ac:dyDescent="0.3">
      <c r="A37" s="3" t="s">
        <v>67</v>
      </c>
      <c r="B37" s="9">
        <f>COUNTIFS(Todas!$E$5:$E$983,A37,Todas!$W$5:$W$983,4,Todas!$H$5:$H$983,"Aberta")</f>
        <v>3</v>
      </c>
      <c r="C37" s="9">
        <f>COUNTIFS(Todas!$E$5:$E$983,A37,Todas!$W$5:$W$983,3,Todas!$H$5:$H$983,"Aberta")</f>
        <v>0</v>
      </c>
      <c r="D37" s="9">
        <f>COUNTIFS(Todas!$E$5:$E$983,A37,Todas!$H$5:$H$983,"Aberta")</f>
        <v>4</v>
      </c>
      <c r="E37" s="9" t="str">
        <f t="shared" si="1"/>
        <v>ok</v>
      </c>
    </row>
    <row r="38" spans="1:5" x14ac:dyDescent="0.3">
      <c r="A38" s="3" t="s">
        <v>68</v>
      </c>
      <c r="B38" s="9">
        <f>COUNTIFS(Todas!$E$5:$E$983,A38,Todas!$W$5:$W$983,4,Todas!$H$5:$H$983,"Aberta")</f>
        <v>1</v>
      </c>
      <c r="C38" s="9">
        <f>COUNTIFS(Todas!$E$5:$E$983,A38,Todas!$W$5:$W$983,3,Todas!$H$5:$H$983,"Aberta")</f>
        <v>8</v>
      </c>
      <c r="D38" s="9">
        <f>COUNTIFS(Todas!$E$5:$E$983,A38,Todas!$H$5:$H$983,"Aberta")</f>
        <v>18</v>
      </c>
      <c r="E38" s="9" t="str">
        <f t="shared" si="1"/>
        <v>ok</v>
      </c>
    </row>
    <row r="39" spans="1:5" x14ac:dyDescent="0.3">
      <c r="A39" s="3" t="s">
        <v>69</v>
      </c>
      <c r="B39" s="9">
        <f>COUNTIFS(Todas!$E$5:$E$983,A39,Todas!$W$5:$W$983,4,Todas!$H$5:$H$983,"Aberta")</f>
        <v>1</v>
      </c>
      <c r="C39" s="9">
        <f>COUNTIFS(Todas!$E$5:$E$983,A39,Todas!$W$5:$W$983,3,Todas!$H$5:$H$983,"Aberta")</f>
        <v>8</v>
      </c>
      <c r="D39" s="9">
        <f>COUNTIFS(Todas!$E$5:$E$983,A39,Todas!$H$5:$H$983,"Aberta")</f>
        <v>21</v>
      </c>
      <c r="E39" s="9" t="str">
        <f t="shared" si="1"/>
        <v>ok</v>
      </c>
    </row>
    <row r="40" spans="1:5" x14ac:dyDescent="0.3">
      <c r="A40" s="3" t="s">
        <v>70</v>
      </c>
      <c r="B40" s="9">
        <f>COUNTIFS(Todas!$E$5:$E$983,A40,Todas!$W$5:$W$983,4,Todas!$H$5:$H$983,"Aberta")</f>
        <v>1</v>
      </c>
      <c r="C40" s="9">
        <f>COUNTIFS(Todas!$E$5:$E$983,A40,Todas!$W$5:$W$983,3,Todas!$H$5:$H$983,"Aberta")</f>
        <v>5</v>
      </c>
      <c r="D40" s="9">
        <f>COUNTIFS(Todas!$E$5:$E$983,A40,Todas!$H$5:$H$983,"Aberta")</f>
        <v>13</v>
      </c>
      <c r="E40" s="9" t="str">
        <f t="shared" si="1"/>
        <v>ok</v>
      </c>
    </row>
    <row r="41" spans="1:5" x14ac:dyDescent="0.3">
      <c r="A41" s="3" t="s">
        <v>71</v>
      </c>
      <c r="B41" s="9">
        <f>COUNTIFS(Todas!$E$5:$E$983,A41,Todas!$W$5:$W$983,4,Todas!$H$5:$H$983,"Aberta")</f>
        <v>1</v>
      </c>
      <c r="C41" s="9">
        <f>COUNTIFS(Todas!$E$5:$E$983,A41,Todas!$W$5:$W$983,3,Todas!$H$5:$H$983,"Aberta")</f>
        <v>5</v>
      </c>
      <c r="D41" s="9">
        <f>COUNTIFS(Todas!$E$5:$E$983,A41,Todas!$H$5:$H$983,"Aberta")</f>
        <v>14</v>
      </c>
      <c r="E41" s="9" t="str">
        <f t="shared" si="1"/>
        <v>ok</v>
      </c>
    </row>
    <row r="42" spans="1:5" x14ac:dyDescent="0.3">
      <c r="A42" s="3" t="s">
        <v>72</v>
      </c>
      <c r="B42" s="9">
        <f>COUNTIFS(Todas!$E$5:$E$983,A42,Todas!$W$5:$W$983,4,Todas!$H$5:$H$983,"Aberta")</f>
        <v>1</v>
      </c>
      <c r="C42" s="9">
        <f>COUNTIFS(Todas!$E$5:$E$983,A42,Todas!$W$5:$W$983,3,Todas!$H$5:$H$983,"Aberta")</f>
        <v>4</v>
      </c>
      <c r="D42" s="9">
        <f>COUNTIFS(Todas!$E$5:$E$983,A42,Todas!$H$5:$H$983,"Aberta")</f>
        <v>24</v>
      </c>
      <c r="E42" s="9" t="str">
        <f t="shared" si="1"/>
        <v>ok</v>
      </c>
    </row>
    <row r="43" spans="1:5" x14ac:dyDescent="0.3">
      <c r="A43" s="3" t="s">
        <v>73</v>
      </c>
      <c r="B43" s="9">
        <f>COUNTIFS(Todas!$E$5:$E$983,A43,Todas!$W$5:$W$983,4,Todas!$H$5:$H$983,"Aberta")</f>
        <v>1</v>
      </c>
      <c r="C43" s="9">
        <f>COUNTIFS(Todas!$E$5:$E$983,A43,Todas!$W$5:$W$983,3,Todas!$H$5:$H$983,"Aberta")</f>
        <v>2</v>
      </c>
      <c r="D43" s="9">
        <f>COUNTIFS(Todas!$E$5:$E$983,A43,Todas!$H$5:$H$983,"Aberta")</f>
        <v>5</v>
      </c>
      <c r="E43" s="9" t="str">
        <f t="shared" si="1"/>
        <v>ok</v>
      </c>
    </row>
    <row r="44" spans="1:5" x14ac:dyDescent="0.3">
      <c r="A44" s="3" t="s">
        <v>74</v>
      </c>
      <c r="B44" s="9">
        <f>COUNTIFS(Todas!$E$5:$E$983,A44,Todas!$W$5:$W$983,4,Todas!$H$5:$H$983,"Aberta")</f>
        <v>1</v>
      </c>
      <c r="C44" s="9">
        <f>COUNTIFS(Todas!$E$5:$E$983,A44,Todas!$W$5:$W$983,3,Todas!$H$5:$H$983,"Aberta")</f>
        <v>0</v>
      </c>
      <c r="D44" s="9">
        <f>COUNTIFS(Todas!$E$5:$E$983,A44,Todas!$H$5:$H$983,"Aberta")</f>
        <v>2</v>
      </c>
      <c r="E44" s="9" t="str">
        <f t="shared" si="1"/>
        <v>ok</v>
      </c>
    </row>
    <row r="45" spans="1:5" x14ac:dyDescent="0.3">
      <c r="A45" s="3" t="s">
        <v>75</v>
      </c>
      <c r="B45" s="9">
        <f>COUNTIFS(Todas!$E$5:$E$983,A45,Todas!$W$5:$W$983,4,Todas!$H$5:$H$983,"Aberta")</f>
        <v>0</v>
      </c>
      <c r="C45" s="9">
        <f>COUNTIFS(Todas!$E$5:$E$983,A45,Todas!$W$5:$W$983,3,Todas!$H$5:$H$983,"Aberta")</f>
        <v>7</v>
      </c>
      <c r="D45" s="9">
        <f>COUNTIFS(Todas!$E$5:$E$983,A45,Todas!$H$5:$H$983,"Aberta")</f>
        <v>16</v>
      </c>
      <c r="E45" s="9" t="str">
        <f t="shared" si="1"/>
        <v>ok</v>
      </c>
    </row>
    <row r="46" spans="1:5" x14ac:dyDescent="0.3">
      <c r="A46" s="3" t="s">
        <v>76</v>
      </c>
      <c r="B46" s="9">
        <f>COUNTIFS(Todas!$E$5:$E$983,A46,Todas!$W$5:$W$983,4,Todas!$H$5:$H$983,"Aberta")</f>
        <v>0</v>
      </c>
      <c r="C46" s="9">
        <f>COUNTIFS(Todas!$E$5:$E$983,A46,Todas!$W$5:$W$983,3,Todas!$H$5:$H$983,"Aberta")</f>
        <v>7</v>
      </c>
      <c r="D46" s="9">
        <f>COUNTIFS(Todas!$E$5:$E$983,A46,Todas!$H$5:$H$983,"Aberta")</f>
        <v>18</v>
      </c>
      <c r="E46" s="9" t="str">
        <f t="shared" si="1"/>
        <v>ok</v>
      </c>
    </row>
    <row r="47" spans="1:5" ht="26.4" x14ac:dyDescent="0.3">
      <c r="A47" s="3" t="s">
        <v>77</v>
      </c>
      <c r="B47" s="9">
        <f>COUNTIFS(Todas!$E$5:$E$983,A47,Todas!$W$5:$W$983,4,Todas!$H$5:$H$983,"Aberta")</f>
        <v>0</v>
      </c>
      <c r="C47" s="9">
        <f>COUNTIFS(Todas!$E$5:$E$983,A47,Todas!$W$5:$W$983,3,Todas!$H$5:$H$983,"Aberta")</f>
        <v>7</v>
      </c>
      <c r="D47" s="9">
        <f>COUNTIFS(Todas!$E$5:$E$983,A47,Todas!$H$5:$H$983,"Aberta")</f>
        <v>10</v>
      </c>
      <c r="E47" s="9" t="str">
        <f t="shared" si="1"/>
        <v>ok</v>
      </c>
    </row>
    <row r="48" spans="1:5" x14ac:dyDescent="0.3">
      <c r="A48" s="3" t="s">
        <v>78</v>
      </c>
      <c r="B48" s="9">
        <f>COUNTIFS(Todas!$E$5:$E$983,A48,Todas!$W$5:$W$983,4,Todas!$H$5:$H$983,"Aberta")</f>
        <v>0</v>
      </c>
      <c r="C48" s="9">
        <f>COUNTIFS(Todas!$E$5:$E$983,A48,Todas!$W$5:$W$983,3,Todas!$H$5:$H$983,"Aberta")</f>
        <v>3</v>
      </c>
      <c r="D48" s="9">
        <f>COUNTIFS(Todas!$E$5:$E$983,A48,Todas!$H$5:$H$983,"Aberta")</f>
        <v>4</v>
      </c>
      <c r="E48" s="9" t="str">
        <f t="shared" si="1"/>
        <v>ok</v>
      </c>
    </row>
    <row r="49" spans="1:5" x14ac:dyDescent="0.3">
      <c r="A49" s="3" t="s">
        <v>79</v>
      </c>
      <c r="B49" s="9">
        <f>COUNTIFS(Todas!$E$5:$E$983,A49,Todas!$W$5:$W$983,4,Todas!$H$5:$H$983,"Aberta")</f>
        <v>0</v>
      </c>
      <c r="C49" s="9">
        <f>COUNTIFS(Todas!$E$5:$E$983,A49,Todas!$W$5:$W$983,3,Todas!$H$5:$H$983,"Aberta")</f>
        <v>3</v>
      </c>
      <c r="D49" s="9">
        <f>COUNTIFS(Todas!$E$5:$E$983,A49,Todas!$H$5:$H$983,"Aberta")</f>
        <v>8</v>
      </c>
      <c r="E49" s="9" t="str">
        <f t="shared" si="1"/>
        <v>ok</v>
      </c>
    </row>
    <row r="50" spans="1:5" x14ac:dyDescent="0.3">
      <c r="A50" s="3" t="s">
        <v>80</v>
      </c>
      <c r="B50" s="9">
        <f>COUNTIFS(Todas!$E$5:$E$983,A50,Todas!$W$5:$W$983,4,Todas!$H$5:$H$983,"Aberta")</f>
        <v>0</v>
      </c>
      <c r="C50" s="9">
        <f>COUNTIFS(Todas!$E$5:$E$983,A50,Todas!$W$5:$W$983,3,Todas!$H$5:$H$983,"Aberta")</f>
        <v>3</v>
      </c>
      <c r="D50" s="9">
        <f>COUNTIFS(Todas!$E$5:$E$983,A50,Todas!$H$5:$H$983,"Aberta")</f>
        <v>3</v>
      </c>
      <c r="E50" s="9" t="str">
        <f t="shared" si="1"/>
        <v>ok</v>
      </c>
    </row>
    <row r="51" spans="1:5" ht="26.4" x14ac:dyDescent="0.3">
      <c r="A51" s="3" t="s">
        <v>81</v>
      </c>
      <c r="B51" s="9">
        <f>COUNTIFS(Todas!$E$5:$E$983,A51,Todas!$W$5:$W$983,4,Todas!$H$5:$H$983,"Aberta")</f>
        <v>0</v>
      </c>
      <c r="C51" s="9">
        <f>COUNTIFS(Todas!$E$5:$E$983,A51,Todas!$W$5:$W$983,3,Todas!$H$5:$H$983,"Aberta")</f>
        <v>3</v>
      </c>
      <c r="D51" s="9">
        <f>COUNTIFS(Todas!$E$5:$E$983,A51,Todas!$H$5:$H$983,"Aberta")</f>
        <v>13</v>
      </c>
      <c r="E51" s="9" t="str">
        <f t="shared" si="1"/>
        <v>ok</v>
      </c>
    </row>
    <row r="52" spans="1:5" x14ac:dyDescent="0.3">
      <c r="A52" s="3" t="s">
        <v>82</v>
      </c>
      <c r="B52" s="9">
        <f>COUNTIFS(Todas!$E$5:$E$983,A52,Todas!$W$5:$W$983,4,Todas!$H$5:$H$983,"Aberta")</f>
        <v>0</v>
      </c>
      <c r="C52" s="9">
        <f>COUNTIFS(Todas!$E$5:$E$983,A52,Todas!$W$5:$W$983,3,Todas!$H$5:$H$983,"Aberta")</f>
        <v>3</v>
      </c>
      <c r="D52" s="9">
        <f>COUNTIFS(Todas!$E$5:$E$983,A52,Todas!$H$5:$H$983,"Aberta")</f>
        <v>5</v>
      </c>
      <c r="E52" s="9" t="str">
        <f t="shared" si="1"/>
        <v>ok</v>
      </c>
    </row>
    <row r="53" spans="1:5" x14ac:dyDescent="0.3">
      <c r="A53" s="3" t="s">
        <v>83</v>
      </c>
      <c r="B53" s="9">
        <f>COUNTIFS(Todas!$E$5:$E$983,A53,Todas!$W$5:$W$983,4,Todas!$H$5:$H$983,"Aberta")</f>
        <v>0</v>
      </c>
      <c r="C53" s="9">
        <f>COUNTIFS(Todas!$E$5:$E$983,A53,Todas!$W$5:$W$983,3,Todas!$H$5:$H$983,"Aberta")</f>
        <v>2</v>
      </c>
      <c r="D53" s="9">
        <f>COUNTIFS(Todas!$E$5:$E$983,A53,Todas!$H$5:$H$983,"Aberta")</f>
        <v>6</v>
      </c>
      <c r="E53" s="9" t="str">
        <f t="shared" si="1"/>
        <v>ok</v>
      </c>
    </row>
    <row r="54" spans="1:5" ht="26.4" x14ac:dyDescent="0.3">
      <c r="A54" s="3" t="s">
        <v>84</v>
      </c>
      <c r="B54" s="9">
        <f>COUNTIFS(Todas!$E$5:$E$983,A54,Todas!$W$5:$W$983,4,Todas!$H$5:$H$983,"Aberta")</f>
        <v>0</v>
      </c>
      <c r="C54" s="9">
        <f>COUNTIFS(Todas!$E$5:$E$983,A54,Todas!$W$5:$W$983,3,Todas!$H$5:$H$983,"Aberta")</f>
        <v>2</v>
      </c>
      <c r="D54" s="9">
        <f>COUNTIFS(Todas!$E$5:$E$983,A54,Todas!$H$5:$H$983,"Aberta")</f>
        <v>6</v>
      </c>
      <c r="E54" s="9" t="str">
        <f t="shared" si="1"/>
        <v>ok</v>
      </c>
    </row>
    <row r="55" spans="1:5" x14ac:dyDescent="0.3">
      <c r="A55" s="3" t="s">
        <v>85</v>
      </c>
      <c r="B55" s="9">
        <f>COUNTIFS(Todas!$E$5:$E$983,A55,Todas!$W$5:$W$983,4,Todas!$H$5:$H$983,"Aberta")</f>
        <v>0</v>
      </c>
      <c r="C55" s="9">
        <f>COUNTIFS(Todas!$E$5:$E$983,A55,Todas!$W$5:$W$983,3,Todas!$H$5:$H$983,"Aberta")</f>
        <v>1</v>
      </c>
      <c r="D55" s="9">
        <f>COUNTIFS(Todas!$E$5:$E$983,A55,Todas!$H$5:$H$983,"Aberta")</f>
        <v>9</v>
      </c>
      <c r="E55" s="9" t="str">
        <f t="shared" si="1"/>
        <v>ok</v>
      </c>
    </row>
    <row r="56" spans="1:5" x14ac:dyDescent="0.3">
      <c r="A56" s="3" t="s">
        <v>86</v>
      </c>
      <c r="B56" s="9">
        <f>COUNTIFS(Todas!$E$5:$E$983,A56,Todas!$W$5:$W$983,4,Todas!$H$5:$H$983,"Aberta")</f>
        <v>0</v>
      </c>
      <c r="C56" s="9">
        <f>COUNTIFS(Todas!$E$5:$E$983,A56,Todas!$W$5:$W$983,3,Todas!$H$5:$H$983,"Aberta")</f>
        <v>1</v>
      </c>
      <c r="D56" s="9">
        <f>COUNTIFS(Todas!$E$5:$E$983,A56,Todas!$H$5:$H$983,"Aberta")</f>
        <v>9</v>
      </c>
      <c r="E56" s="9" t="str">
        <f t="shared" si="1"/>
        <v>ok</v>
      </c>
    </row>
    <row r="57" spans="1:5" x14ac:dyDescent="0.3">
      <c r="A57" s="3" t="s">
        <v>87</v>
      </c>
      <c r="B57" s="9">
        <f>COUNTIFS(Todas!$E$5:$E$983,A57,Todas!$W$5:$W$983,4,Todas!$H$5:$H$983,"Aberta")</f>
        <v>0</v>
      </c>
      <c r="C57" s="9">
        <f>COUNTIFS(Todas!$E$5:$E$983,A57,Todas!$W$5:$W$983,3,Todas!$H$5:$H$983,"Aberta")</f>
        <v>1</v>
      </c>
      <c r="D57" s="9">
        <f>COUNTIFS(Todas!$E$5:$E$983,A57,Todas!$H$5:$H$983,"Aberta")</f>
        <v>2</v>
      </c>
      <c r="E57" s="9" t="str">
        <f t="shared" si="1"/>
        <v>ok</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0"/>
  <sheetViews>
    <sheetView showGridLines="0" workbookViewId="0">
      <pane xSplit="3" ySplit="4" topLeftCell="D5" activePane="bottomRight" state="frozen"/>
      <selection pane="topRight"/>
      <selection pane="bottomLeft"/>
      <selection pane="bottomRight"/>
    </sheetView>
  </sheetViews>
  <sheetFormatPr defaultRowHeight="14.4" x14ac:dyDescent="0.3"/>
  <cols>
    <col min="1" max="1" width="5" customWidth="1"/>
    <col min="2" max="2" width="7" customWidth="1"/>
    <col min="3" max="3" width="62" customWidth="1"/>
    <col min="4" max="4" width="20" customWidth="1"/>
    <col min="5" max="5" width="16" customWidth="1"/>
    <col min="6" max="6" width="15" customWidth="1"/>
    <col min="7" max="7" width="11" customWidth="1"/>
    <col min="8" max="8" width="20" customWidth="1"/>
    <col min="9" max="9" width="8" customWidth="1"/>
    <col min="10" max="10" width="9" customWidth="1"/>
    <col min="11" max="11" width="10" customWidth="1"/>
    <col min="12" max="12" width="7" customWidth="1"/>
    <col min="13" max="13" width="6" customWidth="1"/>
    <col min="14" max="15" width="7" customWidth="1"/>
    <col min="16" max="16" width="6" customWidth="1"/>
    <col min="17" max="17" width="8" customWidth="1"/>
    <col min="18" max="18" width="80" customWidth="1"/>
  </cols>
  <sheetData>
    <row r="1" spans="1:18" ht="17.399999999999999" x14ac:dyDescent="0.3">
      <c r="A1" s="1" t="s">
        <v>88</v>
      </c>
    </row>
    <row r="2" spans="1:18" ht="409.6" x14ac:dyDescent="0.3">
      <c r="A2" s="2" t="s">
        <v>89</v>
      </c>
    </row>
    <row r="4" spans="1:18" ht="36" customHeight="1" x14ac:dyDescent="0.3">
      <c r="A4" s="6" t="s">
        <v>90</v>
      </c>
      <c r="B4" s="6" t="s">
        <v>91</v>
      </c>
      <c r="C4" s="6" t="s">
        <v>92</v>
      </c>
      <c r="D4" s="6" t="s">
        <v>42</v>
      </c>
      <c r="E4" s="6" t="s">
        <v>93</v>
      </c>
      <c r="F4" s="6" t="s">
        <v>94</v>
      </c>
      <c r="G4" s="6" t="s">
        <v>62</v>
      </c>
      <c r="H4" s="6" t="s">
        <v>95</v>
      </c>
      <c r="I4" s="6" t="s">
        <v>96</v>
      </c>
      <c r="J4" s="6" t="s">
        <v>97</v>
      </c>
      <c r="K4" s="6" t="s">
        <v>98</v>
      </c>
      <c r="L4" s="6" t="s">
        <v>99</v>
      </c>
      <c r="M4" s="6" t="s">
        <v>100</v>
      </c>
      <c r="N4" s="6" t="s">
        <v>101</v>
      </c>
      <c r="O4" s="6" t="s">
        <v>102</v>
      </c>
      <c r="P4" s="6" t="s">
        <v>103</v>
      </c>
      <c r="Q4" s="6" t="s">
        <v>104</v>
      </c>
      <c r="R4" s="6" t="s">
        <v>105</v>
      </c>
    </row>
    <row r="5" spans="1:18" ht="28.05" customHeight="1" x14ac:dyDescent="0.3">
      <c r="A5" s="16">
        <v>1</v>
      </c>
      <c r="B5" s="16">
        <v>2</v>
      </c>
      <c r="C5" s="17" t="s">
        <v>106</v>
      </c>
      <c r="D5" s="4" t="s">
        <v>51</v>
      </c>
      <c r="E5" s="4" t="s">
        <v>63</v>
      </c>
      <c r="F5" s="4" t="s">
        <v>107</v>
      </c>
      <c r="G5" s="4" t="s">
        <v>108</v>
      </c>
      <c r="H5" s="4" t="s">
        <v>109</v>
      </c>
      <c r="I5" s="18">
        <v>4.8899999999999997</v>
      </c>
      <c r="J5" s="16">
        <v>4</v>
      </c>
      <c r="K5" s="16"/>
      <c r="L5" s="16">
        <v>5</v>
      </c>
      <c r="M5" s="16">
        <v>5</v>
      </c>
      <c r="N5" s="16">
        <v>3</v>
      </c>
      <c r="O5" s="16">
        <v>3</v>
      </c>
      <c r="P5" s="16">
        <v>5</v>
      </c>
      <c r="Q5" s="16">
        <v>4</v>
      </c>
      <c r="R5" s="4" t="s">
        <v>110</v>
      </c>
    </row>
    <row r="6" spans="1:18" ht="28.05" customHeight="1" x14ac:dyDescent="0.3">
      <c r="A6" s="16">
        <v>2</v>
      </c>
      <c r="B6" s="16">
        <v>3</v>
      </c>
      <c r="C6" s="17" t="s">
        <v>111</v>
      </c>
      <c r="D6" s="4" t="s">
        <v>54</v>
      </c>
      <c r="E6" s="4" t="s">
        <v>63</v>
      </c>
      <c r="F6" s="4" t="s">
        <v>112</v>
      </c>
      <c r="G6" s="4" t="s">
        <v>108</v>
      </c>
      <c r="H6" s="4" t="s">
        <v>109</v>
      </c>
      <c r="I6" s="18">
        <v>4.6900000000000004</v>
      </c>
      <c r="J6" s="16">
        <v>4</v>
      </c>
      <c r="K6" s="16"/>
      <c r="L6" s="16">
        <v>5</v>
      </c>
      <c r="M6" s="16">
        <v>4</v>
      </c>
      <c r="N6" s="16">
        <v>3</v>
      </c>
      <c r="O6" s="16">
        <v>4</v>
      </c>
      <c r="P6" s="16">
        <v>5</v>
      </c>
      <c r="Q6" s="16">
        <v>3</v>
      </c>
      <c r="R6" s="4" t="s">
        <v>113</v>
      </c>
    </row>
    <row r="7" spans="1:18" ht="28.05" customHeight="1" x14ac:dyDescent="0.3">
      <c r="A7" s="16">
        <v>3</v>
      </c>
      <c r="B7" s="16">
        <v>5</v>
      </c>
      <c r="C7" s="17" t="s">
        <v>114</v>
      </c>
      <c r="D7" s="4" t="s">
        <v>54</v>
      </c>
      <c r="E7" s="4" t="s">
        <v>63</v>
      </c>
      <c r="F7" s="4" t="s">
        <v>112</v>
      </c>
      <c r="G7" s="4" t="s">
        <v>108</v>
      </c>
      <c r="H7" s="4" t="s">
        <v>109</v>
      </c>
      <c r="I7" s="18">
        <v>4.4400000000000004</v>
      </c>
      <c r="J7" s="16">
        <v>4</v>
      </c>
      <c r="K7" s="16"/>
      <c r="L7" s="16">
        <v>4</v>
      </c>
      <c r="M7" s="16">
        <v>4</v>
      </c>
      <c r="N7" s="16">
        <v>4</v>
      </c>
      <c r="O7" s="16">
        <v>4</v>
      </c>
      <c r="P7" s="16">
        <v>4</v>
      </c>
      <c r="Q7" s="16">
        <v>3</v>
      </c>
      <c r="R7" s="4" t="s">
        <v>115</v>
      </c>
    </row>
    <row r="8" spans="1:18" ht="28.05" customHeight="1" x14ac:dyDescent="0.3">
      <c r="A8" s="16">
        <v>4</v>
      </c>
      <c r="B8" s="16">
        <v>6</v>
      </c>
      <c r="C8" s="17" t="s">
        <v>116</v>
      </c>
      <c r="D8" s="4" t="s">
        <v>53</v>
      </c>
      <c r="E8" s="4" t="s">
        <v>74</v>
      </c>
      <c r="F8" s="4" t="s">
        <v>107</v>
      </c>
      <c r="G8" s="4" t="s">
        <v>108</v>
      </c>
      <c r="H8" s="4" t="s">
        <v>109</v>
      </c>
      <c r="I8" s="18">
        <v>4.4000000000000004</v>
      </c>
      <c r="J8" s="16">
        <v>4</v>
      </c>
      <c r="K8" s="16"/>
      <c r="L8" s="16">
        <v>5</v>
      </c>
      <c r="M8" s="16">
        <v>4</v>
      </c>
      <c r="N8" s="16">
        <v>2</v>
      </c>
      <c r="O8" s="16">
        <v>4</v>
      </c>
      <c r="P8" s="16">
        <v>4</v>
      </c>
      <c r="Q8" s="16">
        <v>3</v>
      </c>
      <c r="R8" s="4" t="s">
        <v>117</v>
      </c>
    </row>
    <row r="9" spans="1:18" ht="28.05" customHeight="1" x14ac:dyDescent="0.3">
      <c r="A9" s="16">
        <v>5</v>
      </c>
      <c r="B9" s="16">
        <v>8</v>
      </c>
      <c r="C9" s="17" t="s">
        <v>118</v>
      </c>
      <c r="D9" s="4" t="s">
        <v>50</v>
      </c>
      <c r="E9" s="4" t="s">
        <v>70</v>
      </c>
      <c r="F9" s="4" t="s">
        <v>119</v>
      </c>
      <c r="G9" s="4" t="s">
        <v>108</v>
      </c>
      <c r="H9" s="4" t="s">
        <v>109</v>
      </c>
      <c r="I9" s="18">
        <v>4.37</v>
      </c>
      <c r="J9" s="16">
        <v>4</v>
      </c>
      <c r="K9" s="16"/>
      <c r="L9" s="16">
        <v>4</v>
      </c>
      <c r="M9" s="16">
        <v>5</v>
      </c>
      <c r="N9" s="16">
        <v>4</v>
      </c>
      <c r="O9" s="16">
        <v>2</v>
      </c>
      <c r="P9" s="16">
        <v>3</v>
      </c>
      <c r="Q9" s="16">
        <v>3</v>
      </c>
      <c r="R9" s="4" t="s">
        <v>120</v>
      </c>
    </row>
    <row r="10" spans="1:18" ht="28.05" customHeight="1" x14ac:dyDescent="0.3">
      <c r="A10" s="16">
        <v>6</v>
      </c>
      <c r="B10" s="16">
        <v>9</v>
      </c>
      <c r="C10" s="17" t="s">
        <v>121</v>
      </c>
      <c r="D10" s="4" t="s">
        <v>52</v>
      </c>
      <c r="E10" s="4" t="s">
        <v>66</v>
      </c>
      <c r="F10" s="4" t="s">
        <v>107</v>
      </c>
      <c r="G10" s="4" t="s">
        <v>108</v>
      </c>
      <c r="H10" s="4" t="s">
        <v>122</v>
      </c>
      <c r="I10" s="18">
        <v>4.3600000000000003</v>
      </c>
      <c r="J10" s="16">
        <v>4</v>
      </c>
      <c r="K10" s="16"/>
      <c r="L10" s="16">
        <v>4</v>
      </c>
      <c r="M10" s="16">
        <v>5</v>
      </c>
      <c r="N10" s="16">
        <v>3</v>
      </c>
      <c r="O10" s="16">
        <v>4</v>
      </c>
      <c r="P10" s="16">
        <v>5</v>
      </c>
      <c r="Q10" s="16">
        <v>4</v>
      </c>
      <c r="R10" s="4" t="s">
        <v>123</v>
      </c>
    </row>
    <row r="11" spans="1:18" ht="28.05" customHeight="1" x14ac:dyDescent="0.3">
      <c r="A11" s="16">
        <v>7</v>
      </c>
      <c r="B11" s="16">
        <v>10</v>
      </c>
      <c r="C11" s="17" t="s">
        <v>124</v>
      </c>
      <c r="D11" s="4" t="s">
        <v>50</v>
      </c>
      <c r="E11" s="4" t="s">
        <v>65</v>
      </c>
      <c r="F11" s="4" t="s">
        <v>107</v>
      </c>
      <c r="G11" s="4" t="s">
        <v>108</v>
      </c>
      <c r="H11" s="4" t="s">
        <v>122</v>
      </c>
      <c r="I11" s="18">
        <v>4.34</v>
      </c>
      <c r="J11" s="16">
        <v>4</v>
      </c>
      <c r="K11" s="16"/>
      <c r="L11" s="16">
        <v>4</v>
      </c>
      <c r="M11" s="16">
        <v>3</v>
      </c>
      <c r="N11" s="16">
        <v>5</v>
      </c>
      <c r="O11" s="16">
        <v>5</v>
      </c>
      <c r="P11" s="16">
        <v>3</v>
      </c>
      <c r="Q11" s="16">
        <v>3</v>
      </c>
      <c r="R11" s="4" t="s">
        <v>125</v>
      </c>
    </row>
    <row r="12" spans="1:18" ht="28.05" customHeight="1" x14ac:dyDescent="0.3">
      <c r="A12" s="16">
        <v>8</v>
      </c>
      <c r="B12" s="16">
        <v>11</v>
      </c>
      <c r="C12" s="17" t="s">
        <v>126</v>
      </c>
      <c r="D12" s="4" t="s">
        <v>50</v>
      </c>
      <c r="E12" s="4" t="s">
        <v>69</v>
      </c>
      <c r="F12" s="4" t="s">
        <v>107</v>
      </c>
      <c r="G12" s="4" t="s">
        <v>108</v>
      </c>
      <c r="H12" s="4" t="s">
        <v>109</v>
      </c>
      <c r="I12" s="18">
        <v>4.3099999999999996</v>
      </c>
      <c r="J12" s="16">
        <v>4</v>
      </c>
      <c r="K12" s="16"/>
      <c r="L12" s="16">
        <v>4</v>
      </c>
      <c r="M12" s="16">
        <v>4</v>
      </c>
      <c r="N12" s="16">
        <v>4</v>
      </c>
      <c r="O12" s="16">
        <v>4</v>
      </c>
      <c r="P12" s="16">
        <v>2</v>
      </c>
      <c r="Q12" s="16">
        <v>2</v>
      </c>
      <c r="R12" s="4" t="s">
        <v>127</v>
      </c>
    </row>
    <row r="13" spans="1:18" ht="28.05" customHeight="1" x14ac:dyDescent="0.3">
      <c r="A13" s="16">
        <v>9</v>
      </c>
      <c r="B13" s="16">
        <v>12</v>
      </c>
      <c r="C13" s="17" t="s">
        <v>128</v>
      </c>
      <c r="D13" s="4" t="s">
        <v>50</v>
      </c>
      <c r="E13" s="4" t="s">
        <v>68</v>
      </c>
      <c r="F13" s="4" t="s">
        <v>112</v>
      </c>
      <c r="G13" s="4" t="s">
        <v>108</v>
      </c>
      <c r="H13" s="4" t="s">
        <v>109</v>
      </c>
      <c r="I13" s="18">
        <v>4.3099999999999996</v>
      </c>
      <c r="J13" s="16">
        <v>4</v>
      </c>
      <c r="K13" s="16"/>
      <c r="L13" s="16">
        <v>4</v>
      </c>
      <c r="M13" s="16">
        <v>5</v>
      </c>
      <c r="N13" s="16">
        <v>3</v>
      </c>
      <c r="O13" s="16">
        <v>3</v>
      </c>
      <c r="P13" s="16">
        <v>3</v>
      </c>
      <c r="Q13" s="16">
        <v>3</v>
      </c>
      <c r="R13" s="4" t="s">
        <v>129</v>
      </c>
    </row>
    <row r="14" spans="1:18" ht="28.05" customHeight="1" x14ac:dyDescent="0.3">
      <c r="A14" s="16">
        <v>10</v>
      </c>
      <c r="B14" s="16">
        <v>13</v>
      </c>
      <c r="C14" s="17" t="s">
        <v>130</v>
      </c>
      <c r="D14" s="4" t="s">
        <v>54</v>
      </c>
      <c r="E14" s="4" t="s">
        <v>63</v>
      </c>
      <c r="F14" s="4" t="s">
        <v>112</v>
      </c>
      <c r="G14" s="4" t="s">
        <v>108</v>
      </c>
      <c r="H14" s="4" t="s">
        <v>131</v>
      </c>
      <c r="I14" s="18">
        <v>4.29</v>
      </c>
      <c r="J14" s="16">
        <v>4</v>
      </c>
      <c r="K14" s="16"/>
      <c r="L14" s="16">
        <v>4</v>
      </c>
      <c r="M14" s="16">
        <v>4</v>
      </c>
      <c r="N14" s="16">
        <v>4</v>
      </c>
      <c r="O14" s="16">
        <v>4</v>
      </c>
      <c r="P14" s="16">
        <v>5</v>
      </c>
      <c r="Q14" s="16">
        <v>5</v>
      </c>
      <c r="R14" s="4" t="s">
        <v>132</v>
      </c>
    </row>
    <row r="15" spans="1:18" ht="28.05" customHeight="1" x14ac:dyDescent="0.3">
      <c r="A15" s="16">
        <v>11</v>
      </c>
      <c r="B15" s="16">
        <v>14</v>
      </c>
      <c r="C15" s="17" t="s">
        <v>133</v>
      </c>
      <c r="D15" s="4" t="s">
        <v>54</v>
      </c>
      <c r="E15" s="4" t="s">
        <v>64</v>
      </c>
      <c r="F15" s="4" t="s">
        <v>134</v>
      </c>
      <c r="G15" s="4" t="s">
        <v>108</v>
      </c>
      <c r="H15" s="4" t="s">
        <v>109</v>
      </c>
      <c r="I15" s="18">
        <v>4.2300000000000004</v>
      </c>
      <c r="J15" s="16">
        <v>4</v>
      </c>
      <c r="K15" s="16"/>
      <c r="L15" s="16">
        <v>5</v>
      </c>
      <c r="M15" s="16">
        <v>4</v>
      </c>
      <c r="N15" s="16">
        <v>3</v>
      </c>
      <c r="O15" s="16">
        <v>3</v>
      </c>
      <c r="P15" s="16">
        <v>3</v>
      </c>
      <c r="Q15" s="16">
        <v>3</v>
      </c>
      <c r="R15" s="4" t="s">
        <v>135</v>
      </c>
    </row>
    <row r="16" spans="1:18" ht="28.05" customHeight="1" x14ac:dyDescent="0.3">
      <c r="A16" s="16">
        <v>12</v>
      </c>
      <c r="B16" s="16">
        <v>15</v>
      </c>
      <c r="C16" s="17" t="s">
        <v>136</v>
      </c>
      <c r="D16" s="4" t="s">
        <v>54</v>
      </c>
      <c r="E16" s="4" t="s">
        <v>65</v>
      </c>
      <c r="F16" s="4" t="s">
        <v>112</v>
      </c>
      <c r="G16" s="4" t="s">
        <v>108</v>
      </c>
      <c r="H16" s="4" t="s">
        <v>109</v>
      </c>
      <c r="I16" s="18">
        <v>4.2300000000000004</v>
      </c>
      <c r="J16" s="16">
        <v>4</v>
      </c>
      <c r="K16" s="16"/>
      <c r="L16" s="16">
        <v>5</v>
      </c>
      <c r="M16" s="16">
        <v>4</v>
      </c>
      <c r="N16" s="16">
        <v>3</v>
      </c>
      <c r="O16" s="16">
        <v>3</v>
      </c>
      <c r="P16" s="16">
        <v>3</v>
      </c>
      <c r="Q16" s="16">
        <v>3</v>
      </c>
      <c r="R16" s="4" t="s">
        <v>135</v>
      </c>
    </row>
    <row r="17" spans="1:18" ht="28.05" customHeight="1" x14ac:dyDescent="0.3">
      <c r="A17" s="16">
        <v>13</v>
      </c>
      <c r="B17" s="16">
        <v>17</v>
      </c>
      <c r="C17" s="17" t="s">
        <v>137</v>
      </c>
      <c r="D17" s="4" t="s">
        <v>54</v>
      </c>
      <c r="E17" s="4" t="s">
        <v>63</v>
      </c>
      <c r="F17" s="4" t="s">
        <v>107</v>
      </c>
      <c r="G17" s="4" t="s">
        <v>108</v>
      </c>
      <c r="H17" s="4" t="s">
        <v>109</v>
      </c>
      <c r="I17" s="18">
        <v>4.18</v>
      </c>
      <c r="J17" s="16">
        <v>4</v>
      </c>
      <c r="K17" s="16"/>
      <c r="L17" s="16">
        <v>5</v>
      </c>
      <c r="M17" s="16">
        <v>4</v>
      </c>
      <c r="N17" s="16">
        <v>2</v>
      </c>
      <c r="O17" s="16">
        <v>3</v>
      </c>
      <c r="P17" s="16">
        <v>4</v>
      </c>
      <c r="Q17" s="16">
        <v>2</v>
      </c>
      <c r="R17" s="4" t="s">
        <v>138</v>
      </c>
    </row>
    <row r="18" spans="1:18" ht="28.05" customHeight="1" x14ac:dyDescent="0.3">
      <c r="A18" s="16">
        <v>14</v>
      </c>
      <c r="B18" s="16">
        <v>18</v>
      </c>
      <c r="C18" s="17" t="s">
        <v>139</v>
      </c>
      <c r="D18" s="4" t="s">
        <v>50</v>
      </c>
      <c r="E18" s="4" t="s">
        <v>65</v>
      </c>
      <c r="F18" s="4" t="s">
        <v>107</v>
      </c>
      <c r="G18" s="4" t="s">
        <v>108</v>
      </c>
      <c r="H18" s="4" t="s">
        <v>122</v>
      </c>
      <c r="I18" s="18">
        <v>4.17</v>
      </c>
      <c r="J18" s="16">
        <v>4</v>
      </c>
      <c r="K18" s="16"/>
      <c r="L18" s="16">
        <v>4</v>
      </c>
      <c r="M18" s="16">
        <v>4</v>
      </c>
      <c r="N18" s="16">
        <v>4</v>
      </c>
      <c r="O18" s="16">
        <v>4</v>
      </c>
      <c r="P18" s="16">
        <v>3</v>
      </c>
      <c r="Q18" s="16">
        <v>3</v>
      </c>
      <c r="R18" s="4" t="s">
        <v>140</v>
      </c>
    </row>
    <row r="19" spans="1:18" ht="28.05" customHeight="1" x14ac:dyDescent="0.3">
      <c r="A19" s="16">
        <v>15</v>
      </c>
      <c r="B19" s="16">
        <v>19</v>
      </c>
      <c r="C19" s="17" t="s">
        <v>141</v>
      </c>
      <c r="D19" s="4" t="s">
        <v>50</v>
      </c>
      <c r="E19" s="4" t="s">
        <v>67</v>
      </c>
      <c r="F19" s="4" t="s">
        <v>112</v>
      </c>
      <c r="G19" s="4" t="s">
        <v>108</v>
      </c>
      <c r="H19" s="4" t="s">
        <v>122</v>
      </c>
      <c r="I19" s="18">
        <v>4.17</v>
      </c>
      <c r="J19" s="16">
        <v>4</v>
      </c>
      <c r="K19" s="16"/>
      <c r="L19" s="16">
        <v>4</v>
      </c>
      <c r="M19" s="16">
        <v>5</v>
      </c>
      <c r="N19" s="16">
        <v>3</v>
      </c>
      <c r="O19" s="16">
        <v>3</v>
      </c>
      <c r="P19" s="16">
        <v>4</v>
      </c>
      <c r="Q19" s="16">
        <v>4</v>
      </c>
      <c r="R19" s="4" t="s">
        <v>142</v>
      </c>
    </row>
    <row r="20" spans="1:18" ht="28.05" customHeight="1" x14ac:dyDescent="0.3">
      <c r="A20" s="16">
        <v>16</v>
      </c>
      <c r="B20" s="16">
        <v>22</v>
      </c>
      <c r="C20" s="17" t="s">
        <v>143</v>
      </c>
      <c r="D20" s="4" t="s">
        <v>51</v>
      </c>
      <c r="E20" s="4" t="s">
        <v>66</v>
      </c>
      <c r="F20" s="4" t="s">
        <v>134</v>
      </c>
      <c r="G20" s="4" t="s">
        <v>108</v>
      </c>
      <c r="H20" s="4" t="s">
        <v>109</v>
      </c>
      <c r="I20" s="18">
        <v>4.1399999999999997</v>
      </c>
      <c r="J20" s="16">
        <v>4</v>
      </c>
      <c r="K20" s="16"/>
      <c r="L20" s="16">
        <v>4</v>
      </c>
      <c r="M20" s="16">
        <v>4</v>
      </c>
      <c r="N20" s="16">
        <v>2</v>
      </c>
      <c r="O20" s="16">
        <v>4</v>
      </c>
      <c r="P20" s="16">
        <v>4</v>
      </c>
      <c r="Q20" s="16">
        <v>3</v>
      </c>
      <c r="R20" s="4" t="s">
        <v>144</v>
      </c>
    </row>
    <row r="21" spans="1:18" ht="28.05" customHeight="1" x14ac:dyDescent="0.3">
      <c r="A21" s="16">
        <v>17</v>
      </c>
      <c r="B21" s="16">
        <v>24</v>
      </c>
      <c r="C21" s="17" t="s">
        <v>145</v>
      </c>
      <c r="D21" s="4" t="s">
        <v>53</v>
      </c>
      <c r="E21" s="4" t="s">
        <v>64</v>
      </c>
      <c r="F21" s="4" t="s">
        <v>134</v>
      </c>
      <c r="G21" s="4" t="s">
        <v>108</v>
      </c>
      <c r="H21" s="4" t="s">
        <v>109</v>
      </c>
      <c r="I21" s="18">
        <v>4.08</v>
      </c>
      <c r="J21" s="16">
        <v>4</v>
      </c>
      <c r="K21" s="16"/>
      <c r="L21" s="16">
        <v>5</v>
      </c>
      <c r="M21" s="16">
        <v>5</v>
      </c>
      <c r="N21" s="16">
        <v>1</v>
      </c>
      <c r="O21" s="16">
        <v>3</v>
      </c>
      <c r="P21" s="16">
        <v>3</v>
      </c>
      <c r="Q21" s="16">
        <v>2</v>
      </c>
      <c r="R21" s="4" t="s">
        <v>146</v>
      </c>
    </row>
    <row r="22" spans="1:18" ht="28.05" customHeight="1" x14ac:dyDescent="0.3">
      <c r="A22" s="16">
        <v>18</v>
      </c>
      <c r="B22" s="16">
        <v>26</v>
      </c>
      <c r="C22" s="17" t="s">
        <v>147</v>
      </c>
      <c r="D22" s="4" t="s">
        <v>56</v>
      </c>
      <c r="E22" s="4" t="s">
        <v>71</v>
      </c>
      <c r="F22" s="4" t="s">
        <v>112</v>
      </c>
      <c r="G22" s="4" t="s">
        <v>108</v>
      </c>
      <c r="H22" s="4" t="s">
        <v>109</v>
      </c>
      <c r="I22" s="18">
        <v>4.0599999999999996</v>
      </c>
      <c r="J22" s="16">
        <v>4</v>
      </c>
      <c r="K22" s="16"/>
      <c r="L22" s="16">
        <v>5</v>
      </c>
      <c r="M22" s="16">
        <v>4</v>
      </c>
      <c r="N22" s="16">
        <v>1</v>
      </c>
      <c r="O22" s="16">
        <v>3</v>
      </c>
      <c r="P22" s="16">
        <v>5</v>
      </c>
      <c r="Q22" s="16">
        <v>3</v>
      </c>
      <c r="R22" s="4" t="s">
        <v>148</v>
      </c>
    </row>
    <row r="23" spans="1:18" ht="28.05" customHeight="1" x14ac:dyDescent="0.3">
      <c r="A23" s="16">
        <v>19</v>
      </c>
      <c r="B23" s="16">
        <v>27</v>
      </c>
      <c r="C23" s="17" t="s">
        <v>149</v>
      </c>
      <c r="D23" s="4" t="s">
        <v>50</v>
      </c>
      <c r="E23" s="4" t="s">
        <v>65</v>
      </c>
      <c r="F23" s="4" t="s">
        <v>107</v>
      </c>
      <c r="G23" s="4" t="s">
        <v>108</v>
      </c>
      <c r="H23" s="4" t="s">
        <v>122</v>
      </c>
      <c r="I23" s="18">
        <v>4.07</v>
      </c>
      <c r="J23" s="16">
        <v>4</v>
      </c>
      <c r="K23" s="16"/>
      <c r="L23" s="16">
        <v>4</v>
      </c>
      <c r="M23" s="16">
        <v>3</v>
      </c>
      <c r="N23" s="16">
        <v>3</v>
      </c>
      <c r="O23" s="16">
        <v>5</v>
      </c>
      <c r="P23" s="16">
        <v>4</v>
      </c>
      <c r="Q23" s="16">
        <v>4</v>
      </c>
      <c r="R23" s="4" t="s">
        <v>150</v>
      </c>
    </row>
    <row r="24" spans="1:18" ht="28.05" customHeight="1" x14ac:dyDescent="0.3">
      <c r="A24" s="16">
        <v>20</v>
      </c>
      <c r="B24" s="16">
        <v>28</v>
      </c>
      <c r="C24" s="17" t="s">
        <v>151</v>
      </c>
      <c r="D24" s="4" t="s">
        <v>50</v>
      </c>
      <c r="E24" s="4" t="s">
        <v>65</v>
      </c>
      <c r="F24" s="4" t="s">
        <v>107</v>
      </c>
      <c r="G24" s="4" t="s">
        <v>108</v>
      </c>
      <c r="H24" s="4" t="s">
        <v>152</v>
      </c>
      <c r="I24" s="18">
        <v>4.07</v>
      </c>
      <c r="J24" s="16">
        <v>4</v>
      </c>
      <c r="K24" s="16"/>
      <c r="L24" s="16">
        <v>4</v>
      </c>
      <c r="M24" s="16">
        <v>3</v>
      </c>
      <c r="N24" s="16">
        <v>3</v>
      </c>
      <c r="O24" s="16">
        <v>5</v>
      </c>
      <c r="P24" s="16">
        <v>4</v>
      </c>
      <c r="Q24" s="16">
        <v>4</v>
      </c>
      <c r="R24" s="4" t="s">
        <v>150</v>
      </c>
    </row>
    <row r="25" spans="1:18" ht="28.05" customHeight="1" x14ac:dyDescent="0.3">
      <c r="A25" s="16">
        <v>21</v>
      </c>
      <c r="B25" s="16">
        <v>37</v>
      </c>
      <c r="C25" s="17" t="s">
        <v>153</v>
      </c>
      <c r="D25" s="4" t="s">
        <v>52</v>
      </c>
      <c r="E25" s="4" t="s">
        <v>63</v>
      </c>
      <c r="F25" s="4" t="s">
        <v>112</v>
      </c>
      <c r="G25" s="4" t="s">
        <v>108</v>
      </c>
      <c r="H25" s="4" t="s">
        <v>109</v>
      </c>
      <c r="I25" s="18">
        <v>4.03</v>
      </c>
      <c r="J25" s="16">
        <v>4</v>
      </c>
      <c r="K25" s="16"/>
      <c r="L25" s="16">
        <v>5</v>
      </c>
      <c r="M25" s="16">
        <v>4</v>
      </c>
      <c r="N25" s="16">
        <v>1</v>
      </c>
      <c r="O25" s="16">
        <v>4</v>
      </c>
      <c r="P25" s="16">
        <v>3</v>
      </c>
      <c r="Q25" s="16">
        <v>2</v>
      </c>
      <c r="R25" s="4" t="s">
        <v>154</v>
      </c>
    </row>
    <row r="26" spans="1:18" ht="28.05" customHeight="1" x14ac:dyDescent="0.3">
      <c r="A26" s="16">
        <v>22</v>
      </c>
      <c r="B26" s="16">
        <v>38</v>
      </c>
      <c r="C26" s="17" t="s">
        <v>155</v>
      </c>
      <c r="D26" s="4" t="s">
        <v>54</v>
      </c>
      <c r="E26" s="4" t="s">
        <v>63</v>
      </c>
      <c r="F26" s="4" t="s">
        <v>112</v>
      </c>
      <c r="G26" s="4" t="s">
        <v>108</v>
      </c>
      <c r="H26" s="4" t="s">
        <v>109</v>
      </c>
      <c r="I26" s="18">
        <v>4.0199999999999996</v>
      </c>
      <c r="J26" s="16">
        <v>4</v>
      </c>
      <c r="K26" s="16"/>
      <c r="L26" s="16">
        <v>4</v>
      </c>
      <c r="M26" s="16">
        <v>4</v>
      </c>
      <c r="N26" s="16">
        <v>2</v>
      </c>
      <c r="O26" s="16">
        <v>4</v>
      </c>
      <c r="P26" s="16">
        <v>4</v>
      </c>
      <c r="Q26" s="16">
        <v>2</v>
      </c>
      <c r="R26" s="4" t="s">
        <v>144</v>
      </c>
    </row>
    <row r="27" spans="1:18" ht="28.05" customHeight="1" x14ac:dyDescent="0.3">
      <c r="A27" s="16">
        <v>23</v>
      </c>
      <c r="B27" s="16">
        <v>41</v>
      </c>
      <c r="C27" s="17" t="s">
        <v>156</v>
      </c>
      <c r="D27" s="4" t="s">
        <v>54</v>
      </c>
      <c r="E27" s="4" t="s">
        <v>64</v>
      </c>
      <c r="F27" s="4" t="s">
        <v>134</v>
      </c>
      <c r="G27" s="4" t="s">
        <v>108</v>
      </c>
      <c r="H27" s="4" t="s">
        <v>109</v>
      </c>
      <c r="I27" s="18">
        <v>4.0199999999999996</v>
      </c>
      <c r="J27" s="16">
        <v>4</v>
      </c>
      <c r="K27" s="16"/>
      <c r="L27" s="16">
        <v>5</v>
      </c>
      <c r="M27" s="16">
        <v>4</v>
      </c>
      <c r="N27" s="16">
        <v>2</v>
      </c>
      <c r="O27" s="16">
        <v>3</v>
      </c>
      <c r="P27" s="16">
        <v>3</v>
      </c>
      <c r="Q27" s="16">
        <v>3</v>
      </c>
      <c r="R27" s="4" t="s">
        <v>135</v>
      </c>
    </row>
    <row r="28" spans="1:18" ht="28.05" customHeight="1" x14ac:dyDescent="0.3">
      <c r="A28" s="16">
        <v>24</v>
      </c>
      <c r="B28" s="16">
        <v>44</v>
      </c>
      <c r="C28" s="17" t="s">
        <v>157</v>
      </c>
      <c r="D28" s="4" t="s">
        <v>52</v>
      </c>
      <c r="E28" s="4" t="s">
        <v>63</v>
      </c>
      <c r="F28" s="4" t="s">
        <v>112</v>
      </c>
      <c r="G28" s="4" t="s">
        <v>108</v>
      </c>
      <c r="H28" s="4" t="s">
        <v>122</v>
      </c>
      <c r="I28" s="18">
        <v>3.99</v>
      </c>
      <c r="J28" s="16">
        <v>4</v>
      </c>
      <c r="K28" s="16"/>
      <c r="L28" s="16">
        <v>4</v>
      </c>
      <c r="M28" s="16">
        <v>4</v>
      </c>
      <c r="N28" s="16">
        <v>3</v>
      </c>
      <c r="O28" s="16">
        <v>4</v>
      </c>
      <c r="P28" s="16">
        <v>4</v>
      </c>
      <c r="Q28" s="16">
        <v>4</v>
      </c>
      <c r="R28" s="4" t="s">
        <v>158</v>
      </c>
    </row>
    <row r="29" spans="1:18" ht="28.05" customHeight="1" x14ac:dyDescent="0.3">
      <c r="A29" s="16">
        <v>25</v>
      </c>
      <c r="B29" s="16">
        <v>45</v>
      </c>
      <c r="C29" s="17" t="s">
        <v>159</v>
      </c>
      <c r="D29" s="4" t="s">
        <v>51</v>
      </c>
      <c r="E29" s="4" t="s">
        <v>64</v>
      </c>
      <c r="F29" s="4" t="s">
        <v>119</v>
      </c>
      <c r="G29" s="4" t="s">
        <v>108</v>
      </c>
      <c r="H29" s="4" t="s">
        <v>109</v>
      </c>
      <c r="I29" s="18">
        <v>3.98</v>
      </c>
      <c r="J29" s="16">
        <v>4</v>
      </c>
      <c r="K29" s="16"/>
      <c r="L29" s="16">
        <v>4</v>
      </c>
      <c r="M29" s="16">
        <v>4</v>
      </c>
      <c r="N29" s="16">
        <v>2</v>
      </c>
      <c r="O29" s="16">
        <v>3</v>
      </c>
      <c r="P29" s="16">
        <v>4</v>
      </c>
      <c r="Q29" s="16">
        <v>4</v>
      </c>
      <c r="R29" s="4" t="s">
        <v>160</v>
      </c>
    </row>
    <row r="30" spans="1:18" ht="28.05" customHeight="1" x14ac:dyDescent="0.3">
      <c r="A30" s="16">
        <v>26</v>
      </c>
      <c r="B30" s="16">
        <v>46</v>
      </c>
      <c r="C30" s="17" t="s">
        <v>161</v>
      </c>
      <c r="D30" s="4" t="s">
        <v>55</v>
      </c>
      <c r="E30" s="4" t="s">
        <v>67</v>
      </c>
      <c r="F30" s="4" t="s">
        <v>112</v>
      </c>
      <c r="G30" s="4" t="s">
        <v>108</v>
      </c>
      <c r="H30" s="4" t="s">
        <v>109</v>
      </c>
      <c r="I30" s="18">
        <v>3.97</v>
      </c>
      <c r="J30" s="16">
        <v>4</v>
      </c>
      <c r="K30" s="16"/>
      <c r="L30" s="16">
        <v>5</v>
      </c>
      <c r="M30" s="16">
        <v>4</v>
      </c>
      <c r="N30" s="16">
        <v>1</v>
      </c>
      <c r="O30" s="16">
        <v>4</v>
      </c>
      <c r="P30" s="16">
        <v>3</v>
      </c>
      <c r="Q30" s="16">
        <v>4</v>
      </c>
      <c r="R30" s="4" t="s">
        <v>154</v>
      </c>
    </row>
    <row r="31" spans="1:18" ht="28.05" customHeight="1" x14ac:dyDescent="0.3">
      <c r="A31" s="16">
        <v>27</v>
      </c>
      <c r="B31" s="16">
        <v>48</v>
      </c>
      <c r="C31" s="17" t="s">
        <v>162</v>
      </c>
      <c r="D31" s="4" t="s">
        <v>54</v>
      </c>
      <c r="E31" s="4" t="s">
        <v>72</v>
      </c>
      <c r="F31" s="4" t="s">
        <v>112</v>
      </c>
      <c r="G31" s="4" t="s">
        <v>108</v>
      </c>
      <c r="H31" s="4" t="s">
        <v>152</v>
      </c>
      <c r="I31" s="18">
        <v>3.93</v>
      </c>
      <c r="J31" s="16">
        <v>4</v>
      </c>
      <c r="K31" s="16"/>
      <c r="L31" s="16">
        <v>4</v>
      </c>
      <c r="M31" s="16">
        <v>4</v>
      </c>
      <c r="N31" s="16">
        <v>3</v>
      </c>
      <c r="O31" s="16">
        <v>4</v>
      </c>
      <c r="P31" s="16">
        <v>4</v>
      </c>
      <c r="Q31" s="16">
        <v>3</v>
      </c>
      <c r="R31" s="4" t="s">
        <v>158</v>
      </c>
    </row>
    <row r="32" spans="1:18" ht="28.05" customHeight="1" x14ac:dyDescent="0.3">
      <c r="A32" s="16">
        <v>28</v>
      </c>
      <c r="B32" s="16">
        <v>51</v>
      </c>
      <c r="C32" s="17" t="s">
        <v>163</v>
      </c>
      <c r="D32" s="4" t="s">
        <v>54</v>
      </c>
      <c r="E32" s="4" t="s">
        <v>64</v>
      </c>
      <c r="F32" s="4" t="s">
        <v>134</v>
      </c>
      <c r="G32" s="4" t="s">
        <v>108</v>
      </c>
      <c r="H32" s="4" t="s">
        <v>109</v>
      </c>
      <c r="I32" s="18">
        <v>3.92</v>
      </c>
      <c r="J32" s="16">
        <v>4</v>
      </c>
      <c r="K32" s="16"/>
      <c r="L32" s="16">
        <v>4</v>
      </c>
      <c r="M32" s="16">
        <v>4</v>
      </c>
      <c r="N32" s="16">
        <v>3</v>
      </c>
      <c r="O32" s="16">
        <v>3</v>
      </c>
      <c r="P32" s="16">
        <v>3</v>
      </c>
      <c r="Q32" s="16">
        <v>3</v>
      </c>
      <c r="R32" s="4" t="s">
        <v>164</v>
      </c>
    </row>
    <row r="33" spans="1:18" ht="28.05" customHeight="1" x14ac:dyDescent="0.3">
      <c r="A33" s="16">
        <v>29</v>
      </c>
      <c r="B33" s="16">
        <v>52</v>
      </c>
      <c r="C33" s="17" t="s">
        <v>165</v>
      </c>
      <c r="D33" s="4" t="s">
        <v>48</v>
      </c>
      <c r="E33" s="4" t="s">
        <v>73</v>
      </c>
      <c r="F33" s="4" t="s">
        <v>107</v>
      </c>
      <c r="G33" s="4" t="s">
        <v>108</v>
      </c>
      <c r="H33" s="4" t="s">
        <v>122</v>
      </c>
      <c r="I33" s="18">
        <v>3.91</v>
      </c>
      <c r="J33" s="16">
        <v>4</v>
      </c>
      <c r="K33" s="16"/>
      <c r="L33" s="16">
        <v>3</v>
      </c>
      <c r="M33" s="16">
        <v>3</v>
      </c>
      <c r="N33" s="16">
        <v>5</v>
      </c>
      <c r="O33" s="16">
        <v>4</v>
      </c>
      <c r="P33" s="16">
        <v>3</v>
      </c>
      <c r="Q33" s="16">
        <v>3</v>
      </c>
      <c r="R33" s="4" t="s">
        <v>166</v>
      </c>
    </row>
    <row r="34" spans="1:18" ht="28.05" customHeight="1" x14ac:dyDescent="0.3">
      <c r="A34" s="16">
        <v>30</v>
      </c>
      <c r="B34" s="16">
        <v>53</v>
      </c>
      <c r="C34" s="17" t="s">
        <v>167</v>
      </c>
      <c r="D34" s="4" t="s">
        <v>52</v>
      </c>
      <c r="E34" s="4" t="s">
        <v>66</v>
      </c>
      <c r="F34" s="4" t="s">
        <v>119</v>
      </c>
      <c r="G34" s="4" t="s">
        <v>108</v>
      </c>
      <c r="H34" s="4" t="s">
        <v>109</v>
      </c>
      <c r="I34" s="18">
        <v>3.92</v>
      </c>
      <c r="J34" s="16">
        <v>4</v>
      </c>
      <c r="K34" s="16"/>
      <c r="L34" s="16">
        <v>4</v>
      </c>
      <c r="M34" s="16">
        <v>4</v>
      </c>
      <c r="N34" s="16">
        <v>2</v>
      </c>
      <c r="O34" s="16">
        <v>3</v>
      </c>
      <c r="P34" s="16">
        <v>4</v>
      </c>
      <c r="Q34" s="16">
        <v>4</v>
      </c>
      <c r="R34" s="4" t="s">
        <v>160</v>
      </c>
    </row>
    <row r="35" spans="1:18" ht="28.05" customHeight="1" x14ac:dyDescent="0.3">
      <c r="A35" s="16">
        <v>31</v>
      </c>
      <c r="B35" s="16">
        <v>55</v>
      </c>
      <c r="C35" s="17" t="s">
        <v>161</v>
      </c>
      <c r="D35" s="4" t="s">
        <v>56</v>
      </c>
      <c r="E35" s="4" t="s">
        <v>67</v>
      </c>
      <c r="F35" s="4" t="s">
        <v>112</v>
      </c>
      <c r="G35" s="4" t="s">
        <v>108</v>
      </c>
      <c r="H35" s="4" t="s">
        <v>109</v>
      </c>
      <c r="I35" s="18">
        <v>3.91</v>
      </c>
      <c r="J35" s="16">
        <v>4</v>
      </c>
      <c r="K35" s="16"/>
      <c r="L35" s="16">
        <v>5</v>
      </c>
      <c r="M35" s="16">
        <v>4</v>
      </c>
      <c r="N35" s="16">
        <v>1</v>
      </c>
      <c r="O35" s="16">
        <v>4</v>
      </c>
      <c r="P35" s="16">
        <v>3</v>
      </c>
      <c r="Q35" s="16">
        <v>4</v>
      </c>
      <c r="R35" s="4" t="s">
        <v>154</v>
      </c>
    </row>
    <row r="36" spans="1:18" ht="28.05" customHeight="1" x14ac:dyDescent="0.3">
      <c r="A36" s="16">
        <v>32</v>
      </c>
      <c r="B36" s="16">
        <v>56</v>
      </c>
      <c r="C36" s="17" t="s">
        <v>168</v>
      </c>
      <c r="D36" s="4" t="s">
        <v>56</v>
      </c>
      <c r="E36" s="4" t="s">
        <v>64</v>
      </c>
      <c r="F36" s="4" t="s">
        <v>134</v>
      </c>
      <c r="G36" s="4" t="s">
        <v>108</v>
      </c>
      <c r="H36" s="4" t="s">
        <v>109</v>
      </c>
      <c r="I36" s="18">
        <v>3.91</v>
      </c>
      <c r="J36" s="16">
        <v>4</v>
      </c>
      <c r="K36" s="16"/>
      <c r="L36" s="16">
        <v>5</v>
      </c>
      <c r="M36" s="16">
        <v>4</v>
      </c>
      <c r="N36" s="16">
        <v>1</v>
      </c>
      <c r="O36" s="16">
        <v>3</v>
      </c>
      <c r="P36" s="16">
        <v>4</v>
      </c>
      <c r="Q36" s="16">
        <v>4</v>
      </c>
      <c r="R36" s="4" t="s">
        <v>138</v>
      </c>
    </row>
    <row r="37" spans="1:18" ht="28.05" customHeight="1" x14ac:dyDescent="0.3">
      <c r="A37" s="19">
        <v>33</v>
      </c>
      <c r="B37" s="19">
        <v>1</v>
      </c>
      <c r="C37" s="20" t="s">
        <v>169</v>
      </c>
      <c r="D37" s="21" t="s">
        <v>51</v>
      </c>
      <c r="E37" s="21" t="s">
        <v>170</v>
      </c>
      <c r="F37" s="21" t="s">
        <v>171</v>
      </c>
      <c r="G37" s="21" t="s">
        <v>172</v>
      </c>
      <c r="H37" s="21" t="s">
        <v>109</v>
      </c>
      <c r="I37" s="22">
        <v>4.8899999999999997</v>
      </c>
      <c r="J37" s="19">
        <v>4</v>
      </c>
      <c r="K37" s="19"/>
      <c r="L37" s="19">
        <v>5</v>
      </c>
      <c r="M37" s="19">
        <v>5</v>
      </c>
      <c r="N37" s="19">
        <v>3</v>
      </c>
      <c r="O37" s="19">
        <v>3</v>
      </c>
      <c r="P37" s="19">
        <v>5</v>
      </c>
      <c r="Q37" s="19">
        <v>4</v>
      </c>
      <c r="R37" s="21" t="s">
        <v>110</v>
      </c>
    </row>
    <row r="38" spans="1:18" ht="28.05" customHeight="1" x14ac:dyDescent="0.3">
      <c r="A38" s="19">
        <v>34</v>
      </c>
      <c r="B38" s="19">
        <v>4</v>
      </c>
      <c r="C38" s="20" t="s">
        <v>173</v>
      </c>
      <c r="D38" s="21" t="s">
        <v>54</v>
      </c>
      <c r="E38" s="21" t="s">
        <v>72</v>
      </c>
      <c r="F38" s="21" t="s">
        <v>171</v>
      </c>
      <c r="G38" s="21" t="s">
        <v>172</v>
      </c>
      <c r="H38" s="21" t="s">
        <v>109</v>
      </c>
      <c r="I38" s="22">
        <v>4.59</v>
      </c>
      <c r="J38" s="19">
        <v>4</v>
      </c>
      <c r="K38" s="19"/>
      <c r="L38" s="19">
        <v>5</v>
      </c>
      <c r="M38" s="19">
        <v>4</v>
      </c>
      <c r="N38" s="19">
        <v>4</v>
      </c>
      <c r="O38" s="19">
        <v>4</v>
      </c>
      <c r="P38" s="19">
        <v>3</v>
      </c>
      <c r="Q38" s="19">
        <v>3</v>
      </c>
      <c r="R38" s="21" t="s">
        <v>174</v>
      </c>
    </row>
    <row r="39" spans="1:18" ht="28.05" customHeight="1" x14ac:dyDescent="0.3">
      <c r="A39" s="19">
        <v>35</v>
      </c>
      <c r="B39" s="19">
        <v>7</v>
      </c>
      <c r="C39" s="20" t="s">
        <v>175</v>
      </c>
      <c r="D39" s="21" t="s">
        <v>52</v>
      </c>
      <c r="E39" s="21" t="s">
        <v>66</v>
      </c>
      <c r="F39" s="21" t="s">
        <v>171</v>
      </c>
      <c r="G39" s="21" t="s">
        <v>172</v>
      </c>
      <c r="H39" s="21" t="s">
        <v>109</v>
      </c>
      <c r="I39" s="22">
        <v>4.4000000000000004</v>
      </c>
      <c r="J39" s="19">
        <v>4</v>
      </c>
      <c r="K39" s="19"/>
      <c r="L39" s="19">
        <v>5</v>
      </c>
      <c r="M39" s="19">
        <v>4</v>
      </c>
      <c r="N39" s="19">
        <v>2</v>
      </c>
      <c r="O39" s="19">
        <v>4</v>
      </c>
      <c r="P39" s="19">
        <v>4</v>
      </c>
      <c r="Q39" s="19">
        <v>5</v>
      </c>
      <c r="R39" s="21" t="s">
        <v>117</v>
      </c>
    </row>
    <row r="40" spans="1:18" ht="28.05" customHeight="1" x14ac:dyDescent="0.3">
      <c r="A40" s="19">
        <v>36</v>
      </c>
      <c r="B40" s="19">
        <v>16</v>
      </c>
      <c r="C40" s="20" t="s">
        <v>176</v>
      </c>
      <c r="D40" s="21" t="s">
        <v>53</v>
      </c>
      <c r="E40" s="21" t="s">
        <v>77</v>
      </c>
      <c r="F40" s="21" t="s">
        <v>171</v>
      </c>
      <c r="G40" s="21" t="s">
        <v>172</v>
      </c>
      <c r="H40" s="21" t="s">
        <v>109</v>
      </c>
      <c r="I40" s="22">
        <v>4.24</v>
      </c>
      <c r="J40" s="19">
        <v>4</v>
      </c>
      <c r="K40" s="19"/>
      <c r="L40" s="19">
        <v>5</v>
      </c>
      <c r="M40" s="19">
        <v>5</v>
      </c>
      <c r="N40" s="19">
        <v>1</v>
      </c>
      <c r="O40" s="19">
        <v>3</v>
      </c>
      <c r="P40" s="19">
        <v>4</v>
      </c>
      <c r="Q40" s="19">
        <v>4</v>
      </c>
      <c r="R40" s="21" t="s">
        <v>177</v>
      </c>
    </row>
    <row r="41" spans="1:18" ht="28.05" customHeight="1" x14ac:dyDescent="0.3">
      <c r="A41" s="19">
        <v>37</v>
      </c>
      <c r="B41" s="19">
        <v>20</v>
      </c>
      <c r="C41" s="20" t="s">
        <v>178</v>
      </c>
      <c r="D41" s="21" t="s">
        <v>53</v>
      </c>
      <c r="E41" s="21" t="s">
        <v>76</v>
      </c>
      <c r="F41" s="21" t="s">
        <v>171</v>
      </c>
      <c r="G41" s="21" t="s">
        <v>172</v>
      </c>
      <c r="H41" s="21" t="s">
        <v>109</v>
      </c>
      <c r="I41" s="22">
        <v>4.13</v>
      </c>
      <c r="J41" s="19">
        <v>4</v>
      </c>
      <c r="K41" s="19"/>
      <c r="L41" s="19">
        <v>4</v>
      </c>
      <c r="M41" s="19">
        <v>4</v>
      </c>
      <c r="N41" s="19">
        <v>3</v>
      </c>
      <c r="O41" s="19">
        <v>4</v>
      </c>
      <c r="P41" s="19">
        <v>3</v>
      </c>
      <c r="Q41" s="19">
        <v>2</v>
      </c>
      <c r="R41" s="21" t="s">
        <v>179</v>
      </c>
    </row>
    <row r="42" spans="1:18" ht="28.05" customHeight="1" x14ac:dyDescent="0.3">
      <c r="A42" s="19">
        <v>38</v>
      </c>
      <c r="B42" s="19">
        <v>21</v>
      </c>
      <c r="C42" s="20" t="s">
        <v>180</v>
      </c>
      <c r="D42" s="21" t="s">
        <v>54</v>
      </c>
      <c r="E42" s="21" t="s">
        <v>72</v>
      </c>
      <c r="F42" s="21" t="s">
        <v>171</v>
      </c>
      <c r="G42" s="21" t="s">
        <v>172</v>
      </c>
      <c r="H42" s="21" t="s">
        <v>122</v>
      </c>
      <c r="I42" s="22">
        <v>4.1399999999999997</v>
      </c>
      <c r="J42" s="19">
        <v>4</v>
      </c>
      <c r="K42" s="19"/>
      <c r="L42" s="19">
        <v>4</v>
      </c>
      <c r="M42" s="19">
        <v>5</v>
      </c>
      <c r="N42" s="19">
        <v>3</v>
      </c>
      <c r="O42" s="19">
        <v>4</v>
      </c>
      <c r="P42" s="19">
        <v>4</v>
      </c>
      <c r="Q42" s="19">
        <v>3</v>
      </c>
      <c r="R42" s="21" t="s">
        <v>181</v>
      </c>
    </row>
    <row r="43" spans="1:18" ht="28.05" customHeight="1" x14ac:dyDescent="0.3">
      <c r="A43" s="19">
        <v>39</v>
      </c>
      <c r="B43" s="19">
        <v>23</v>
      </c>
      <c r="C43" s="20" t="s">
        <v>182</v>
      </c>
      <c r="D43" s="21" t="s">
        <v>50</v>
      </c>
      <c r="E43" s="21" t="s">
        <v>65</v>
      </c>
      <c r="F43" s="21" t="s">
        <v>171</v>
      </c>
      <c r="G43" s="21" t="s">
        <v>172</v>
      </c>
      <c r="H43" s="21" t="s">
        <v>109</v>
      </c>
      <c r="I43" s="22">
        <v>4.09</v>
      </c>
      <c r="J43" s="19">
        <v>4</v>
      </c>
      <c r="K43" s="19"/>
      <c r="L43" s="19">
        <v>4</v>
      </c>
      <c r="M43" s="19">
        <v>4</v>
      </c>
      <c r="N43" s="19">
        <v>3</v>
      </c>
      <c r="O43" s="19">
        <v>3</v>
      </c>
      <c r="P43" s="19">
        <v>3</v>
      </c>
      <c r="Q43" s="19">
        <v>2</v>
      </c>
      <c r="R43" s="21" t="s">
        <v>164</v>
      </c>
    </row>
    <row r="44" spans="1:18" ht="28.05" customHeight="1" x14ac:dyDescent="0.3">
      <c r="A44" s="19">
        <v>40</v>
      </c>
      <c r="B44" s="19">
        <v>25</v>
      </c>
      <c r="C44" s="20" t="s">
        <v>183</v>
      </c>
      <c r="D44" s="21" t="s">
        <v>53</v>
      </c>
      <c r="E44" s="21" t="s">
        <v>77</v>
      </c>
      <c r="F44" s="21" t="s">
        <v>184</v>
      </c>
      <c r="G44" s="21" t="s">
        <v>185</v>
      </c>
      <c r="H44" s="21" t="s">
        <v>122</v>
      </c>
      <c r="I44" s="22">
        <v>4.0999999999999996</v>
      </c>
      <c r="J44" s="19">
        <v>4</v>
      </c>
      <c r="K44" s="19"/>
      <c r="L44" s="19">
        <v>5</v>
      </c>
      <c r="M44" s="19">
        <v>5</v>
      </c>
      <c r="N44" s="19">
        <v>1</v>
      </c>
      <c r="O44" s="19">
        <v>3</v>
      </c>
      <c r="P44" s="19">
        <v>5</v>
      </c>
      <c r="Q44" s="19">
        <v>4</v>
      </c>
      <c r="R44" s="21" t="s">
        <v>186</v>
      </c>
    </row>
    <row r="45" spans="1:18" ht="28.05" customHeight="1" x14ac:dyDescent="0.3">
      <c r="A45" s="19">
        <v>41</v>
      </c>
      <c r="B45" s="19">
        <v>29</v>
      </c>
      <c r="C45" s="20" t="s">
        <v>187</v>
      </c>
      <c r="D45" s="21" t="s">
        <v>50</v>
      </c>
      <c r="E45" s="21" t="s">
        <v>65</v>
      </c>
      <c r="F45" s="21" t="s">
        <v>171</v>
      </c>
      <c r="G45" s="21" t="s">
        <v>172</v>
      </c>
      <c r="H45" s="21" t="s">
        <v>152</v>
      </c>
      <c r="I45" s="22">
        <v>4.07</v>
      </c>
      <c r="J45" s="19">
        <v>4</v>
      </c>
      <c r="K45" s="19"/>
      <c r="L45" s="19">
        <v>4</v>
      </c>
      <c r="M45" s="19">
        <v>3</v>
      </c>
      <c r="N45" s="19">
        <v>3</v>
      </c>
      <c r="O45" s="19">
        <v>5</v>
      </c>
      <c r="P45" s="19">
        <v>4</v>
      </c>
      <c r="Q45" s="19">
        <v>4</v>
      </c>
      <c r="R45" s="21" t="s">
        <v>150</v>
      </c>
    </row>
    <row r="46" spans="1:18" ht="28.05" customHeight="1" x14ac:dyDescent="0.3">
      <c r="A46" s="19">
        <v>42</v>
      </c>
      <c r="B46" s="19">
        <v>30</v>
      </c>
      <c r="C46" s="20" t="s">
        <v>188</v>
      </c>
      <c r="D46" s="21" t="s">
        <v>51</v>
      </c>
      <c r="E46" s="21" t="s">
        <v>77</v>
      </c>
      <c r="F46" s="21" t="s">
        <v>171</v>
      </c>
      <c r="G46" s="21" t="s">
        <v>172</v>
      </c>
      <c r="H46" s="21" t="s">
        <v>122</v>
      </c>
      <c r="I46" s="22">
        <v>4.05</v>
      </c>
      <c r="J46" s="19">
        <v>4</v>
      </c>
      <c r="K46" s="19"/>
      <c r="L46" s="19">
        <v>4</v>
      </c>
      <c r="M46" s="19">
        <v>5</v>
      </c>
      <c r="N46" s="19">
        <v>2</v>
      </c>
      <c r="O46" s="19">
        <v>5</v>
      </c>
      <c r="P46" s="19">
        <v>3</v>
      </c>
      <c r="Q46" s="19">
        <v>3</v>
      </c>
      <c r="R46" s="21" t="s">
        <v>189</v>
      </c>
    </row>
    <row r="47" spans="1:18" ht="28.05" customHeight="1" x14ac:dyDescent="0.3">
      <c r="A47" s="19">
        <v>43</v>
      </c>
      <c r="B47" s="19">
        <v>31</v>
      </c>
      <c r="C47" s="20" t="s">
        <v>190</v>
      </c>
      <c r="D47" s="21" t="s">
        <v>51</v>
      </c>
      <c r="E47" s="21" t="s">
        <v>69</v>
      </c>
      <c r="F47" s="21" t="s">
        <v>171</v>
      </c>
      <c r="G47" s="21" t="s">
        <v>172</v>
      </c>
      <c r="H47" s="21" t="s">
        <v>122</v>
      </c>
      <c r="I47" s="22">
        <v>4.05</v>
      </c>
      <c r="J47" s="19">
        <v>4</v>
      </c>
      <c r="K47" s="19"/>
      <c r="L47" s="19">
        <v>4</v>
      </c>
      <c r="M47" s="19">
        <v>5</v>
      </c>
      <c r="N47" s="19">
        <v>2</v>
      </c>
      <c r="O47" s="19">
        <v>5</v>
      </c>
      <c r="P47" s="19">
        <v>3</v>
      </c>
      <c r="Q47" s="19">
        <v>3</v>
      </c>
      <c r="R47" s="21" t="s">
        <v>189</v>
      </c>
    </row>
    <row r="48" spans="1:18" ht="28.05" customHeight="1" x14ac:dyDescent="0.3">
      <c r="A48" s="19">
        <v>44</v>
      </c>
      <c r="B48" s="19">
        <v>32</v>
      </c>
      <c r="C48" s="20" t="s">
        <v>191</v>
      </c>
      <c r="D48" s="21" t="s">
        <v>51</v>
      </c>
      <c r="E48" s="21" t="s">
        <v>69</v>
      </c>
      <c r="F48" s="21" t="s">
        <v>171</v>
      </c>
      <c r="G48" s="21" t="s">
        <v>172</v>
      </c>
      <c r="H48" s="21" t="s">
        <v>122</v>
      </c>
      <c r="I48" s="22">
        <v>4.05</v>
      </c>
      <c r="J48" s="19">
        <v>4</v>
      </c>
      <c r="K48" s="19"/>
      <c r="L48" s="19">
        <v>4</v>
      </c>
      <c r="M48" s="19">
        <v>5</v>
      </c>
      <c r="N48" s="19">
        <v>2</v>
      </c>
      <c r="O48" s="19">
        <v>5</v>
      </c>
      <c r="P48" s="19">
        <v>3</v>
      </c>
      <c r="Q48" s="19">
        <v>3</v>
      </c>
      <c r="R48" s="21" t="s">
        <v>189</v>
      </c>
    </row>
    <row r="49" spans="1:18" ht="28.05" customHeight="1" x14ac:dyDescent="0.3">
      <c r="A49" s="19">
        <v>45</v>
      </c>
      <c r="B49" s="19">
        <v>33</v>
      </c>
      <c r="C49" s="20" t="s">
        <v>192</v>
      </c>
      <c r="D49" s="21" t="s">
        <v>51</v>
      </c>
      <c r="E49" s="21" t="s">
        <v>69</v>
      </c>
      <c r="F49" s="21" t="s">
        <v>171</v>
      </c>
      <c r="G49" s="21" t="s">
        <v>172</v>
      </c>
      <c r="H49" s="21" t="s">
        <v>122</v>
      </c>
      <c r="I49" s="22">
        <v>4.05</v>
      </c>
      <c r="J49" s="19">
        <v>4</v>
      </c>
      <c r="K49" s="19"/>
      <c r="L49" s="19">
        <v>4</v>
      </c>
      <c r="M49" s="19">
        <v>5</v>
      </c>
      <c r="N49" s="19">
        <v>2</v>
      </c>
      <c r="O49" s="19">
        <v>5</v>
      </c>
      <c r="P49" s="19">
        <v>3</v>
      </c>
      <c r="Q49" s="19">
        <v>3</v>
      </c>
      <c r="R49" s="21" t="s">
        <v>189</v>
      </c>
    </row>
    <row r="50" spans="1:18" ht="28.05" customHeight="1" x14ac:dyDescent="0.3">
      <c r="A50" s="19">
        <v>46</v>
      </c>
      <c r="B50" s="19">
        <v>34</v>
      </c>
      <c r="C50" s="20" t="s">
        <v>193</v>
      </c>
      <c r="D50" s="21" t="s">
        <v>51</v>
      </c>
      <c r="E50" s="21" t="s">
        <v>194</v>
      </c>
      <c r="F50" s="21" t="s">
        <v>171</v>
      </c>
      <c r="G50" s="21" t="s">
        <v>172</v>
      </c>
      <c r="H50" s="21" t="s">
        <v>122</v>
      </c>
      <c r="I50" s="22">
        <v>4.05</v>
      </c>
      <c r="J50" s="19">
        <v>4</v>
      </c>
      <c r="K50" s="19"/>
      <c r="L50" s="19">
        <v>4</v>
      </c>
      <c r="M50" s="19">
        <v>5</v>
      </c>
      <c r="N50" s="19">
        <v>2</v>
      </c>
      <c r="O50" s="19">
        <v>5</v>
      </c>
      <c r="P50" s="19">
        <v>3</v>
      </c>
      <c r="Q50" s="19">
        <v>3</v>
      </c>
      <c r="R50" s="21" t="s">
        <v>189</v>
      </c>
    </row>
    <row r="51" spans="1:18" ht="28.05" customHeight="1" x14ac:dyDescent="0.3">
      <c r="A51" s="19">
        <v>47</v>
      </c>
      <c r="B51" s="19">
        <v>35</v>
      </c>
      <c r="C51" s="20" t="s">
        <v>195</v>
      </c>
      <c r="D51" s="21" t="s">
        <v>51</v>
      </c>
      <c r="E51" s="21" t="s">
        <v>194</v>
      </c>
      <c r="F51" s="21" t="s">
        <v>171</v>
      </c>
      <c r="G51" s="21" t="s">
        <v>172</v>
      </c>
      <c r="H51" s="21" t="s">
        <v>122</v>
      </c>
      <c r="I51" s="22">
        <v>4.05</v>
      </c>
      <c r="J51" s="19">
        <v>4</v>
      </c>
      <c r="K51" s="19"/>
      <c r="L51" s="19">
        <v>4</v>
      </c>
      <c r="M51" s="19">
        <v>5</v>
      </c>
      <c r="N51" s="19">
        <v>2</v>
      </c>
      <c r="O51" s="19">
        <v>5</v>
      </c>
      <c r="P51" s="19">
        <v>3</v>
      </c>
      <c r="Q51" s="19">
        <v>3</v>
      </c>
      <c r="R51" s="21" t="s">
        <v>189</v>
      </c>
    </row>
    <row r="52" spans="1:18" ht="28.05" customHeight="1" x14ac:dyDescent="0.3">
      <c r="A52" s="19">
        <v>48</v>
      </c>
      <c r="B52" s="19">
        <v>36</v>
      </c>
      <c r="C52" s="20" t="s">
        <v>196</v>
      </c>
      <c r="D52" s="21" t="s">
        <v>51</v>
      </c>
      <c r="E52" s="21" t="s">
        <v>69</v>
      </c>
      <c r="F52" s="21" t="s">
        <v>171</v>
      </c>
      <c r="G52" s="21" t="s">
        <v>172</v>
      </c>
      <c r="H52" s="21" t="s">
        <v>152</v>
      </c>
      <c r="I52" s="22">
        <v>4.05</v>
      </c>
      <c r="J52" s="19">
        <v>4</v>
      </c>
      <c r="K52" s="19"/>
      <c r="L52" s="19">
        <v>4</v>
      </c>
      <c r="M52" s="19">
        <v>5</v>
      </c>
      <c r="N52" s="19">
        <v>2</v>
      </c>
      <c r="O52" s="19">
        <v>5</v>
      </c>
      <c r="P52" s="19">
        <v>3</v>
      </c>
      <c r="Q52" s="19">
        <v>3</v>
      </c>
      <c r="R52" s="21" t="s">
        <v>189</v>
      </c>
    </row>
    <row r="53" spans="1:18" ht="28.05" customHeight="1" x14ac:dyDescent="0.3">
      <c r="A53" s="19">
        <v>49</v>
      </c>
      <c r="B53" s="19">
        <v>39</v>
      </c>
      <c r="C53" s="20" t="s">
        <v>197</v>
      </c>
      <c r="D53" s="21" t="s">
        <v>54</v>
      </c>
      <c r="E53" s="21" t="s">
        <v>64</v>
      </c>
      <c r="F53" s="21" t="s">
        <v>171</v>
      </c>
      <c r="G53" s="21" t="s">
        <v>172</v>
      </c>
      <c r="H53" s="21" t="s">
        <v>109</v>
      </c>
      <c r="I53" s="22">
        <v>4.0199999999999996</v>
      </c>
      <c r="J53" s="19">
        <v>4</v>
      </c>
      <c r="K53" s="19"/>
      <c r="L53" s="19">
        <v>5</v>
      </c>
      <c r="M53" s="19">
        <v>4</v>
      </c>
      <c r="N53" s="19">
        <v>2</v>
      </c>
      <c r="O53" s="19">
        <v>3</v>
      </c>
      <c r="P53" s="19">
        <v>3</v>
      </c>
      <c r="Q53" s="19">
        <v>2</v>
      </c>
      <c r="R53" s="21" t="s">
        <v>135</v>
      </c>
    </row>
    <row r="54" spans="1:18" ht="28.05" customHeight="1" x14ac:dyDescent="0.3">
      <c r="A54" s="19">
        <v>50</v>
      </c>
      <c r="B54" s="19">
        <v>40</v>
      </c>
      <c r="C54" s="20" t="s">
        <v>198</v>
      </c>
      <c r="D54" s="21" t="s">
        <v>51</v>
      </c>
      <c r="E54" s="21" t="s">
        <v>66</v>
      </c>
      <c r="F54" s="21" t="s">
        <v>184</v>
      </c>
      <c r="G54" s="21" t="s">
        <v>185</v>
      </c>
      <c r="H54" s="21" t="s">
        <v>109</v>
      </c>
      <c r="I54" s="22">
        <v>4.03</v>
      </c>
      <c r="J54" s="19">
        <v>4</v>
      </c>
      <c r="K54" s="19"/>
      <c r="L54" s="19">
        <v>4</v>
      </c>
      <c r="M54" s="19">
        <v>4</v>
      </c>
      <c r="N54" s="19">
        <v>3</v>
      </c>
      <c r="O54" s="19">
        <v>2</v>
      </c>
      <c r="P54" s="19">
        <v>4</v>
      </c>
      <c r="Q54" s="19">
        <v>3</v>
      </c>
      <c r="R54" s="21" t="s">
        <v>160</v>
      </c>
    </row>
    <row r="55" spans="1:18" ht="28.05" customHeight="1" x14ac:dyDescent="0.3">
      <c r="A55" s="19">
        <v>51</v>
      </c>
      <c r="B55" s="19">
        <v>42</v>
      </c>
      <c r="C55" s="20" t="s">
        <v>199</v>
      </c>
      <c r="D55" s="21" t="s">
        <v>50</v>
      </c>
      <c r="E55" s="21" t="s">
        <v>65</v>
      </c>
      <c r="F55" s="21" t="s">
        <v>171</v>
      </c>
      <c r="G55" s="21" t="s">
        <v>172</v>
      </c>
      <c r="H55" s="21" t="s">
        <v>109</v>
      </c>
      <c r="I55" s="22">
        <v>3.99</v>
      </c>
      <c r="J55" s="19">
        <v>4</v>
      </c>
      <c r="K55" s="19"/>
      <c r="L55" s="19">
        <v>4</v>
      </c>
      <c r="M55" s="19">
        <v>2</v>
      </c>
      <c r="N55" s="19">
        <v>3</v>
      </c>
      <c r="O55" s="19">
        <v>5</v>
      </c>
      <c r="P55" s="19">
        <v>3</v>
      </c>
      <c r="Q55" s="19">
        <v>3</v>
      </c>
      <c r="R55" s="21" t="s">
        <v>200</v>
      </c>
    </row>
    <row r="56" spans="1:18" ht="28.05" customHeight="1" x14ac:dyDescent="0.3">
      <c r="A56" s="19">
        <v>52</v>
      </c>
      <c r="B56" s="19">
        <v>43</v>
      </c>
      <c r="C56" s="20" t="s">
        <v>201</v>
      </c>
      <c r="D56" s="21" t="s">
        <v>54</v>
      </c>
      <c r="E56" s="21" t="s">
        <v>64</v>
      </c>
      <c r="F56" s="21" t="s">
        <v>171</v>
      </c>
      <c r="G56" s="21" t="s">
        <v>172</v>
      </c>
      <c r="H56" s="21" t="s">
        <v>109</v>
      </c>
      <c r="I56" s="22">
        <v>3.97</v>
      </c>
      <c r="J56" s="19">
        <v>4</v>
      </c>
      <c r="K56" s="19"/>
      <c r="L56" s="19">
        <v>5</v>
      </c>
      <c r="M56" s="19">
        <v>4</v>
      </c>
      <c r="N56" s="19">
        <v>1</v>
      </c>
      <c r="O56" s="19">
        <v>5</v>
      </c>
      <c r="P56" s="19">
        <v>2</v>
      </c>
      <c r="Q56" s="19">
        <v>2</v>
      </c>
      <c r="R56" s="21" t="s">
        <v>202</v>
      </c>
    </row>
    <row r="57" spans="1:18" ht="28.05" customHeight="1" x14ac:dyDescent="0.3">
      <c r="A57" s="19">
        <v>53</v>
      </c>
      <c r="B57" s="19">
        <v>47</v>
      </c>
      <c r="C57" s="20" t="s">
        <v>203</v>
      </c>
      <c r="D57" s="21" t="s">
        <v>51</v>
      </c>
      <c r="E57" s="21" t="s">
        <v>77</v>
      </c>
      <c r="F57" s="21" t="s">
        <v>171</v>
      </c>
      <c r="G57" s="21" t="s">
        <v>172</v>
      </c>
      <c r="H57" s="21" t="s">
        <v>152</v>
      </c>
      <c r="I57" s="22">
        <v>3.95</v>
      </c>
      <c r="J57" s="19">
        <v>4</v>
      </c>
      <c r="K57" s="19"/>
      <c r="L57" s="19">
        <v>4</v>
      </c>
      <c r="M57" s="19">
        <v>5</v>
      </c>
      <c r="N57" s="19">
        <v>3</v>
      </c>
      <c r="O57" s="19">
        <v>2</v>
      </c>
      <c r="P57" s="19">
        <v>4</v>
      </c>
      <c r="Q57" s="19">
        <v>3</v>
      </c>
      <c r="R57" s="21" t="s">
        <v>142</v>
      </c>
    </row>
    <row r="58" spans="1:18" ht="28.05" customHeight="1" x14ac:dyDescent="0.3">
      <c r="A58" s="19">
        <v>54</v>
      </c>
      <c r="B58" s="19">
        <v>49</v>
      </c>
      <c r="C58" s="20" t="s">
        <v>204</v>
      </c>
      <c r="D58" s="21" t="s">
        <v>49</v>
      </c>
      <c r="E58" s="21" t="s">
        <v>81</v>
      </c>
      <c r="F58" s="21" t="s">
        <v>171</v>
      </c>
      <c r="G58" s="21" t="s">
        <v>172</v>
      </c>
      <c r="H58" s="21" t="s">
        <v>152</v>
      </c>
      <c r="I58" s="22">
        <v>3.91</v>
      </c>
      <c r="J58" s="19">
        <v>4</v>
      </c>
      <c r="K58" s="19"/>
      <c r="L58" s="19">
        <v>3</v>
      </c>
      <c r="M58" s="19">
        <v>3</v>
      </c>
      <c r="N58" s="19">
        <v>5</v>
      </c>
      <c r="O58" s="19">
        <v>4</v>
      </c>
      <c r="P58" s="19">
        <v>3</v>
      </c>
      <c r="Q58" s="19">
        <v>1</v>
      </c>
      <c r="R58" s="21" t="s">
        <v>166</v>
      </c>
    </row>
    <row r="59" spans="1:18" ht="28.05" customHeight="1" x14ac:dyDescent="0.3">
      <c r="A59" s="19">
        <v>55</v>
      </c>
      <c r="B59" s="19">
        <v>50</v>
      </c>
      <c r="C59" s="20" t="s">
        <v>205</v>
      </c>
      <c r="D59" s="21" t="s">
        <v>54</v>
      </c>
      <c r="E59" s="21" t="s">
        <v>72</v>
      </c>
      <c r="F59" s="21" t="s">
        <v>171</v>
      </c>
      <c r="G59" s="21" t="s">
        <v>172</v>
      </c>
      <c r="H59" s="21" t="s">
        <v>122</v>
      </c>
      <c r="I59" s="22">
        <v>3.93</v>
      </c>
      <c r="J59" s="19">
        <v>4</v>
      </c>
      <c r="K59" s="19"/>
      <c r="L59" s="19">
        <v>4</v>
      </c>
      <c r="M59" s="19">
        <v>4</v>
      </c>
      <c r="N59" s="19">
        <v>3</v>
      </c>
      <c r="O59" s="19">
        <v>4</v>
      </c>
      <c r="P59" s="19">
        <v>4</v>
      </c>
      <c r="Q59" s="19">
        <v>4</v>
      </c>
      <c r="R59" s="21" t="s">
        <v>158</v>
      </c>
    </row>
    <row r="60" spans="1:18" ht="28.05" customHeight="1" x14ac:dyDescent="0.3">
      <c r="A60" s="19">
        <v>56</v>
      </c>
      <c r="B60" s="19">
        <v>54</v>
      </c>
      <c r="C60" s="20" t="s">
        <v>206</v>
      </c>
      <c r="D60" s="21" t="s">
        <v>48</v>
      </c>
      <c r="E60" s="21" t="s">
        <v>73</v>
      </c>
      <c r="F60" s="21" t="s">
        <v>171</v>
      </c>
      <c r="G60" s="21" t="s">
        <v>172</v>
      </c>
      <c r="H60" s="21" t="s">
        <v>152</v>
      </c>
      <c r="I60" s="22">
        <v>3.91</v>
      </c>
      <c r="J60" s="19">
        <v>4</v>
      </c>
      <c r="K60" s="19"/>
      <c r="L60" s="19">
        <v>3</v>
      </c>
      <c r="M60" s="19">
        <v>3</v>
      </c>
      <c r="N60" s="19">
        <v>5</v>
      </c>
      <c r="O60" s="19">
        <v>4</v>
      </c>
      <c r="P60" s="19">
        <v>3</v>
      </c>
      <c r="Q60" s="19">
        <v>3</v>
      </c>
      <c r="R60" s="21" t="s">
        <v>166</v>
      </c>
    </row>
  </sheetData>
  <autoFilter ref="A4:R60" xr:uid="{00000000-0009-0000-0000-000002000000}"/>
  <hyperlinks>
    <hyperlink ref="C5" r:id="rId1" xr:uid="{00000000-0004-0000-0200-000000000000}"/>
    <hyperlink ref="C6" r:id="rId2" xr:uid="{00000000-0004-0000-0200-000001000000}"/>
    <hyperlink ref="C7" r:id="rId3" xr:uid="{00000000-0004-0000-0200-000002000000}"/>
    <hyperlink ref="C8" r:id="rId4" xr:uid="{00000000-0004-0000-0200-000003000000}"/>
    <hyperlink ref="C9" r:id="rId5" xr:uid="{00000000-0004-0000-0200-000004000000}"/>
    <hyperlink ref="C10" r:id="rId6" xr:uid="{00000000-0004-0000-0200-000005000000}"/>
    <hyperlink ref="C11" r:id="rId7" xr:uid="{00000000-0004-0000-0200-000006000000}"/>
    <hyperlink ref="C12" r:id="rId8" xr:uid="{00000000-0004-0000-0200-000007000000}"/>
    <hyperlink ref="C13" r:id="rId9" xr:uid="{00000000-0004-0000-0200-000008000000}"/>
    <hyperlink ref="C14" r:id="rId10" xr:uid="{00000000-0004-0000-0200-000009000000}"/>
    <hyperlink ref="C15" r:id="rId11" xr:uid="{00000000-0004-0000-0200-00000A000000}"/>
    <hyperlink ref="C16" r:id="rId12" xr:uid="{00000000-0004-0000-0200-00000B000000}"/>
    <hyperlink ref="C17" r:id="rId13" xr:uid="{00000000-0004-0000-0200-00000C000000}"/>
    <hyperlink ref="C18" r:id="rId14" xr:uid="{00000000-0004-0000-0200-00000D000000}"/>
    <hyperlink ref="C19" r:id="rId15" xr:uid="{00000000-0004-0000-0200-00000E000000}"/>
    <hyperlink ref="C20" r:id="rId16" xr:uid="{00000000-0004-0000-0200-00000F000000}"/>
    <hyperlink ref="C21" r:id="rId17" xr:uid="{00000000-0004-0000-0200-000010000000}"/>
    <hyperlink ref="C22" r:id="rId18" xr:uid="{00000000-0004-0000-0200-000011000000}"/>
    <hyperlink ref="C23" r:id="rId19" xr:uid="{00000000-0004-0000-0200-000012000000}"/>
    <hyperlink ref="C24" r:id="rId20" xr:uid="{00000000-0004-0000-0200-000013000000}"/>
    <hyperlink ref="C25" r:id="rId21" xr:uid="{00000000-0004-0000-0200-000014000000}"/>
    <hyperlink ref="C26" r:id="rId22" xr:uid="{00000000-0004-0000-0200-000015000000}"/>
    <hyperlink ref="C27" r:id="rId23" xr:uid="{00000000-0004-0000-0200-000016000000}"/>
    <hyperlink ref="C28" r:id="rId24" xr:uid="{00000000-0004-0000-0200-000017000000}"/>
    <hyperlink ref="C29" r:id="rId25" xr:uid="{00000000-0004-0000-0200-000018000000}"/>
    <hyperlink ref="C30" r:id="rId26" xr:uid="{00000000-0004-0000-0200-000019000000}"/>
    <hyperlink ref="C31" r:id="rId27" xr:uid="{00000000-0004-0000-0200-00001A000000}"/>
    <hyperlink ref="C32" r:id="rId28" xr:uid="{00000000-0004-0000-0200-00001B000000}"/>
    <hyperlink ref="C33" r:id="rId29" xr:uid="{00000000-0004-0000-0200-00001C000000}"/>
    <hyperlink ref="C34" r:id="rId30" xr:uid="{00000000-0004-0000-0200-00001D000000}"/>
    <hyperlink ref="C35" r:id="rId31" xr:uid="{00000000-0004-0000-0200-00001E000000}"/>
    <hyperlink ref="C36" r:id="rId32" xr:uid="{00000000-0004-0000-0200-00001F000000}"/>
    <hyperlink ref="C37" r:id="rId33" xr:uid="{00000000-0004-0000-0200-000020000000}"/>
    <hyperlink ref="C38" r:id="rId34" xr:uid="{00000000-0004-0000-0200-000021000000}"/>
    <hyperlink ref="C39" r:id="rId35" xr:uid="{00000000-0004-0000-0200-000022000000}"/>
    <hyperlink ref="C40" r:id="rId36" xr:uid="{00000000-0004-0000-0200-000023000000}"/>
    <hyperlink ref="C41" r:id="rId37" xr:uid="{00000000-0004-0000-0200-000024000000}"/>
    <hyperlink ref="C42" r:id="rId38" xr:uid="{00000000-0004-0000-0200-000025000000}"/>
    <hyperlink ref="C43" r:id="rId39" xr:uid="{00000000-0004-0000-0200-000026000000}"/>
    <hyperlink ref="C44" r:id="rId40" xr:uid="{00000000-0004-0000-0200-000027000000}"/>
    <hyperlink ref="C45" r:id="rId41" xr:uid="{00000000-0004-0000-0200-000028000000}"/>
    <hyperlink ref="C46" r:id="rId42" xr:uid="{00000000-0004-0000-0200-000029000000}"/>
    <hyperlink ref="C47" r:id="rId43" xr:uid="{00000000-0004-0000-0200-00002A000000}"/>
    <hyperlink ref="C48" r:id="rId44" xr:uid="{00000000-0004-0000-0200-00002B000000}"/>
    <hyperlink ref="C49" r:id="rId45" xr:uid="{00000000-0004-0000-0200-00002C000000}"/>
    <hyperlink ref="C50" r:id="rId46" xr:uid="{00000000-0004-0000-0200-00002D000000}"/>
    <hyperlink ref="C51" r:id="rId47" xr:uid="{00000000-0004-0000-0200-00002E000000}"/>
    <hyperlink ref="C52" r:id="rId48" xr:uid="{00000000-0004-0000-0200-00002F000000}"/>
    <hyperlink ref="C53" r:id="rId49" xr:uid="{00000000-0004-0000-0200-000030000000}"/>
    <hyperlink ref="C54" r:id="rId50" xr:uid="{00000000-0004-0000-0200-000031000000}"/>
    <hyperlink ref="C55" r:id="rId51" xr:uid="{00000000-0004-0000-0200-000032000000}"/>
    <hyperlink ref="C56" r:id="rId52" xr:uid="{00000000-0004-0000-0200-000033000000}"/>
    <hyperlink ref="C57" r:id="rId53" xr:uid="{00000000-0004-0000-0200-000034000000}"/>
    <hyperlink ref="C58" r:id="rId54" xr:uid="{00000000-0004-0000-0200-000035000000}"/>
    <hyperlink ref="C59" r:id="rId55" xr:uid="{00000000-0004-0000-0200-000036000000}"/>
    <hyperlink ref="C60" r:id="rId56" xr:uid="{00000000-0004-0000-0200-00003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70"/>
  <sheetViews>
    <sheetView showGridLines="0" workbookViewId="0">
      <pane xSplit="3" ySplit="4" topLeftCell="D5" activePane="bottomRight" state="frozen"/>
      <selection pane="topRight"/>
      <selection pane="bottomLeft"/>
      <selection pane="bottomRight"/>
    </sheetView>
  </sheetViews>
  <sheetFormatPr defaultRowHeight="14.4" x14ac:dyDescent="0.3"/>
  <cols>
    <col min="1" max="1" width="5" customWidth="1"/>
    <col min="2" max="2" width="7" customWidth="1"/>
    <col min="3" max="3" width="62" customWidth="1"/>
    <col min="4" max="4" width="20" customWidth="1"/>
    <col min="5" max="5" width="16" customWidth="1"/>
    <col min="6" max="6" width="15" customWidth="1"/>
    <col min="7" max="7" width="11" customWidth="1"/>
    <col min="8" max="8" width="20" customWidth="1"/>
    <col min="9" max="9" width="8" customWidth="1"/>
    <col min="10" max="10" width="9" customWidth="1"/>
    <col min="11" max="11" width="10" customWidth="1"/>
    <col min="12" max="12" width="7" customWidth="1"/>
    <col min="13" max="13" width="6" customWidth="1"/>
    <col min="14" max="15" width="7" customWidth="1"/>
    <col min="16" max="16" width="6" customWidth="1"/>
    <col min="17" max="17" width="8" customWidth="1"/>
    <col min="18" max="18" width="80" customWidth="1"/>
  </cols>
  <sheetData>
    <row r="1" spans="1:18" ht="17.399999999999999" x14ac:dyDescent="0.3">
      <c r="A1" s="1" t="s">
        <v>207</v>
      </c>
    </row>
    <row r="2" spans="1:18" ht="409.6" x14ac:dyDescent="0.3">
      <c r="A2" s="2" t="s">
        <v>208</v>
      </c>
    </row>
    <row r="4" spans="1:18" ht="36" customHeight="1" x14ac:dyDescent="0.3">
      <c r="A4" s="6" t="s">
        <v>90</v>
      </c>
      <c r="B4" s="6" t="s">
        <v>91</v>
      </c>
      <c r="C4" s="6" t="s">
        <v>92</v>
      </c>
      <c r="D4" s="6" t="s">
        <v>42</v>
      </c>
      <c r="E4" s="6" t="s">
        <v>93</v>
      </c>
      <c r="F4" s="6" t="s">
        <v>94</v>
      </c>
      <c r="G4" s="6" t="s">
        <v>62</v>
      </c>
      <c r="H4" s="6" t="s">
        <v>95</v>
      </c>
      <c r="I4" s="6" t="s">
        <v>96</v>
      </c>
      <c r="J4" s="6" t="s">
        <v>97</v>
      </c>
      <c r="K4" s="6" t="s">
        <v>98</v>
      </c>
      <c r="L4" s="6" t="s">
        <v>99</v>
      </c>
      <c r="M4" s="6" t="s">
        <v>100</v>
      </c>
      <c r="N4" s="6" t="s">
        <v>101</v>
      </c>
      <c r="O4" s="6" t="s">
        <v>102</v>
      </c>
      <c r="P4" s="6" t="s">
        <v>103</v>
      </c>
      <c r="Q4" s="6" t="s">
        <v>104</v>
      </c>
      <c r="R4" s="6" t="s">
        <v>105</v>
      </c>
    </row>
    <row r="5" spans="1:18" ht="28.05" customHeight="1" x14ac:dyDescent="0.3">
      <c r="A5" s="16">
        <v>1</v>
      </c>
      <c r="B5" s="16">
        <v>57</v>
      </c>
      <c r="C5" s="17" t="s">
        <v>209</v>
      </c>
      <c r="D5" s="4" t="s">
        <v>53</v>
      </c>
      <c r="E5" s="4" t="s">
        <v>64</v>
      </c>
      <c r="F5" s="4" t="s">
        <v>134</v>
      </c>
      <c r="G5" s="4" t="s">
        <v>108</v>
      </c>
      <c r="H5" s="4" t="s">
        <v>109</v>
      </c>
      <c r="I5" s="18">
        <v>3.87</v>
      </c>
      <c r="J5" s="16">
        <v>3</v>
      </c>
      <c r="K5" s="16"/>
      <c r="L5" s="16">
        <v>5</v>
      </c>
      <c r="M5" s="16">
        <v>4</v>
      </c>
      <c r="N5" s="16">
        <v>1</v>
      </c>
      <c r="O5" s="16">
        <v>3</v>
      </c>
      <c r="P5" s="16">
        <v>3</v>
      </c>
      <c r="Q5" s="16">
        <v>3</v>
      </c>
      <c r="R5" s="4" t="s">
        <v>135</v>
      </c>
    </row>
    <row r="6" spans="1:18" ht="28.05" customHeight="1" x14ac:dyDescent="0.3">
      <c r="A6" s="16">
        <v>2</v>
      </c>
      <c r="B6" s="16">
        <v>58</v>
      </c>
      <c r="C6" s="17" t="s">
        <v>210</v>
      </c>
      <c r="D6" s="4" t="s">
        <v>53</v>
      </c>
      <c r="E6" s="4" t="s">
        <v>76</v>
      </c>
      <c r="F6" s="4" t="s">
        <v>107</v>
      </c>
      <c r="G6" s="4" t="s">
        <v>108</v>
      </c>
      <c r="H6" s="4" t="s">
        <v>109</v>
      </c>
      <c r="I6" s="18">
        <v>3.87</v>
      </c>
      <c r="J6" s="16">
        <v>3</v>
      </c>
      <c r="K6" s="16"/>
      <c r="L6" s="16">
        <v>4</v>
      </c>
      <c r="M6" s="16">
        <v>4</v>
      </c>
      <c r="N6" s="16">
        <v>1</v>
      </c>
      <c r="O6" s="16">
        <v>5</v>
      </c>
      <c r="P6" s="16">
        <v>3</v>
      </c>
      <c r="Q6" s="16">
        <v>3</v>
      </c>
      <c r="R6" s="4" t="s">
        <v>211</v>
      </c>
    </row>
    <row r="7" spans="1:18" ht="28.05" customHeight="1" x14ac:dyDescent="0.3">
      <c r="A7" s="16">
        <v>3</v>
      </c>
      <c r="B7" s="16">
        <v>59</v>
      </c>
      <c r="C7" s="17" t="s">
        <v>212</v>
      </c>
      <c r="D7" s="4" t="s">
        <v>50</v>
      </c>
      <c r="E7" s="4" t="s">
        <v>85</v>
      </c>
      <c r="F7" s="4" t="s">
        <v>107</v>
      </c>
      <c r="G7" s="4" t="s">
        <v>108</v>
      </c>
      <c r="H7" s="4" t="s">
        <v>122</v>
      </c>
      <c r="I7" s="18">
        <v>3.85</v>
      </c>
      <c r="J7" s="16">
        <v>3</v>
      </c>
      <c r="K7" s="16"/>
      <c r="L7" s="16">
        <v>3</v>
      </c>
      <c r="M7" s="16">
        <v>5</v>
      </c>
      <c r="N7" s="16">
        <v>3</v>
      </c>
      <c r="O7" s="16">
        <v>3</v>
      </c>
      <c r="P7" s="16">
        <v>4</v>
      </c>
      <c r="Q7" s="16">
        <v>4</v>
      </c>
      <c r="R7" s="4" t="s">
        <v>213</v>
      </c>
    </row>
    <row r="8" spans="1:18" ht="28.05" customHeight="1" x14ac:dyDescent="0.3">
      <c r="A8" s="16">
        <v>4</v>
      </c>
      <c r="B8" s="16">
        <v>60</v>
      </c>
      <c r="C8" s="17" t="s">
        <v>214</v>
      </c>
      <c r="D8" s="4" t="s">
        <v>50</v>
      </c>
      <c r="E8" s="4" t="s">
        <v>70</v>
      </c>
      <c r="F8" s="4" t="s">
        <v>112</v>
      </c>
      <c r="G8" s="4" t="s">
        <v>108</v>
      </c>
      <c r="H8" s="4" t="s">
        <v>131</v>
      </c>
      <c r="I8" s="18">
        <v>3.85</v>
      </c>
      <c r="J8" s="16">
        <v>3</v>
      </c>
      <c r="K8" s="16"/>
      <c r="L8" s="16">
        <v>3</v>
      </c>
      <c r="M8" s="16">
        <v>4</v>
      </c>
      <c r="N8" s="16">
        <v>4</v>
      </c>
      <c r="O8" s="16">
        <v>2</v>
      </c>
      <c r="P8" s="16">
        <v>5</v>
      </c>
      <c r="Q8" s="16">
        <v>4</v>
      </c>
      <c r="R8" s="4" t="s">
        <v>215</v>
      </c>
    </row>
    <row r="9" spans="1:18" ht="28.05" customHeight="1" x14ac:dyDescent="0.3">
      <c r="A9" s="16">
        <v>5</v>
      </c>
      <c r="B9" s="16">
        <v>62</v>
      </c>
      <c r="C9" s="17" t="s">
        <v>216</v>
      </c>
      <c r="D9" s="4" t="s">
        <v>50</v>
      </c>
      <c r="E9" s="4" t="s">
        <v>64</v>
      </c>
      <c r="F9" s="4" t="s">
        <v>112</v>
      </c>
      <c r="G9" s="4" t="s">
        <v>108</v>
      </c>
      <c r="H9" s="4" t="s">
        <v>131</v>
      </c>
      <c r="I9" s="18">
        <v>3.85</v>
      </c>
      <c r="J9" s="16">
        <v>3</v>
      </c>
      <c r="K9" s="16"/>
      <c r="L9" s="16">
        <v>3</v>
      </c>
      <c r="M9" s="16">
        <v>4</v>
      </c>
      <c r="N9" s="16">
        <v>4</v>
      </c>
      <c r="O9" s="16">
        <v>2</v>
      </c>
      <c r="P9" s="16">
        <v>5</v>
      </c>
      <c r="Q9" s="16">
        <v>5</v>
      </c>
      <c r="R9" s="4" t="s">
        <v>215</v>
      </c>
    </row>
    <row r="10" spans="1:18" ht="28.05" customHeight="1" x14ac:dyDescent="0.3">
      <c r="A10" s="16">
        <v>6</v>
      </c>
      <c r="B10" s="16">
        <v>63</v>
      </c>
      <c r="C10" s="17" t="s">
        <v>217</v>
      </c>
      <c r="D10" s="4" t="s">
        <v>48</v>
      </c>
      <c r="E10" s="4" t="s">
        <v>82</v>
      </c>
      <c r="F10" s="4" t="s">
        <v>119</v>
      </c>
      <c r="G10" s="4" t="s">
        <v>108</v>
      </c>
      <c r="H10" s="4" t="s">
        <v>152</v>
      </c>
      <c r="I10" s="18">
        <v>3.85</v>
      </c>
      <c r="J10" s="16">
        <v>3</v>
      </c>
      <c r="K10" s="16"/>
      <c r="L10" s="16">
        <v>3</v>
      </c>
      <c r="M10" s="16">
        <v>3</v>
      </c>
      <c r="N10" s="16">
        <v>4</v>
      </c>
      <c r="O10" s="16">
        <v>4</v>
      </c>
      <c r="P10" s="16">
        <v>4</v>
      </c>
      <c r="Q10" s="16">
        <v>5</v>
      </c>
      <c r="R10" s="4" t="s">
        <v>218</v>
      </c>
    </row>
    <row r="11" spans="1:18" ht="28.05" customHeight="1" x14ac:dyDescent="0.3">
      <c r="A11" s="16">
        <v>7</v>
      </c>
      <c r="B11" s="16">
        <v>64</v>
      </c>
      <c r="C11" s="17" t="s">
        <v>217</v>
      </c>
      <c r="D11" s="4" t="s">
        <v>49</v>
      </c>
      <c r="E11" s="4" t="s">
        <v>81</v>
      </c>
      <c r="F11" s="4" t="s">
        <v>119</v>
      </c>
      <c r="G11" s="4" t="s">
        <v>108</v>
      </c>
      <c r="H11" s="4" t="s">
        <v>152</v>
      </c>
      <c r="I11" s="18">
        <v>3.85</v>
      </c>
      <c r="J11" s="16">
        <v>3</v>
      </c>
      <c r="K11" s="16"/>
      <c r="L11" s="16">
        <v>3</v>
      </c>
      <c r="M11" s="16">
        <v>3</v>
      </c>
      <c r="N11" s="16">
        <v>4</v>
      </c>
      <c r="O11" s="16">
        <v>4</v>
      </c>
      <c r="P11" s="16">
        <v>4</v>
      </c>
      <c r="Q11" s="16">
        <v>5</v>
      </c>
      <c r="R11" s="4" t="s">
        <v>218</v>
      </c>
    </row>
    <row r="12" spans="1:18" ht="28.05" customHeight="1" x14ac:dyDescent="0.3">
      <c r="A12" s="16">
        <v>8</v>
      </c>
      <c r="B12" s="16">
        <v>67</v>
      </c>
      <c r="C12" s="17" t="s">
        <v>219</v>
      </c>
      <c r="D12" s="4" t="s">
        <v>54</v>
      </c>
      <c r="E12" s="4" t="s">
        <v>80</v>
      </c>
      <c r="F12" s="4" t="s">
        <v>112</v>
      </c>
      <c r="G12" s="4" t="s">
        <v>108</v>
      </c>
      <c r="H12" s="4" t="s">
        <v>109</v>
      </c>
      <c r="I12" s="18">
        <v>3.82</v>
      </c>
      <c r="J12" s="16">
        <v>3</v>
      </c>
      <c r="K12" s="16"/>
      <c r="L12" s="16">
        <v>4</v>
      </c>
      <c r="M12" s="16">
        <v>4</v>
      </c>
      <c r="N12" s="16">
        <v>1</v>
      </c>
      <c r="O12" s="16">
        <v>5</v>
      </c>
      <c r="P12" s="16">
        <v>3</v>
      </c>
      <c r="Q12" s="16">
        <v>3</v>
      </c>
      <c r="R12" s="4" t="s">
        <v>211</v>
      </c>
    </row>
    <row r="13" spans="1:18" ht="28.05" customHeight="1" x14ac:dyDescent="0.3">
      <c r="A13" s="16">
        <v>9</v>
      </c>
      <c r="B13" s="16">
        <v>68</v>
      </c>
      <c r="C13" s="17" t="s">
        <v>220</v>
      </c>
      <c r="D13" s="4" t="s">
        <v>54</v>
      </c>
      <c r="E13" s="4" t="s">
        <v>65</v>
      </c>
      <c r="F13" s="4" t="s">
        <v>112</v>
      </c>
      <c r="G13" s="4" t="s">
        <v>108</v>
      </c>
      <c r="H13" s="4" t="s">
        <v>109</v>
      </c>
      <c r="I13" s="18">
        <v>3.82</v>
      </c>
      <c r="J13" s="16">
        <v>3</v>
      </c>
      <c r="K13" s="16"/>
      <c r="L13" s="16">
        <v>4</v>
      </c>
      <c r="M13" s="16">
        <v>2</v>
      </c>
      <c r="N13" s="16">
        <v>3</v>
      </c>
      <c r="O13" s="16">
        <v>5</v>
      </c>
      <c r="P13" s="16">
        <v>3</v>
      </c>
      <c r="Q13" s="16">
        <v>3</v>
      </c>
      <c r="R13" s="4" t="s">
        <v>200</v>
      </c>
    </row>
    <row r="14" spans="1:18" ht="28.05" customHeight="1" x14ac:dyDescent="0.3">
      <c r="A14" s="16">
        <v>10</v>
      </c>
      <c r="B14" s="16">
        <v>70</v>
      </c>
      <c r="C14" s="17" t="s">
        <v>221</v>
      </c>
      <c r="D14" s="4" t="s">
        <v>55</v>
      </c>
      <c r="E14" s="4" t="s">
        <v>79</v>
      </c>
      <c r="F14" s="4" t="s">
        <v>119</v>
      </c>
      <c r="G14" s="4" t="s">
        <v>108</v>
      </c>
      <c r="H14" s="4" t="s">
        <v>109</v>
      </c>
      <c r="I14" s="18">
        <v>3.82</v>
      </c>
      <c r="J14" s="16">
        <v>3</v>
      </c>
      <c r="K14" s="16"/>
      <c r="L14" s="16">
        <v>5</v>
      </c>
      <c r="M14" s="16">
        <v>4</v>
      </c>
      <c r="N14" s="16">
        <v>1</v>
      </c>
      <c r="O14" s="16">
        <v>3</v>
      </c>
      <c r="P14" s="16">
        <v>3</v>
      </c>
      <c r="Q14" s="16">
        <v>4</v>
      </c>
      <c r="R14" s="4" t="s">
        <v>135</v>
      </c>
    </row>
    <row r="15" spans="1:18" ht="28.05" customHeight="1" x14ac:dyDescent="0.3">
      <c r="A15" s="16">
        <v>11</v>
      </c>
      <c r="B15" s="16">
        <v>71</v>
      </c>
      <c r="C15" s="17" t="s">
        <v>222</v>
      </c>
      <c r="D15" s="4" t="s">
        <v>54</v>
      </c>
      <c r="E15" s="4" t="s">
        <v>69</v>
      </c>
      <c r="F15" s="4" t="s">
        <v>112</v>
      </c>
      <c r="G15" s="4" t="s">
        <v>108</v>
      </c>
      <c r="H15" s="4" t="s">
        <v>109</v>
      </c>
      <c r="I15" s="18">
        <v>3.82</v>
      </c>
      <c r="J15" s="16">
        <v>3</v>
      </c>
      <c r="K15" s="16"/>
      <c r="L15" s="16">
        <v>4</v>
      </c>
      <c r="M15" s="16">
        <v>3</v>
      </c>
      <c r="N15" s="16">
        <v>2</v>
      </c>
      <c r="O15" s="16">
        <v>5</v>
      </c>
      <c r="P15" s="16">
        <v>3</v>
      </c>
      <c r="Q15" s="16">
        <v>5</v>
      </c>
      <c r="R15" s="4" t="s">
        <v>200</v>
      </c>
    </row>
    <row r="16" spans="1:18" ht="28.05" customHeight="1" x14ac:dyDescent="0.3">
      <c r="A16" s="16">
        <v>12</v>
      </c>
      <c r="B16" s="16">
        <v>72</v>
      </c>
      <c r="C16" s="17" t="s">
        <v>223</v>
      </c>
      <c r="D16" s="4" t="s">
        <v>50</v>
      </c>
      <c r="E16" s="4" t="s">
        <v>65</v>
      </c>
      <c r="F16" s="4" t="s">
        <v>134</v>
      </c>
      <c r="G16" s="4" t="s">
        <v>108</v>
      </c>
      <c r="H16" s="4" t="s">
        <v>152</v>
      </c>
      <c r="I16" s="18">
        <v>3.79</v>
      </c>
      <c r="J16" s="16">
        <v>3</v>
      </c>
      <c r="K16" s="16"/>
      <c r="L16" s="16">
        <v>4</v>
      </c>
      <c r="M16" s="16">
        <v>4</v>
      </c>
      <c r="N16" s="16">
        <v>3</v>
      </c>
      <c r="O16" s="16">
        <v>2</v>
      </c>
      <c r="P16" s="16">
        <v>4</v>
      </c>
      <c r="Q16" s="16">
        <v>3</v>
      </c>
      <c r="R16" s="4" t="s">
        <v>224</v>
      </c>
    </row>
    <row r="17" spans="1:18" ht="28.05" customHeight="1" x14ac:dyDescent="0.3">
      <c r="A17" s="16">
        <v>13</v>
      </c>
      <c r="B17" s="16">
        <v>73</v>
      </c>
      <c r="C17" s="17" t="s">
        <v>225</v>
      </c>
      <c r="D17" s="4" t="s">
        <v>54</v>
      </c>
      <c r="E17" s="4" t="s">
        <v>72</v>
      </c>
      <c r="F17" s="4" t="s">
        <v>112</v>
      </c>
      <c r="G17" s="4" t="s">
        <v>108</v>
      </c>
      <c r="H17" s="4" t="s">
        <v>152</v>
      </c>
      <c r="I17" s="18">
        <v>3.77</v>
      </c>
      <c r="J17" s="16">
        <v>3</v>
      </c>
      <c r="K17" s="16"/>
      <c r="L17" s="16">
        <v>4</v>
      </c>
      <c r="M17" s="16">
        <v>3</v>
      </c>
      <c r="N17" s="16">
        <v>4</v>
      </c>
      <c r="O17" s="16">
        <v>4</v>
      </c>
      <c r="P17" s="16">
        <v>3</v>
      </c>
      <c r="Q17" s="16">
        <v>2</v>
      </c>
      <c r="R17" s="4" t="s">
        <v>226</v>
      </c>
    </row>
    <row r="18" spans="1:18" ht="28.05" customHeight="1" x14ac:dyDescent="0.3">
      <c r="A18" s="16">
        <v>14</v>
      </c>
      <c r="B18" s="16">
        <v>74</v>
      </c>
      <c r="C18" s="17" t="s">
        <v>227</v>
      </c>
      <c r="D18" s="4" t="s">
        <v>50</v>
      </c>
      <c r="E18" s="4" t="s">
        <v>64</v>
      </c>
      <c r="F18" s="4" t="s">
        <v>134</v>
      </c>
      <c r="G18" s="4" t="s">
        <v>108</v>
      </c>
      <c r="H18" s="4" t="s">
        <v>131</v>
      </c>
      <c r="I18" s="18">
        <v>3.79</v>
      </c>
      <c r="J18" s="16">
        <v>3</v>
      </c>
      <c r="K18" s="16"/>
      <c r="L18" s="16">
        <v>3</v>
      </c>
      <c r="M18" s="16">
        <v>4</v>
      </c>
      <c r="N18" s="16">
        <v>3</v>
      </c>
      <c r="O18" s="16">
        <v>4</v>
      </c>
      <c r="P18" s="16">
        <v>4</v>
      </c>
      <c r="Q18" s="16">
        <v>4</v>
      </c>
      <c r="R18" s="4" t="s">
        <v>228</v>
      </c>
    </row>
    <row r="19" spans="1:18" ht="28.05" customHeight="1" x14ac:dyDescent="0.3">
      <c r="A19" s="16">
        <v>15</v>
      </c>
      <c r="B19" s="16">
        <v>75</v>
      </c>
      <c r="C19" s="17" t="s">
        <v>229</v>
      </c>
      <c r="D19" s="4" t="s">
        <v>53</v>
      </c>
      <c r="E19" s="4" t="s">
        <v>68</v>
      </c>
      <c r="F19" s="4" t="s">
        <v>112</v>
      </c>
      <c r="G19" s="4" t="s">
        <v>108</v>
      </c>
      <c r="H19" s="4" t="s">
        <v>122</v>
      </c>
      <c r="I19" s="18">
        <v>3.78</v>
      </c>
      <c r="J19" s="16">
        <v>3</v>
      </c>
      <c r="K19" s="16"/>
      <c r="L19" s="16">
        <v>5</v>
      </c>
      <c r="M19" s="16">
        <v>5</v>
      </c>
      <c r="N19" s="16">
        <v>1</v>
      </c>
      <c r="O19" s="16">
        <v>3</v>
      </c>
      <c r="P19" s="16">
        <v>3</v>
      </c>
      <c r="Q19" s="16">
        <v>3</v>
      </c>
      <c r="R19" s="4" t="s">
        <v>230</v>
      </c>
    </row>
    <row r="20" spans="1:18" ht="28.05" customHeight="1" x14ac:dyDescent="0.3">
      <c r="A20" s="16">
        <v>16</v>
      </c>
      <c r="B20" s="16">
        <v>77</v>
      </c>
      <c r="C20" s="17" t="s">
        <v>231</v>
      </c>
      <c r="D20" s="4" t="s">
        <v>52</v>
      </c>
      <c r="E20" s="4" t="s">
        <v>69</v>
      </c>
      <c r="F20" s="4" t="s">
        <v>107</v>
      </c>
      <c r="G20" s="4" t="s">
        <v>108</v>
      </c>
      <c r="H20" s="4" t="s">
        <v>122</v>
      </c>
      <c r="I20" s="18">
        <v>3.78</v>
      </c>
      <c r="J20" s="16">
        <v>3</v>
      </c>
      <c r="K20" s="16"/>
      <c r="L20" s="16">
        <v>4</v>
      </c>
      <c r="M20" s="16">
        <v>4</v>
      </c>
      <c r="N20" s="16">
        <v>2</v>
      </c>
      <c r="O20" s="16">
        <v>4</v>
      </c>
      <c r="P20" s="16">
        <v>4</v>
      </c>
      <c r="Q20" s="16">
        <v>4</v>
      </c>
      <c r="R20" s="4" t="s">
        <v>158</v>
      </c>
    </row>
    <row r="21" spans="1:18" ht="28.05" customHeight="1" x14ac:dyDescent="0.3">
      <c r="A21" s="16">
        <v>17</v>
      </c>
      <c r="B21" s="16">
        <v>78</v>
      </c>
      <c r="C21" s="17" t="s">
        <v>232</v>
      </c>
      <c r="D21" s="4" t="s">
        <v>52</v>
      </c>
      <c r="E21" s="4" t="s">
        <v>63</v>
      </c>
      <c r="F21" s="4" t="s">
        <v>112</v>
      </c>
      <c r="G21" s="4" t="s">
        <v>108</v>
      </c>
      <c r="H21" s="4" t="s">
        <v>122</v>
      </c>
      <c r="I21" s="18">
        <v>3.78</v>
      </c>
      <c r="J21" s="16">
        <v>3</v>
      </c>
      <c r="K21" s="16"/>
      <c r="L21" s="16">
        <v>4</v>
      </c>
      <c r="M21" s="16">
        <v>4</v>
      </c>
      <c r="N21" s="16">
        <v>2</v>
      </c>
      <c r="O21" s="16">
        <v>4</v>
      </c>
      <c r="P21" s="16">
        <v>4</v>
      </c>
      <c r="Q21" s="16">
        <v>4</v>
      </c>
      <c r="R21" s="4" t="s">
        <v>158</v>
      </c>
    </row>
    <row r="22" spans="1:18" ht="28.05" customHeight="1" x14ac:dyDescent="0.3">
      <c r="A22" s="16">
        <v>18</v>
      </c>
      <c r="B22" s="16">
        <v>79</v>
      </c>
      <c r="C22" s="17" t="s">
        <v>233</v>
      </c>
      <c r="D22" s="4" t="s">
        <v>54</v>
      </c>
      <c r="E22" s="4" t="s">
        <v>64</v>
      </c>
      <c r="F22" s="4" t="s">
        <v>134</v>
      </c>
      <c r="G22" s="4" t="s">
        <v>108</v>
      </c>
      <c r="H22" s="4" t="s">
        <v>131</v>
      </c>
      <c r="I22" s="18">
        <v>3.77</v>
      </c>
      <c r="J22" s="16">
        <v>3</v>
      </c>
      <c r="K22" s="16"/>
      <c r="L22" s="16">
        <v>4</v>
      </c>
      <c r="M22" s="16">
        <v>4</v>
      </c>
      <c r="N22" s="16">
        <v>3</v>
      </c>
      <c r="O22" s="16">
        <v>3</v>
      </c>
      <c r="P22" s="16">
        <v>4</v>
      </c>
      <c r="Q22" s="16">
        <v>4</v>
      </c>
      <c r="R22" s="4" t="s">
        <v>224</v>
      </c>
    </row>
    <row r="23" spans="1:18" ht="28.05" customHeight="1" x14ac:dyDescent="0.3">
      <c r="A23" s="16">
        <v>19</v>
      </c>
      <c r="B23" s="16">
        <v>80</v>
      </c>
      <c r="C23" s="17" t="s">
        <v>221</v>
      </c>
      <c r="D23" s="4" t="s">
        <v>56</v>
      </c>
      <c r="E23" s="4" t="s">
        <v>71</v>
      </c>
      <c r="F23" s="4" t="s">
        <v>119</v>
      </c>
      <c r="G23" s="4" t="s">
        <v>108</v>
      </c>
      <c r="H23" s="4" t="s">
        <v>109</v>
      </c>
      <c r="I23" s="18">
        <v>3.76</v>
      </c>
      <c r="J23" s="16">
        <v>3</v>
      </c>
      <c r="K23" s="16"/>
      <c r="L23" s="16">
        <v>5</v>
      </c>
      <c r="M23" s="16">
        <v>4</v>
      </c>
      <c r="N23" s="16">
        <v>1</v>
      </c>
      <c r="O23" s="16">
        <v>3</v>
      </c>
      <c r="P23" s="16">
        <v>3</v>
      </c>
      <c r="Q23" s="16">
        <v>4</v>
      </c>
      <c r="R23" s="4" t="s">
        <v>135</v>
      </c>
    </row>
    <row r="24" spans="1:18" ht="28.05" customHeight="1" x14ac:dyDescent="0.3">
      <c r="A24" s="16">
        <v>20</v>
      </c>
      <c r="B24" s="16">
        <v>82</v>
      </c>
      <c r="C24" s="17" t="s">
        <v>234</v>
      </c>
      <c r="D24" s="4" t="s">
        <v>48</v>
      </c>
      <c r="E24" s="4" t="s">
        <v>73</v>
      </c>
      <c r="F24" s="4" t="s">
        <v>112</v>
      </c>
      <c r="G24" s="4" t="s">
        <v>108</v>
      </c>
      <c r="H24" s="4" t="s">
        <v>152</v>
      </c>
      <c r="I24" s="18">
        <v>3.74</v>
      </c>
      <c r="J24" s="16">
        <v>3</v>
      </c>
      <c r="K24" s="16"/>
      <c r="L24" s="16">
        <v>3</v>
      </c>
      <c r="M24" s="16">
        <v>4</v>
      </c>
      <c r="N24" s="16">
        <v>4</v>
      </c>
      <c r="O24" s="16">
        <v>3</v>
      </c>
      <c r="P24" s="16">
        <v>3</v>
      </c>
      <c r="Q24" s="16">
        <v>5</v>
      </c>
      <c r="R24" s="4" t="s">
        <v>235</v>
      </c>
    </row>
    <row r="25" spans="1:18" ht="28.05" customHeight="1" x14ac:dyDescent="0.3">
      <c r="A25" s="16">
        <v>21</v>
      </c>
      <c r="B25" s="16">
        <v>83</v>
      </c>
      <c r="C25" s="17" t="s">
        <v>234</v>
      </c>
      <c r="D25" s="4" t="s">
        <v>49</v>
      </c>
      <c r="E25" s="4" t="s">
        <v>73</v>
      </c>
      <c r="F25" s="4" t="s">
        <v>112</v>
      </c>
      <c r="G25" s="4" t="s">
        <v>108</v>
      </c>
      <c r="H25" s="4" t="s">
        <v>152</v>
      </c>
      <c r="I25" s="18">
        <v>3.74</v>
      </c>
      <c r="J25" s="16">
        <v>3</v>
      </c>
      <c r="K25" s="16"/>
      <c r="L25" s="16">
        <v>3</v>
      </c>
      <c r="M25" s="16">
        <v>4</v>
      </c>
      <c r="N25" s="16">
        <v>4</v>
      </c>
      <c r="O25" s="16">
        <v>3</v>
      </c>
      <c r="P25" s="16">
        <v>3</v>
      </c>
      <c r="Q25" s="16">
        <v>5</v>
      </c>
      <c r="R25" s="4" t="s">
        <v>235</v>
      </c>
    </row>
    <row r="26" spans="1:18" ht="28.05" customHeight="1" x14ac:dyDescent="0.3">
      <c r="A26" s="16">
        <v>22</v>
      </c>
      <c r="B26" s="16">
        <v>84</v>
      </c>
      <c r="C26" s="17" t="s">
        <v>236</v>
      </c>
      <c r="D26" s="4" t="s">
        <v>54</v>
      </c>
      <c r="E26" s="4" t="s">
        <v>72</v>
      </c>
      <c r="F26" s="4" t="s">
        <v>112</v>
      </c>
      <c r="G26" s="4" t="s">
        <v>108</v>
      </c>
      <c r="H26" s="4" t="s">
        <v>109</v>
      </c>
      <c r="I26" s="18">
        <v>3.71</v>
      </c>
      <c r="J26" s="16">
        <v>3</v>
      </c>
      <c r="K26" s="16"/>
      <c r="L26" s="16">
        <v>4</v>
      </c>
      <c r="M26" s="16">
        <v>3</v>
      </c>
      <c r="N26" s="16">
        <v>3</v>
      </c>
      <c r="O26" s="16">
        <v>4</v>
      </c>
      <c r="P26" s="16">
        <v>2</v>
      </c>
      <c r="Q26" s="16">
        <v>2</v>
      </c>
      <c r="R26" s="4" t="s">
        <v>237</v>
      </c>
    </row>
    <row r="27" spans="1:18" ht="28.05" customHeight="1" x14ac:dyDescent="0.3">
      <c r="A27" s="16">
        <v>23</v>
      </c>
      <c r="B27" s="16">
        <v>86</v>
      </c>
      <c r="C27" s="17" t="s">
        <v>238</v>
      </c>
      <c r="D27" s="4" t="s">
        <v>55</v>
      </c>
      <c r="E27" s="4" t="s">
        <v>76</v>
      </c>
      <c r="F27" s="4" t="s">
        <v>134</v>
      </c>
      <c r="G27" s="4" t="s">
        <v>108</v>
      </c>
      <c r="H27" s="4" t="s">
        <v>152</v>
      </c>
      <c r="I27" s="18">
        <v>3.72</v>
      </c>
      <c r="J27" s="16">
        <v>3</v>
      </c>
      <c r="K27" s="16"/>
      <c r="L27" s="16">
        <v>4</v>
      </c>
      <c r="M27" s="16">
        <v>5</v>
      </c>
      <c r="N27" s="16">
        <v>1</v>
      </c>
      <c r="O27" s="16">
        <v>4</v>
      </c>
      <c r="P27" s="16">
        <v>4</v>
      </c>
      <c r="Q27" s="16">
        <v>3</v>
      </c>
      <c r="R27" s="4" t="s">
        <v>181</v>
      </c>
    </row>
    <row r="28" spans="1:18" ht="28.05" customHeight="1" x14ac:dyDescent="0.3">
      <c r="A28" s="16">
        <v>24</v>
      </c>
      <c r="B28" s="16">
        <v>87</v>
      </c>
      <c r="C28" s="17" t="s">
        <v>239</v>
      </c>
      <c r="D28" s="4" t="s">
        <v>54</v>
      </c>
      <c r="E28" s="4" t="s">
        <v>80</v>
      </c>
      <c r="F28" s="4" t="s">
        <v>112</v>
      </c>
      <c r="G28" s="4" t="s">
        <v>108</v>
      </c>
      <c r="H28" s="4" t="s">
        <v>122</v>
      </c>
      <c r="I28" s="18">
        <v>3.72</v>
      </c>
      <c r="J28" s="16">
        <v>3</v>
      </c>
      <c r="K28" s="16"/>
      <c r="L28" s="16">
        <v>4</v>
      </c>
      <c r="M28" s="16">
        <v>4</v>
      </c>
      <c r="N28" s="16">
        <v>2</v>
      </c>
      <c r="O28" s="16">
        <v>5</v>
      </c>
      <c r="P28" s="16">
        <v>3</v>
      </c>
      <c r="Q28" s="16">
        <v>3</v>
      </c>
      <c r="R28" s="4" t="s">
        <v>240</v>
      </c>
    </row>
    <row r="29" spans="1:18" ht="28.05" customHeight="1" x14ac:dyDescent="0.3">
      <c r="A29" s="16">
        <v>25</v>
      </c>
      <c r="B29" s="16">
        <v>88</v>
      </c>
      <c r="C29" s="17" t="s">
        <v>241</v>
      </c>
      <c r="D29" s="4" t="s">
        <v>54</v>
      </c>
      <c r="E29" s="4" t="s">
        <v>80</v>
      </c>
      <c r="F29" s="4" t="s">
        <v>112</v>
      </c>
      <c r="G29" s="4" t="s">
        <v>108</v>
      </c>
      <c r="H29" s="4" t="s">
        <v>122</v>
      </c>
      <c r="I29" s="18">
        <v>3.72</v>
      </c>
      <c r="J29" s="16">
        <v>3</v>
      </c>
      <c r="K29" s="16"/>
      <c r="L29" s="16">
        <v>4</v>
      </c>
      <c r="M29" s="16">
        <v>4</v>
      </c>
      <c r="N29" s="16">
        <v>2</v>
      </c>
      <c r="O29" s="16">
        <v>5</v>
      </c>
      <c r="P29" s="16">
        <v>3</v>
      </c>
      <c r="Q29" s="16">
        <v>3</v>
      </c>
      <c r="R29" s="4" t="s">
        <v>240</v>
      </c>
    </row>
    <row r="30" spans="1:18" ht="28.05" customHeight="1" x14ac:dyDescent="0.3">
      <c r="A30" s="16">
        <v>26</v>
      </c>
      <c r="B30" s="16">
        <v>89</v>
      </c>
      <c r="C30" s="17" t="s">
        <v>242</v>
      </c>
      <c r="D30" s="4" t="s">
        <v>55</v>
      </c>
      <c r="E30" s="4" t="s">
        <v>64</v>
      </c>
      <c r="F30" s="4" t="s">
        <v>134</v>
      </c>
      <c r="G30" s="4" t="s">
        <v>108</v>
      </c>
      <c r="H30" s="4" t="s">
        <v>109</v>
      </c>
      <c r="I30" s="18">
        <v>3.71</v>
      </c>
      <c r="J30" s="16">
        <v>3</v>
      </c>
      <c r="K30" s="16"/>
      <c r="L30" s="16">
        <v>4</v>
      </c>
      <c r="M30" s="16">
        <v>4</v>
      </c>
      <c r="N30" s="16">
        <v>2</v>
      </c>
      <c r="O30" s="16">
        <v>3</v>
      </c>
      <c r="P30" s="16">
        <v>3</v>
      </c>
      <c r="Q30" s="16">
        <v>3</v>
      </c>
      <c r="R30" s="4" t="s">
        <v>164</v>
      </c>
    </row>
    <row r="31" spans="1:18" ht="28.05" customHeight="1" x14ac:dyDescent="0.3">
      <c r="A31" s="16">
        <v>27</v>
      </c>
      <c r="B31" s="16">
        <v>90</v>
      </c>
      <c r="C31" s="17" t="s">
        <v>243</v>
      </c>
      <c r="D31" s="4" t="s">
        <v>55</v>
      </c>
      <c r="E31" s="4" t="s">
        <v>79</v>
      </c>
      <c r="F31" s="4" t="s">
        <v>112</v>
      </c>
      <c r="G31" s="4" t="s">
        <v>108</v>
      </c>
      <c r="H31" s="4" t="s">
        <v>122</v>
      </c>
      <c r="I31" s="18">
        <v>3.72</v>
      </c>
      <c r="J31" s="16">
        <v>3</v>
      </c>
      <c r="K31" s="16"/>
      <c r="L31" s="16">
        <v>4</v>
      </c>
      <c r="M31" s="16">
        <v>4</v>
      </c>
      <c r="N31" s="16">
        <v>2</v>
      </c>
      <c r="O31" s="16">
        <v>3</v>
      </c>
      <c r="P31" s="16">
        <v>5</v>
      </c>
      <c r="Q31" s="16">
        <v>4</v>
      </c>
      <c r="R31" s="4" t="s">
        <v>244</v>
      </c>
    </row>
    <row r="32" spans="1:18" ht="28.05" customHeight="1" x14ac:dyDescent="0.3">
      <c r="A32" s="16">
        <v>28</v>
      </c>
      <c r="B32" s="16">
        <v>94</v>
      </c>
      <c r="C32" s="17" t="s">
        <v>245</v>
      </c>
      <c r="D32" s="4" t="s">
        <v>50</v>
      </c>
      <c r="E32" s="4" t="s">
        <v>64</v>
      </c>
      <c r="F32" s="4" t="s">
        <v>134</v>
      </c>
      <c r="G32" s="4" t="s">
        <v>108</v>
      </c>
      <c r="H32" s="4" t="s">
        <v>152</v>
      </c>
      <c r="I32" s="18">
        <v>3.69</v>
      </c>
      <c r="J32" s="16">
        <v>3</v>
      </c>
      <c r="K32" s="16"/>
      <c r="L32" s="16">
        <v>3</v>
      </c>
      <c r="M32" s="16">
        <v>4</v>
      </c>
      <c r="N32" s="16">
        <v>4</v>
      </c>
      <c r="O32" s="16">
        <v>2</v>
      </c>
      <c r="P32" s="16">
        <v>4</v>
      </c>
      <c r="Q32" s="16">
        <v>3</v>
      </c>
      <c r="R32" s="4" t="s">
        <v>246</v>
      </c>
    </row>
    <row r="33" spans="1:18" ht="28.05" customHeight="1" x14ac:dyDescent="0.3">
      <c r="A33" s="16">
        <v>29</v>
      </c>
      <c r="B33" s="16">
        <v>95</v>
      </c>
      <c r="C33" s="17" t="s">
        <v>247</v>
      </c>
      <c r="D33" s="4" t="s">
        <v>50</v>
      </c>
      <c r="E33" s="4" t="s">
        <v>70</v>
      </c>
      <c r="F33" s="4" t="s">
        <v>107</v>
      </c>
      <c r="G33" s="4" t="s">
        <v>108</v>
      </c>
      <c r="H33" s="4" t="s">
        <v>152</v>
      </c>
      <c r="I33" s="18">
        <v>3.69</v>
      </c>
      <c r="J33" s="16">
        <v>3</v>
      </c>
      <c r="K33" s="16"/>
      <c r="L33" s="16">
        <v>3</v>
      </c>
      <c r="M33" s="16">
        <v>4</v>
      </c>
      <c r="N33" s="16">
        <v>4</v>
      </c>
      <c r="O33" s="16">
        <v>2</v>
      </c>
      <c r="P33" s="16">
        <v>4</v>
      </c>
      <c r="Q33" s="16">
        <v>3</v>
      </c>
      <c r="R33" s="4" t="s">
        <v>246</v>
      </c>
    </row>
    <row r="34" spans="1:18" ht="28.05" customHeight="1" x14ac:dyDescent="0.3">
      <c r="A34" s="16">
        <v>30</v>
      </c>
      <c r="B34" s="16">
        <v>97</v>
      </c>
      <c r="C34" s="17" t="s">
        <v>248</v>
      </c>
      <c r="D34" s="4" t="s">
        <v>51</v>
      </c>
      <c r="E34" s="4" t="s">
        <v>63</v>
      </c>
      <c r="F34" s="4" t="s">
        <v>112</v>
      </c>
      <c r="G34" s="4" t="s">
        <v>108</v>
      </c>
      <c r="H34" s="4" t="s">
        <v>152</v>
      </c>
      <c r="I34" s="18">
        <v>3.68</v>
      </c>
      <c r="J34" s="16">
        <v>3</v>
      </c>
      <c r="K34" s="16"/>
      <c r="L34" s="16">
        <v>4</v>
      </c>
      <c r="M34" s="16">
        <v>4</v>
      </c>
      <c r="N34" s="16">
        <v>2</v>
      </c>
      <c r="O34" s="16">
        <v>4</v>
      </c>
      <c r="P34" s="16">
        <v>3</v>
      </c>
      <c r="Q34" s="16">
        <v>4</v>
      </c>
      <c r="R34" s="4" t="s">
        <v>249</v>
      </c>
    </row>
    <row r="35" spans="1:18" ht="28.05" customHeight="1" x14ac:dyDescent="0.3">
      <c r="A35" s="16">
        <v>31</v>
      </c>
      <c r="B35" s="16">
        <v>98</v>
      </c>
      <c r="C35" s="17" t="s">
        <v>250</v>
      </c>
      <c r="D35" s="4" t="s">
        <v>54</v>
      </c>
      <c r="E35" s="4" t="s">
        <v>78</v>
      </c>
      <c r="F35" s="4" t="s">
        <v>107</v>
      </c>
      <c r="G35" s="4" t="s">
        <v>108</v>
      </c>
      <c r="H35" s="4" t="s">
        <v>109</v>
      </c>
      <c r="I35" s="18">
        <v>3.66</v>
      </c>
      <c r="J35" s="16">
        <v>3</v>
      </c>
      <c r="K35" s="16"/>
      <c r="L35" s="16">
        <v>4</v>
      </c>
      <c r="M35" s="16">
        <v>3</v>
      </c>
      <c r="N35" s="16">
        <v>2</v>
      </c>
      <c r="O35" s="16">
        <v>4</v>
      </c>
      <c r="P35" s="16">
        <v>3</v>
      </c>
      <c r="Q35" s="16">
        <v>2</v>
      </c>
      <c r="R35" s="4" t="s">
        <v>237</v>
      </c>
    </row>
    <row r="36" spans="1:18" ht="28.05" customHeight="1" x14ac:dyDescent="0.3">
      <c r="A36" s="16">
        <v>32</v>
      </c>
      <c r="B36" s="16">
        <v>100</v>
      </c>
      <c r="C36" s="17" t="s">
        <v>251</v>
      </c>
      <c r="D36" s="4" t="s">
        <v>52</v>
      </c>
      <c r="E36" s="4" t="s">
        <v>64</v>
      </c>
      <c r="F36" s="4" t="s">
        <v>134</v>
      </c>
      <c r="G36" s="4" t="s">
        <v>108</v>
      </c>
      <c r="H36" s="4" t="s">
        <v>131</v>
      </c>
      <c r="I36" s="18">
        <v>3.68</v>
      </c>
      <c r="J36" s="16">
        <v>3</v>
      </c>
      <c r="K36" s="16"/>
      <c r="L36" s="16">
        <v>3</v>
      </c>
      <c r="M36" s="16">
        <v>4</v>
      </c>
      <c r="N36" s="16">
        <v>3</v>
      </c>
      <c r="O36" s="16">
        <v>4</v>
      </c>
      <c r="P36" s="16">
        <v>4</v>
      </c>
      <c r="Q36" s="16">
        <v>4</v>
      </c>
      <c r="R36" s="4" t="s">
        <v>228</v>
      </c>
    </row>
    <row r="37" spans="1:18" ht="28.05" customHeight="1" x14ac:dyDescent="0.3">
      <c r="A37" s="16">
        <v>33</v>
      </c>
      <c r="B37" s="16">
        <v>101</v>
      </c>
      <c r="C37" s="17" t="s">
        <v>252</v>
      </c>
      <c r="D37" s="4" t="s">
        <v>54</v>
      </c>
      <c r="E37" s="4" t="s">
        <v>63</v>
      </c>
      <c r="F37" s="4" t="s">
        <v>112</v>
      </c>
      <c r="G37" s="4" t="s">
        <v>108</v>
      </c>
      <c r="H37" s="4" t="s">
        <v>131</v>
      </c>
      <c r="I37" s="18">
        <v>3.67</v>
      </c>
      <c r="J37" s="16">
        <v>3</v>
      </c>
      <c r="K37" s="16"/>
      <c r="L37" s="16">
        <v>4</v>
      </c>
      <c r="M37" s="16">
        <v>3</v>
      </c>
      <c r="N37" s="16">
        <v>2</v>
      </c>
      <c r="O37" s="16">
        <v>4</v>
      </c>
      <c r="P37" s="16">
        <v>5</v>
      </c>
      <c r="Q37" s="16">
        <v>3</v>
      </c>
      <c r="R37" s="4" t="s">
        <v>253</v>
      </c>
    </row>
    <row r="38" spans="1:18" ht="28.05" customHeight="1" x14ac:dyDescent="0.3">
      <c r="A38" s="16">
        <v>34</v>
      </c>
      <c r="B38" s="16">
        <v>102</v>
      </c>
      <c r="C38" s="17" t="s">
        <v>238</v>
      </c>
      <c r="D38" s="4" t="s">
        <v>56</v>
      </c>
      <c r="E38" s="4" t="s">
        <v>76</v>
      </c>
      <c r="F38" s="4" t="s">
        <v>134</v>
      </c>
      <c r="G38" s="4" t="s">
        <v>108</v>
      </c>
      <c r="H38" s="4" t="s">
        <v>152</v>
      </c>
      <c r="I38" s="18">
        <v>3.66</v>
      </c>
      <c r="J38" s="16">
        <v>3</v>
      </c>
      <c r="K38" s="16"/>
      <c r="L38" s="16">
        <v>4</v>
      </c>
      <c r="M38" s="16">
        <v>5</v>
      </c>
      <c r="N38" s="16">
        <v>1</v>
      </c>
      <c r="O38" s="16">
        <v>4</v>
      </c>
      <c r="P38" s="16">
        <v>4</v>
      </c>
      <c r="Q38" s="16">
        <v>3</v>
      </c>
      <c r="R38" s="4" t="s">
        <v>181</v>
      </c>
    </row>
    <row r="39" spans="1:18" ht="28.05" customHeight="1" x14ac:dyDescent="0.3">
      <c r="A39" s="16">
        <v>35</v>
      </c>
      <c r="B39" s="16">
        <v>103</v>
      </c>
      <c r="C39" s="17" t="s">
        <v>242</v>
      </c>
      <c r="D39" s="4" t="s">
        <v>56</v>
      </c>
      <c r="E39" s="4" t="s">
        <v>64</v>
      </c>
      <c r="F39" s="4" t="s">
        <v>134</v>
      </c>
      <c r="G39" s="4" t="s">
        <v>108</v>
      </c>
      <c r="H39" s="4" t="s">
        <v>109</v>
      </c>
      <c r="I39" s="18">
        <v>3.66</v>
      </c>
      <c r="J39" s="16">
        <v>3</v>
      </c>
      <c r="K39" s="16"/>
      <c r="L39" s="16">
        <v>4</v>
      </c>
      <c r="M39" s="16">
        <v>4</v>
      </c>
      <c r="N39" s="16">
        <v>2</v>
      </c>
      <c r="O39" s="16">
        <v>3</v>
      </c>
      <c r="P39" s="16">
        <v>3</v>
      </c>
      <c r="Q39" s="16">
        <v>3</v>
      </c>
      <c r="R39" s="4" t="s">
        <v>164</v>
      </c>
    </row>
    <row r="40" spans="1:18" ht="28.05" customHeight="1" x14ac:dyDescent="0.3">
      <c r="A40" s="16">
        <v>36</v>
      </c>
      <c r="B40" s="16">
        <v>104</v>
      </c>
      <c r="C40" s="17" t="s">
        <v>254</v>
      </c>
      <c r="D40" s="4" t="s">
        <v>54</v>
      </c>
      <c r="E40" s="4" t="s">
        <v>63</v>
      </c>
      <c r="F40" s="4" t="s">
        <v>112</v>
      </c>
      <c r="G40" s="4" t="s">
        <v>108</v>
      </c>
      <c r="H40" s="4" t="s">
        <v>109</v>
      </c>
      <c r="I40" s="18">
        <v>3.66</v>
      </c>
      <c r="J40" s="16">
        <v>3</v>
      </c>
      <c r="K40" s="16"/>
      <c r="L40" s="16">
        <v>4</v>
      </c>
      <c r="M40" s="16">
        <v>3</v>
      </c>
      <c r="N40" s="16">
        <v>2</v>
      </c>
      <c r="O40" s="16">
        <v>3</v>
      </c>
      <c r="P40" s="16">
        <v>4</v>
      </c>
      <c r="Q40" s="16">
        <v>3</v>
      </c>
      <c r="R40" s="4" t="s">
        <v>255</v>
      </c>
    </row>
    <row r="41" spans="1:18" ht="28.05" customHeight="1" x14ac:dyDescent="0.3">
      <c r="A41" s="16">
        <v>37</v>
      </c>
      <c r="B41" s="16">
        <v>106</v>
      </c>
      <c r="C41" s="17" t="s">
        <v>256</v>
      </c>
      <c r="D41" s="4" t="s">
        <v>56</v>
      </c>
      <c r="E41" s="4" t="s">
        <v>71</v>
      </c>
      <c r="F41" s="4" t="s">
        <v>112</v>
      </c>
      <c r="G41" s="4" t="s">
        <v>108</v>
      </c>
      <c r="H41" s="4" t="s">
        <v>122</v>
      </c>
      <c r="I41" s="18">
        <v>3.66</v>
      </c>
      <c r="J41" s="16">
        <v>3</v>
      </c>
      <c r="K41" s="16"/>
      <c r="L41" s="16">
        <v>4</v>
      </c>
      <c r="M41" s="16">
        <v>4</v>
      </c>
      <c r="N41" s="16">
        <v>2</v>
      </c>
      <c r="O41" s="16">
        <v>3</v>
      </c>
      <c r="P41" s="16">
        <v>5</v>
      </c>
      <c r="Q41" s="16">
        <v>4</v>
      </c>
      <c r="R41" s="4" t="s">
        <v>244</v>
      </c>
    </row>
    <row r="42" spans="1:18" ht="28.05" customHeight="1" x14ac:dyDescent="0.3">
      <c r="A42" s="16">
        <v>38</v>
      </c>
      <c r="B42" s="16">
        <v>107</v>
      </c>
      <c r="C42" s="17" t="s">
        <v>257</v>
      </c>
      <c r="D42" s="4" t="s">
        <v>50</v>
      </c>
      <c r="E42" s="4" t="s">
        <v>75</v>
      </c>
      <c r="F42" s="4" t="s">
        <v>107</v>
      </c>
      <c r="G42" s="4" t="s">
        <v>108</v>
      </c>
      <c r="H42" s="4" t="s">
        <v>122</v>
      </c>
      <c r="I42" s="18">
        <v>3.63</v>
      </c>
      <c r="J42" s="16">
        <v>3</v>
      </c>
      <c r="K42" s="16"/>
      <c r="L42" s="16">
        <v>3</v>
      </c>
      <c r="M42" s="16">
        <v>3</v>
      </c>
      <c r="N42" s="16">
        <v>4</v>
      </c>
      <c r="O42" s="16">
        <v>4</v>
      </c>
      <c r="P42" s="16">
        <v>3</v>
      </c>
      <c r="Q42" s="16">
        <v>3</v>
      </c>
      <c r="R42" s="4" t="s">
        <v>258</v>
      </c>
    </row>
    <row r="43" spans="1:18" ht="28.05" customHeight="1" x14ac:dyDescent="0.3">
      <c r="A43" s="16">
        <v>39</v>
      </c>
      <c r="B43" s="16">
        <v>109</v>
      </c>
      <c r="C43" s="17" t="s">
        <v>259</v>
      </c>
      <c r="D43" s="4" t="s">
        <v>53</v>
      </c>
      <c r="E43" s="4" t="s">
        <v>68</v>
      </c>
      <c r="F43" s="4" t="s">
        <v>112</v>
      </c>
      <c r="G43" s="4" t="s">
        <v>108</v>
      </c>
      <c r="H43" s="4" t="s">
        <v>122</v>
      </c>
      <c r="I43" s="18">
        <v>3.62</v>
      </c>
      <c r="J43" s="16">
        <v>3</v>
      </c>
      <c r="K43" s="16"/>
      <c r="L43" s="16">
        <v>4</v>
      </c>
      <c r="M43" s="16">
        <v>5</v>
      </c>
      <c r="N43" s="16">
        <v>1</v>
      </c>
      <c r="O43" s="16">
        <v>3</v>
      </c>
      <c r="P43" s="16">
        <v>4</v>
      </c>
      <c r="Q43" s="16">
        <v>3</v>
      </c>
      <c r="R43" s="4" t="s">
        <v>142</v>
      </c>
    </row>
    <row r="44" spans="1:18" ht="28.05" customHeight="1" x14ac:dyDescent="0.3">
      <c r="A44" s="16">
        <v>40</v>
      </c>
      <c r="B44" s="16">
        <v>111</v>
      </c>
      <c r="C44" s="17" t="s">
        <v>260</v>
      </c>
      <c r="D44" s="4" t="s">
        <v>54</v>
      </c>
      <c r="E44" s="4" t="s">
        <v>72</v>
      </c>
      <c r="F44" s="4" t="s">
        <v>112</v>
      </c>
      <c r="G44" s="4" t="s">
        <v>108</v>
      </c>
      <c r="H44" s="4" t="s">
        <v>131</v>
      </c>
      <c r="I44" s="18">
        <v>3.62</v>
      </c>
      <c r="J44" s="16">
        <v>3</v>
      </c>
      <c r="K44" s="16"/>
      <c r="L44" s="16">
        <v>4</v>
      </c>
      <c r="M44" s="16">
        <v>4</v>
      </c>
      <c r="N44" s="16">
        <v>3</v>
      </c>
      <c r="O44" s="16">
        <v>2</v>
      </c>
      <c r="P44" s="16">
        <v>4</v>
      </c>
      <c r="Q44" s="16">
        <v>4</v>
      </c>
      <c r="R44" s="4" t="s">
        <v>224</v>
      </c>
    </row>
    <row r="45" spans="1:18" ht="28.05" customHeight="1" x14ac:dyDescent="0.3">
      <c r="A45" s="16">
        <v>41</v>
      </c>
      <c r="B45" s="16">
        <v>114</v>
      </c>
      <c r="C45" s="17" t="s">
        <v>261</v>
      </c>
      <c r="D45" s="4" t="s">
        <v>54</v>
      </c>
      <c r="E45" s="4" t="s">
        <v>69</v>
      </c>
      <c r="F45" s="4" t="s">
        <v>112</v>
      </c>
      <c r="G45" s="4" t="s">
        <v>108</v>
      </c>
      <c r="H45" s="4" t="s">
        <v>122</v>
      </c>
      <c r="I45" s="18">
        <v>3.57</v>
      </c>
      <c r="J45" s="16">
        <v>3</v>
      </c>
      <c r="K45" s="16"/>
      <c r="L45" s="16">
        <v>4</v>
      </c>
      <c r="M45" s="16">
        <v>4</v>
      </c>
      <c r="N45" s="16">
        <v>2</v>
      </c>
      <c r="O45" s="16">
        <v>4</v>
      </c>
      <c r="P45" s="16">
        <v>3</v>
      </c>
      <c r="Q45" s="16">
        <v>2</v>
      </c>
      <c r="R45" s="4" t="s">
        <v>249</v>
      </c>
    </row>
    <row r="46" spans="1:18" ht="28.05" customHeight="1" x14ac:dyDescent="0.3">
      <c r="A46" s="16">
        <v>42</v>
      </c>
      <c r="B46" s="16">
        <v>115</v>
      </c>
      <c r="C46" s="17" t="s">
        <v>262</v>
      </c>
      <c r="D46" s="4" t="s">
        <v>55</v>
      </c>
      <c r="E46" s="4" t="s">
        <v>78</v>
      </c>
      <c r="F46" s="4" t="s">
        <v>134</v>
      </c>
      <c r="G46" s="4" t="s">
        <v>108</v>
      </c>
      <c r="H46" s="4" t="s">
        <v>122</v>
      </c>
      <c r="I46" s="18">
        <v>3.57</v>
      </c>
      <c r="J46" s="16">
        <v>3</v>
      </c>
      <c r="K46" s="16"/>
      <c r="L46" s="16">
        <v>4</v>
      </c>
      <c r="M46" s="16">
        <v>4</v>
      </c>
      <c r="N46" s="16">
        <v>2</v>
      </c>
      <c r="O46" s="16">
        <v>4</v>
      </c>
      <c r="P46" s="16">
        <v>3</v>
      </c>
      <c r="Q46" s="16">
        <v>3</v>
      </c>
      <c r="R46" s="4" t="s">
        <v>249</v>
      </c>
    </row>
    <row r="47" spans="1:18" ht="28.05" customHeight="1" x14ac:dyDescent="0.3">
      <c r="A47" s="16">
        <v>43</v>
      </c>
      <c r="B47" s="16">
        <v>116</v>
      </c>
      <c r="C47" s="17" t="s">
        <v>263</v>
      </c>
      <c r="D47" s="4" t="s">
        <v>53</v>
      </c>
      <c r="E47" s="4" t="s">
        <v>76</v>
      </c>
      <c r="F47" s="4" t="s">
        <v>107</v>
      </c>
      <c r="G47" s="4" t="s">
        <v>108</v>
      </c>
      <c r="H47" s="4" t="s">
        <v>122</v>
      </c>
      <c r="I47" s="18">
        <v>3.57</v>
      </c>
      <c r="J47" s="16">
        <v>3</v>
      </c>
      <c r="K47" s="16"/>
      <c r="L47" s="16">
        <v>4</v>
      </c>
      <c r="M47" s="16">
        <v>4</v>
      </c>
      <c r="N47" s="16">
        <v>1</v>
      </c>
      <c r="O47" s="16">
        <v>4</v>
      </c>
      <c r="P47" s="16">
        <v>4</v>
      </c>
      <c r="Q47" s="16">
        <v>3</v>
      </c>
      <c r="R47" s="4" t="s">
        <v>158</v>
      </c>
    </row>
    <row r="48" spans="1:18" ht="28.05" customHeight="1" x14ac:dyDescent="0.3">
      <c r="A48" s="16">
        <v>44</v>
      </c>
      <c r="B48" s="16">
        <v>118</v>
      </c>
      <c r="C48" s="17" t="s">
        <v>264</v>
      </c>
      <c r="D48" s="4" t="s">
        <v>55</v>
      </c>
      <c r="E48" s="4" t="s">
        <v>77</v>
      </c>
      <c r="F48" s="4" t="s">
        <v>112</v>
      </c>
      <c r="G48" s="4" t="s">
        <v>108</v>
      </c>
      <c r="H48" s="4" t="s">
        <v>109</v>
      </c>
      <c r="I48" s="18">
        <v>3.56</v>
      </c>
      <c r="J48" s="16">
        <v>3</v>
      </c>
      <c r="K48" s="16"/>
      <c r="L48" s="16">
        <v>4</v>
      </c>
      <c r="M48" s="16">
        <v>4</v>
      </c>
      <c r="N48" s="16">
        <v>2</v>
      </c>
      <c r="O48" s="16">
        <v>2</v>
      </c>
      <c r="P48" s="16">
        <v>3</v>
      </c>
      <c r="Q48" s="16">
        <v>3</v>
      </c>
      <c r="R48" s="4" t="s">
        <v>164</v>
      </c>
    </row>
    <row r="49" spans="1:18" ht="28.05" customHeight="1" x14ac:dyDescent="0.3">
      <c r="A49" s="16">
        <v>45</v>
      </c>
      <c r="B49" s="16">
        <v>119</v>
      </c>
      <c r="C49" s="17" t="s">
        <v>265</v>
      </c>
      <c r="D49" s="4" t="s">
        <v>55</v>
      </c>
      <c r="E49" s="4" t="s">
        <v>77</v>
      </c>
      <c r="F49" s="4" t="s">
        <v>112</v>
      </c>
      <c r="G49" s="4" t="s">
        <v>108</v>
      </c>
      <c r="H49" s="4" t="s">
        <v>109</v>
      </c>
      <c r="I49" s="18">
        <v>3.56</v>
      </c>
      <c r="J49" s="16">
        <v>3</v>
      </c>
      <c r="K49" s="16"/>
      <c r="L49" s="16">
        <v>4</v>
      </c>
      <c r="M49" s="16">
        <v>4</v>
      </c>
      <c r="N49" s="16">
        <v>2</v>
      </c>
      <c r="O49" s="16">
        <v>2</v>
      </c>
      <c r="P49" s="16">
        <v>3</v>
      </c>
      <c r="Q49" s="16">
        <v>3</v>
      </c>
      <c r="R49" s="4" t="s">
        <v>164</v>
      </c>
    </row>
    <row r="50" spans="1:18" ht="28.05" customHeight="1" x14ac:dyDescent="0.3">
      <c r="A50" s="16">
        <v>46</v>
      </c>
      <c r="B50" s="16">
        <v>120</v>
      </c>
      <c r="C50" s="17" t="s">
        <v>266</v>
      </c>
      <c r="D50" s="4" t="s">
        <v>55</v>
      </c>
      <c r="E50" s="4" t="s">
        <v>68</v>
      </c>
      <c r="F50" s="4" t="s">
        <v>112</v>
      </c>
      <c r="G50" s="4" t="s">
        <v>108</v>
      </c>
      <c r="H50" s="4" t="s">
        <v>122</v>
      </c>
      <c r="I50" s="18">
        <v>3.57</v>
      </c>
      <c r="J50" s="16">
        <v>3</v>
      </c>
      <c r="K50" s="16"/>
      <c r="L50" s="16">
        <v>4</v>
      </c>
      <c r="M50" s="16">
        <v>4</v>
      </c>
      <c r="N50" s="16">
        <v>2</v>
      </c>
      <c r="O50" s="16">
        <v>3</v>
      </c>
      <c r="P50" s="16">
        <v>4</v>
      </c>
      <c r="Q50" s="16">
        <v>4</v>
      </c>
      <c r="R50" s="4" t="s">
        <v>224</v>
      </c>
    </row>
    <row r="51" spans="1:18" ht="28.05" customHeight="1" x14ac:dyDescent="0.3">
      <c r="A51" s="16">
        <v>47</v>
      </c>
      <c r="B51" s="16">
        <v>121</v>
      </c>
      <c r="C51" s="17" t="s">
        <v>267</v>
      </c>
      <c r="D51" s="4" t="s">
        <v>55</v>
      </c>
      <c r="E51" s="4" t="s">
        <v>77</v>
      </c>
      <c r="F51" s="4" t="s">
        <v>112</v>
      </c>
      <c r="G51" s="4" t="s">
        <v>108</v>
      </c>
      <c r="H51" s="4" t="s">
        <v>109</v>
      </c>
      <c r="I51" s="18">
        <v>3.56</v>
      </c>
      <c r="J51" s="16">
        <v>3</v>
      </c>
      <c r="K51" s="16"/>
      <c r="L51" s="16">
        <v>4</v>
      </c>
      <c r="M51" s="16">
        <v>4</v>
      </c>
      <c r="N51" s="16">
        <v>2</v>
      </c>
      <c r="O51" s="16">
        <v>2</v>
      </c>
      <c r="P51" s="16">
        <v>3</v>
      </c>
      <c r="Q51" s="16">
        <v>3</v>
      </c>
      <c r="R51" s="4" t="s">
        <v>164</v>
      </c>
    </row>
    <row r="52" spans="1:18" ht="28.05" customHeight="1" x14ac:dyDescent="0.3">
      <c r="A52" s="16">
        <v>48</v>
      </c>
      <c r="B52" s="16">
        <v>123</v>
      </c>
      <c r="C52" s="17" t="s">
        <v>268</v>
      </c>
      <c r="D52" s="4" t="s">
        <v>55</v>
      </c>
      <c r="E52" s="4" t="s">
        <v>69</v>
      </c>
      <c r="F52" s="4" t="s">
        <v>134</v>
      </c>
      <c r="G52" s="4" t="s">
        <v>108</v>
      </c>
      <c r="H52" s="4" t="s">
        <v>152</v>
      </c>
      <c r="I52" s="18">
        <v>3.52</v>
      </c>
      <c r="J52" s="16">
        <v>3</v>
      </c>
      <c r="K52" s="16"/>
      <c r="L52" s="16">
        <v>4</v>
      </c>
      <c r="M52" s="16">
        <v>4</v>
      </c>
      <c r="N52" s="16">
        <v>1</v>
      </c>
      <c r="O52" s="16">
        <v>4</v>
      </c>
      <c r="P52" s="16">
        <v>4</v>
      </c>
      <c r="Q52" s="16">
        <v>2</v>
      </c>
      <c r="R52" s="4" t="s">
        <v>158</v>
      </c>
    </row>
    <row r="53" spans="1:18" ht="28.05" customHeight="1" x14ac:dyDescent="0.3">
      <c r="A53" s="16">
        <v>49</v>
      </c>
      <c r="B53" s="16">
        <v>127</v>
      </c>
      <c r="C53" s="17" t="s">
        <v>269</v>
      </c>
      <c r="D53" s="4" t="s">
        <v>55</v>
      </c>
      <c r="E53" s="4" t="s">
        <v>76</v>
      </c>
      <c r="F53" s="4" t="s">
        <v>112</v>
      </c>
      <c r="G53" s="4" t="s">
        <v>108</v>
      </c>
      <c r="H53" s="4" t="s">
        <v>152</v>
      </c>
      <c r="I53" s="18">
        <v>3.52</v>
      </c>
      <c r="J53" s="16">
        <v>3</v>
      </c>
      <c r="K53" s="16"/>
      <c r="L53" s="16">
        <v>4</v>
      </c>
      <c r="M53" s="16">
        <v>4</v>
      </c>
      <c r="N53" s="16">
        <v>1</v>
      </c>
      <c r="O53" s="16">
        <v>4</v>
      </c>
      <c r="P53" s="16">
        <v>4</v>
      </c>
      <c r="Q53" s="16">
        <v>3</v>
      </c>
      <c r="R53" s="4" t="s">
        <v>158</v>
      </c>
    </row>
    <row r="54" spans="1:18" ht="28.05" customHeight="1" x14ac:dyDescent="0.3">
      <c r="A54" s="16">
        <v>50</v>
      </c>
      <c r="B54" s="16">
        <v>128</v>
      </c>
      <c r="C54" s="17" t="s">
        <v>270</v>
      </c>
      <c r="D54" s="4" t="s">
        <v>55</v>
      </c>
      <c r="E54" s="4" t="s">
        <v>79</v>
      </c>
      <c r="F54" s="4" t="s">
        <v>134</v>
      </c>
      <c r="G54" s="4" t="s">
        <v>108</v>
      </c>
      <c r="H54" s="4" t="s">
        <v>152</v>
      </c>
      <c r="I54" s="18">
        <v>3.52</v>
      </c>
      <c r="J54" s="16">
        <v>3</v>
      </c>
      <c r="K54" s="16"/>
      <c r="L54" s="16">
        <v>4</v>
      </c>
      <c r="M54" s="16">
        <v>4</v>
      </c>
      <c r="N54" s="16">
        <v>1</v>
      </c>
      <c r="O54" s="16">
        <v>4</v>
      </c>
      <c r="P54" s="16">
        <v>4</v>
      </c>
      <c r="Q54" s="16">
        <v>3</v>
      </c>
      <c r="R54" s="4" t="s">
        <v>158</v>
      </c>
    </row>
    <row r="55" spans="1:18" ht="28.05" customHeight="1" x14ac:dyDescent="0.3">
      <c r="A55" s="16">
        <v>51</v>
      </c>
      <c r="B55" s="16">
        <v>129</v>
      </c>
      <c r="C55" s="17" t="s">
        <v>271</v>
      </c>
      <c r="D55" s="4" t="s">
        <v>49</v>
      </c>
      <c r="E55" s="4" t="s">
        <v>81</v>
      </c>
      <c r="F55" s="4" t="s">
        <v>107</v>
      </c>
      <c r="G55" s="4" t="s">
        <v>108</v>
      </c>
      <c r="H55" s="4" t="s">
        <v>122</v>
      </c>
      <c r="I55" s="18">
        <v>3.52</v>
      </c>
      <c r="J55" s="16">
        <v>3</v>
      </c>
      <c r="K55" s="16"/>
      <c r="L55" s="16">
        <v>3</v>
      </c>
      <c r="M55" s="16">
        <v>3</v>
      </c>
      <c r="N55" s="16">
        <v>4</v>
      </c>
      <c r="O55" s="16">
        <v>2</v>
      </c>
      <c r="P55" s="16">
        <v>4</v>
      </c>
      <c r="Q55" s="16">
        <v>3</v>
      </c>
      <c r="R55" s="4" t="s">
        <v>272</v>
      </c>
    </row>
    <row r="56" spans="1:18" ht="28.05" customHeight="1" x14ac:dyDescent="0.3">
      <c r="A56" s="16">
        <v>52</v>
      </c>
      <c r="B56" s="16">
        <v>130</v>
      </c>
      <c r="C56" s="17" t="s">
        <v>273</v>
      </c>
      <c r="D56" s="4" t="s">
        <v>50</v>
      </c>
      <c r="E56" s="4" t="s">
        <v>75</v>
      </c>
      <c r="F56" s="4" t="s">
        <v>107</v>
      </c>
      <c r="G56" s="4" t="s">
        <v>108</v>
      </c>
      <c r="H56" s="4" t="s">
        <v>122</v>
      </c>
      <c r="I56" s="18">
        <v>3.52</v>
      </c>
      <c r="J56" s="16">
        <v>3</v>
      </c>
      <c r="K56" s="16"/>
      <c r="L56" s="16">
        <v>3</v>
      </c>
      <c r="M56" s="16">
        <v>4</v>
      </c>
      <c r="N56" s="16">
        <v>4</v>
      </c>
      <c r="O56" s="16">
        <v>2</v>
      </c>
      <c r="P56" s="16">
        <v>3</v>
      </c>
      <c r="Q56" s="16">
        <v>3</v>
      </c>
      <c r="R56" s="4" t="s">
        <v>235</v>
      </c>
    </row>
    <row r="57" spans="1:18" ht="28.05" customHeight="1" x14ac:dyDescent="0.3">
      <c r="A57" s="16">
        <v>53</v>
      </c>
      <c r="B57" s="16">
        <v>131</v>
      </c>
      <c r="C57" s="17" t="s">
        <v>274</v>
      </c>
      <c r="D57" s="4" t="s">
        <v>50</v>
      </c>
      <c r="E57" s="4" t="s">
        <v>86</v>
      </c>
      <c r="F57" s="4" t="s">
        <v>107</v>
      </c>
      <c r="G57" s="4" t="s">
        <v>108</v>
      </c>
      <c r="H57" s="4" t="s">
        <v>152</v>
      </c>
      <c r="I57" s="18">
        <v>3.52</v>
      </c>
      <c r="J57" s="16">
        <v>3</v>
      </c>
      <c r="K57" s="16"/>
      <c r="L57" s="16">
        <v>3</v>
      </c>
      <c r="M57" s="16">
        <v>4</v>
      </c>
      <c r="N57" s="16">
        <v>4</v>
      </c>
      <c r="O57" s="16">
        <v>2</v>
      </c>
      <c r="P57" s="16">
        <v>3</v>
      </c>
      <c r="Q57" s="16">
        <v>3</v>
      </c>
      <c r="R57" s="4" t="s">
        <v>235</v>
      </c>
    </row>
    <row r="58" spans="1:18" ht="28.05" customHeight="1" x14ac:dyDescent="0.3">
      <c r="A58" s="16">
        <v>54</v>
      </c>
      <c r="B58" s="16">
        <v>135</v>
      </c>
      <c r="C58" s="17" t="s">
        <v>275</v>
      </c>
      <c r="D58" s="4" t="s">
        <v>48</v>
      </c>
      <c r="E58" s="4" t="s">
        <v>87</v>
      </c>
      <c r="F58" s="4" t="s">
        <v>112</v>
      </c>
      <c r="G58" s="4" t="s">
        <v>108</v>
      </c>
      <c r="H58" s="4" t="s">
        <v>152</v>
      </c>
      <c r="I58" s="18">
        <v>3.52</v>
      </c>
      <c r="J58" s="16">
        <v>3</v>
      </c>
      <c r="K58" s="16"/>
      <c r="L58" s="16">
        <v>3</v>
      </c>
      <c r="M58" s="16">
        <v>3</v>
      </c>
      <c r="N58" s="16">
        <v>4</v>
      </c>
      <c r="O58" s="16">
        <v>2</v>
      </c>
      <c r="P58" s="16">
        <v>4</v>
      </c>
      <c r="Q58" s="16">
        <v>3</v>
      </c>
      <c r="R58" s="4" t="s">
        <v>272</v>
      </c>
    </row>
    <row r="59" spans="1:18" ht="28.05" customHeight="1" x14ac:dyDescent="0.3">
      <c r="A59" s="16">
        <v>55</v>
      </c>
      <c r="B59" s="16">
        <v>136</v>
      </c>
      <c r="C59" s="17" t="s">
        <v>262</v>
      </c>
      <c r="D59" s="4" t="s">
        <v>56</v>
      </c>
      <c r="E59" s="4" t="s">
        <v>78</v>
      </c>
      <c r="F59" s="4" t="s">
        <v>134</v>
      </c>
      <c r="G59" s="4" t="s">
        <v>108</v>
      </c>
      <c r="H59" s="4" t="s">
        <v>122</v>
      </c>
      <c r="I59" s="18">
        <v>3.51</v>
      </c>
      <c r="J59" s="16">
        <v>3</v>
      </c>
      <c r="K59" s="16"/>
      <c r="L59" s="16">
        <v>4</v>
      </c>
      <c r="M59" s="16">
        <v>4</v>
      </c>
      <c r="N59" s="16">
        <v>2</v>
      </c>
      <c r="O59" s="16">
        <v>4</v>
      </c>
      <c r="P59" s="16">
        <v>3</v>
      </c>
      <c r="Q59" s="16">
        <v>3</v>
      </c>
      <c r="R59" s="4" t="s">
        <v>249</v>
      </c>
    </row>
    <row r="60" spans="1:18" ht="28.05" customHeight="1" x14ac:dyDescent="0.3">
      <c r="A60" s="16">
        <v>56</v>
      </c>
      <c r="B60" s="16">
        <v>137</v>
      </c>
      <c r="C60" s="17" t="s">
        <v>276</v>
      </c>
      <c r="D60" s="4" t="s">
        <v>50</v>
      </c>
      <c r="E60" s="4" t="s">
        <v>64</v>
      </c>
      <c r="F60" s="4" t="s">
        <v>134</v>
      </c>
      <c r="G60" s="4" t="s">
        <v>108</v>
      </c>
      <c r="H60" s="4" t="s">
        <v>152</v>
      </c>
      <c r="I60" s="18">
        <v>3.52</v>
      </c>
      <c r="J60" s="16">
        <v>3</v>
      </c>
      <c r="K60" s="16"/>
      <c r="L60" s="16">
        <v>3</v>
      </c>
      <c r="M60" s="16">
        <v>4</v>
      </c>
      <c r="N60" s="16">
        <v>4</v>
      </c>
      <c r="O60" s="16">
        <v>2</v>
      </c>
      <c r="P60" s="16">
        <v>3</v>
      </c>
      <c r="Q60" s="16">
        <v>4</v>
      </c>
      <c r="R60" s="4" t="s">
        <v>235</v>
      </c>
    </row>
    <row r="61" spans="1:18" ht="28.05" customHeight="1" x14ac:dyDescent="0.3">
      <c r="A61" s="16">
        <v>57</v>
      </c>
      <c r="B61" s="16">
        <v>138</v>
      </c>
      <c r="C61" s="17" t="s">
        <v>277</v>
      </c>
      <c r="D61" s="4" t="s">
        <v>55</v>
      </c>
      <c r="E61" s="4" t="s">
        <v>64</v>
      </c>
      <c r="F61" s="4" t="s">
        <v>134</v>
      </c>
      <c r="G61" s="4" t="s">
        <v>108</v>
      </c>
      <c r="H61" s="4" t="s">
        <v>109</v>
      </c>
      <c r="I61" s="18">
        <v>3.51</v>
      </c>
      <c r="J61" s="16">
        <v>3</v>
      </c>
      <c r="K61" s="16"/>
      <c r="L61" s="16">
        <v>4</v>
      </c>
      <c r="M61" s="16">
        <v>4</v>
      </c>
      <c r="N61" s="16">
        <v>1</v>
      </c>
      <c r="O61" s="16">
        <v>3</v>
      </c>
      <c r="P61" s="16">
        <v>3</v>
      </c>
      <c r="Q61" s="16">
        <v>3</v>
      </c>
      <c r="R61" s="4" t="s">
        <v>164</v>
      </c>
    </row>
    <row r="62" spans="1:18" ht="28.05" customHeight="1" x14ac:dyDescent="0.3">
      <c r="A62" s="16">
        <v>58</v>
      </c>
      <c r="B62" s="16">
        <v>139</v>
      </c>
      <c r="C62" s="17" t="s">
        <v>278</v>
      </c>
      <c r="D62" s="4" t="s">
        <v>55</v>
      </c>
      <c r="E62" s="4" t="s">
        <v>64</v>
      </c>
      <c r="F62" s="4" t="s">
        <v>134</v>
      </c>
      <c r="G62" s="4" t="s">
        <v>108</v>
      </c>
      <c r="H62" s="4" t="s">
        <v>109</v>
      </c>
      <c r="I62" s="18">
        <v>3.51</v>
      </c>
      <c r="J62" s="16">
        <v>3</v>
      </c>
      <c r="K62" s="16"/>
      <c r="L62" s="16">
        <v>4</v>
      </c>
      <c r="M62" s="16">
        <v>4</v>
      </c>
      <c r="N62" s="16">
        <v>1</v>
      </c>
      <c r="O62" s="16">
        <v>3</v>
      </c>
      <c r="P62" s="16">
        <v>3</v>
      </c>
      <c r="Q62" s="16">
        <v>3</v>
      </c>
      <c r="R62" s="4" t="s">
        <v>164</v>
      </c>
    </row>
    <row r="63" spans="1:18" ht="28.05" customHeight="1" x14ac:dyDescent="0.3">
      <c r="A63" s="16">
        <v>59</v>
      </c>
      <c r="B63" s="16">
        <v>140</v>
      </c>
      <c r="C63" s="17" t="s">
        <v>279</v>
      </c>
      <c r="D63" s="4" t="s">
        <v>55</v>
      </c>
      <c r="E63" s="4" t="s">
        <v>64</v>
      </c>
      <c r="F63" s="4" t="s">
        <v>134</v>
      </c>
      <c r="G63" s="4" t="s">
        <v>108</v>
      </c>
      <c r="H63" s="4" t="s">
        <v>109</v>
      </c>
      <c r="I63" s="18">
        <v>3.51</v>
      </c>
      <c r="J63" s="16">
        <v>3</v>
      </c>
      <c r="K63" s="16"/>
      <c r="L63" s="16">
        <v>4</v>
      </c>
      <c r="M63" s="16">
        <v>4</v>
      </c>
      <c r="N63" s="16">
        <v>1</v>
      </c>
      <c r="O63" s="16">
        <v>4</v>
      </c>
      <c r="P63" s="16">
        <v>2</v>
      </c>
      <c r="Q63" s="16">
        <v>3</v>
      </c>
      <c r="R63" s="4" t="s">
        <v>179</v>
      </c>
    </row>
    <row r="64" spans="1:18" ht="28.05" customHeight="1" x14ac:dyDescent="0.3">
      <c r="A64" s="16">
        <v>60</v>
      </c>
      <c r="B64" s="16">
        <v>141</v>
      </c>
      <c r="C64" s="17" t="s">
        <v>280</v>
      </c>
      <c r="D64" s="4" t="s">
        <v>54</v>
      </c>
      <c r="E64" s="4" t="s">
        <v>72</v>
      </c>
      <c r="F64" s="4" t="s">
        <v>134</v>
      </c>
      <c r="G64" s="4" t="s">
        <v>108</v>
      </c>
      <c r="H64" s="4" t="s">
        <v>152</v>
      </c>
      <c r="I64" s="18">
        <v>3.52</v>
      </c>
      <c r="J64" s="16">
        <v>3</v>
      </c>
      <c r="K64" s="16"/>
      <c r="L64" s="16">
        <v>3</v>
      </c>
      <c r="M64" s="16">
        <v>4</v>
      </c>
      <c r="N64" s="16">
        <v>4</v>
      </c>
      <c r="O64" s="16">
        <v>2</v>
      </c>
      <c r="P64" s="16">
        <v>4</v>
      </c>
      <c r="Q64" s="16">
        <v>4</v>
      </c>
      <c r="R64" s="4" t="s">
        <v>246</v>
      </c>
    </row>
    <row r="65" spans="1:18" ht="28.05" customHeight="1" x14ac:dyDescent="0.3">
      <c r="A65" s="16">
        <v>61</v>
      </c>
      <c r="B65" s="16">
        <v>142</v>
      </c>
      <c r="C65" s="17" t="s">
        <v>281</v>
      </c>
      <c r="D65" s="4" t="s">
        <v>54</v>
      </c>
      <c r="E65" s="4" t="s">
        <v>65</v>
      </c>
      <c r="F65" s="4" t="s">
        <v>134</v>
      </c>
      <c r="G65" s="4" t="s">
        <v>108</v>
      </c>
      <c r="H65" s="4" t="s">
        <v>109</v>
      </c>
      <c r="I65" s="18">
        <v>3.51</v>
      </c>
      <c r="J65" s="16">
        <v>3</v>
      </c>
      <c r="K65" s="16"/>
      <c r="L65" s="16">
        <v>4</v>
      </c>
      <c r="M65" s="16">
        <v>2</v>
      </c>
      <c r="N65" s="16">
        <v>3</v>
      </c>
      <c r="O65" s="16">
        <v>4</v>
      </c>
      <c r="P65" s="16">
        <v>2</v>
      </c>
      <c r="Q65" s="16">
        <v>3</v>
      </c>
      <c r="R65" s="4" t="s">
        <v>237</v>
      </c>
    </row>
    <row r="66" spans="1:18" ht="28.05" customHeight="1" x14ac:dyDescent="0.3">
      <c r="A66" s="16">
        <v>62</v>
      </c>
      <c r="B66" s="16">
        <v>143</v>
      </c>
      <c r="C66" s="17" t="s">
        <v>282</v>
      </c>
      <c r="D66" s="4" t="s">
        <v>52</v>
      </c>
      <c r="E66" s="4" t="s">
        <v>66</v>
      </c>
      <c r="F66" s="4" t="s">
        <v>107</v>
      </c>
      <c r="G66" s="4" t="s">
        <v>108</v>
      </c>
      <c r="H66" s="4" t="s">
        <v>122</v>
      </c>
      <c r="I66" s="18">
        <v>3.52</v>
      </c>
      <c r="J66" s="16">
        <v>3</v>
      </c>
      <c r="K66" s="16"/>
      <c r="L66" s="16">
        <v>4</v>
      </c>
      <c r="M66" s="16">
        <v>4</v>
      </c>
      <c r="N66" s="16">
        <v>3</v>
      </c>
      <c r="O66" s="16">
        <v>2</v>
      </c>
      <c r="P66" s="16">
        <v>3</v>
      </c>
      <c r="Q66" s="16">
        <v>4</v>
      </c>
      <c r="R66" s="4" t="s">
        <v>283</v>
      </c>
    </row>
    <row r="67" spans="1:18" ht="28.05" customHeight="1" x14ac:dyDescent="0.3">
      <c r="A67" s="16">
        <v>63</v>
      </c>
      <c r="B67" s="16">
        <v>146</v>
      </c>
      <c r="C67" s="17" t="s">
        <v>264</v>
      </c>
      <c r="D67" s="4" t="s">
        <v>56</v>
      </c>
      <c r="E67" s="4" t="s">
        <v>77</v>
      </c>
      <c r="F67" s="4" t="s">
        <v>112</v>
      </c>
      <c r="G67" s="4" t="s">
        <v>108</v>
      </c>
      <c r="H67" s="4" t="s">
        <v>109</v>
      </c>
      <c r="I67" s="18">
        <v>3.5</v>
      </c>
      <c r="J67" s="16">
        <v>3</v>
      </c>
      <c r="K67" s="16"/>
      <c r="L67" s="16">
        <v>4</v>
      </c>
      <c r="M67" s="16">
        <v>4</v>
      </c>
      <c r="N67" s="16">
        <v>2</v>
      </c>
      <c r="O67" s="16">
        <v>2</v>
      </c>
      <c r="P67" s="16">
        <v>3</v>
      </c>
      <c r="Q67" s="16">
        <v>3</v>
      </c>
      <c r="R67" s="4" t="s">
        <v>164</v>
      </c>
    </row>
    <row r="68" spans="1:18" ht="28.05" customHeight="1" x14ac:dyDescent="0.3">
      <c r="A68" s="16">
        <v>64</v>
      </c>
      <c r="B68" s="16">
        <v>147</v>
      </c>
      <c r="C68" s="17" t="s">
        <v>265</v>
      </c>
      <c r="D68" s="4" t="s">
        <v>56</v>
      </c>
      <c r="E68" s="4" t="s">
        <v>77</v>
      </c>
      <c r="F68" s="4" t="s">
        <v>112</v>
      </c>
      <c r="G68" s="4" t="s">
        <v>108</v>
      </c>
      <c r="H68" s="4" t="s">
        <v>109</v>
      </c>
      <c r="I68" s="18">
        <v>3.5</v>
      </c>
      <c r="J68" s="16">
        <v>3</v>
      </c>
      <c r="K68" s="16"/>
      <c r="L68" s="16">
        <v>4</v>
      </c>
      <c r="M68" s="16">
        <v>4</v>
      </c>
      <c r="N68" s="16">
        <v>2</v>
      </c>
      <c r="O68" s="16">
        <v>2</v>
      </c>
      <c r="P68" s="16">
        <v>3</v>
      </c>
      <c r="Q68" s="16">
        <v>3</v>
      </c>
      <c r="R68" s="4" t="s">
        <v>164</v>
      </c>
    </row>
    <row r="69" spans="1:18" ht="28.05" customHeight="1" x14ac:dyDescent="0.3">
      <c r="A69" s="16">
        <v>65</v>
      </c>
      <c r="B69" s="16">
        <v>148</v>
      </c>
      <c r="C69" s="17" t="s">
        <v>284</v>
      </c>
      <c r="D69" s="4" t="s">
        <v>56</v>
      </c>
      <c r="E69" s="4" t="s">
        <v>68</v>
      </c>
      <c r="F69" s="4" t="s">
        <v>112</v>
      </c>
      <c r="G69" s="4" t="s">
        <v>108</v>
      </c>
      <c r="H69" s="4" t="s">
        <v>122</v>
      </c>
      <c r="I69" s="18">
        <v>3.51</v>
      </c>
      <c r="J69" s="16">
        <v>3</v>
      </c>
      <c r="K69" s="16"/>
      <c r="L69" s="16">
        <v>4</v>
      </c>
      <c r="M69" s="16">
        <v>4</v>
      </c>
      <c r="N69" s="16">
        <v>2</v>
      </c>
      <c r="O69" s="16">
        <v>3</v>
      </c>
      <c r="P69" s="16">
        <v>4</v>
      </c>
      <c r="Q69" s="16">
        <v>4</v>
      </c>
      <c r="R69" s="4" t="s">
        <v>224</v>
      </c>
    </row>
    <row r="70" spans="1:18" ht="28.05" customHeight="1" x14ac:dyDescent="0.3">
      <c r="A70" s="16">
        <v>66</v>
      </c>
      <c r="B70" s="16">
        <v>149</v>
      </c>
      <c r="C70" s="17" t="s">
        <v>285</v>
      </c>
      <c r="D70" s="4" t="s">
        <v>51</v>
      </c>
      <c r="E70" s="4" t="s">
        <v>81</v>
      </c>
      <c r="F70" s="4" t="s">
        <v>107</v>
      </c>
      <c r="G70" s="4" t="s">
        <v>108</v>
      </c>
      <c r="H70" s="4" t="s">
        <v>152</v>
      </c>
      <c r="I70" s="18">
        <v>3.47</v>
      </c>
      <c r="J70" s="16">
        <v>3</v>
      </c>
      <c r="K70" s="16"/>
      <c r="L70" s="16">
        <v>3</v>
      </c>
      <c r="M70" s="16">
        <v>5</v>
      </c>
      <c r="N70" s="16">
        <v>3</v>
      </c>
      <c r="O70" s="16">
        <v>2</v>
      </c>
      <c r="P70" s="16">
        <v>3</v>
      </c>
      <c r="Q70" s="16">
        <v>2</v>
      </c>
      <c r="R70" s="4" t="s">
        <v>286</v>
      </c>
    </row>
    <row r="71" spans="1:18" ht="28.05" customHeight="1" x14ac:dyDescent="0.3">
      <c r="A71" s="16">
        <v>67</v>
      </c>
      <c r="B71" s="16">
        <v>150</v>
      </c>
      <c r="C71" s="17" t="s">
        <v>285</v>
      </c>
      <c r="D71" s="4" t="s">
        <v>51</v>
      </c>
      <c r="E71" s="4" t="s">
        <v>82</v>
      </c>
      <c r="F71" s="4" t="s">
        <v>107</v>
      </c>
      <c r="G71" s="4" t="s">
        <v>108</v>
      </c>
      <c r="H71" s="4" t="s">
        <v>152</v>
      </c>
      <c r="I71" s="18">
        <v>3.47</v>
      </c>
      <c r="J71" s="16">
        <v>3</v>
      </c>
      <c r="K71" s="16"/>
      <c r="L71" s="16">
        <v>3</v>
      </c>
      <c r="M71" s="16">
        <v>5</v>
      </c>
      <c r="N71" s="16">
        <v>3</v>
      </c>
      <c r="O71" s="16">
        <v>2</v>
      </c>
      <c r="P71" s="16">
        <v>3</v>
      </c>
      <c r="Q71" s="16">
        <v>2</v>
      </c>
      <c r="R71" s="4" t="s">
        <v>286</v>
      </c>
    </row>
    <row r="72" spans="1:18" ht="28.05" customHeight="1" x14ac:dyDescent="0.3">
      <c r="A72" s="16">
        <v>68</v>
      </c>
      <c r="B72" s="16">
        <v>151</v>
      </c>
      <c r="C72" s="17" t="s">
        <v>287</v>
      </c>
      <c r="D72" s="4" t="s">
        <v>51</v>
      </c>
      <c r="E72" s="4" t="s">
        <v>82</v>
      </c>
      <c r="F72" s="4" t="s">
        <v>107</v>
      </c>
      <c r="G72" s="4" t="s">
        <v>108</v>
      </c>
      <c r="H72" s="4" t="s">
        <v>152</v>
      </c>
      <c r="I72" s="18">
        <v>3.47</v>
      </c>
      <c r="J72" s="16">
        <v>3</v>
      </c>
      <c r="K72" s="16"/>
      <c r="L72" s="16">
        <v>3</v>
      </c>
      <c r="M72" s="16">
        <v>5</v>
      </c>
      <c r="N72" s="16">
        <v>3</v>
      </c>
      <c r="O72" s="16">
        <v>2</v>
      </c>
      <c r="P72" s="16">
        <v>3</v>
      </c>
      <c r="Q72" s="16">
        <v>2</v>
      </c>
      <c r="R72" s="4" t="s">
        <v>286</v>
      </c>
    </row>
    <row r="73" spans="1:18" ht="28.05" customHeight="1" x14ac:dyDescent="0.3">
      <c r="A73" s="16">
        <v>69</v>
      </c>
      <c r="B73" s="16">
        <v>152</v>
      </c>
      <c r="C73" s="17" t="s">
        <v>268</v>
      </c>
      <c r="D73" s="4" t="s">
        <v>56</v>
      </c>
      <c r="E73" s="4" t="s">
        <v>69</v>
      </c>
      <c r="F73" s="4" t="s">
        <v>134</v>
      </c>
      <c r="G73" s="4" t="s">
        <v>108</v>
      </c>
      <c r="H73" s="4" t="s">
        <v>152</v>
      </c>
      <c r="I73" s="18">
        <v>3.46</v>
      </c>
      <c r="J73" s="16">
        <v>3</v>
      </c>
      <c r="K73" s="16"/>
      <c r="L73" s="16">
        <v>4</v>
      </c>
      <c r="M73" s="16">
        <v>4</v>
      </c>
      <c r="N73" s="16">
        <v>1</v>
      </c>
      <c r="O73" s="16">
        <v>4</v>
      </c>
      <c r="P73" s="16">
        <v>4</v>
      </c>
      <c r="Q73" s="16">
        <v>2</v>
      </c>
      <c r="R73" s="4" t="s">
        <v>158</v>
      </c>
    </row>
    <row r="74" spans="1:18" ht="28.05" customHeight="1" x14ac:dyDescent="0.3">
      <c r="A74" s="16">
        <v>70</v>
      </c>
      <c r="B74" s="16">
        <v>153</v>
      </c>
      <c r="C74" s="17" t="s">
        <v>288</v>
      </c>
      <c r="D74" s="4" t="s">
        <v>50</v>
      </c>
      <c r="E74" s="4" t="s">
        <v>65</v>
      </c>
      <c r="F74" s="4" t="s">
        <v>107</v>
      </c>
      <c r="G74" s="4" t="s">
        <v>108</v>
      </c>
      <c r="H74" s="4" t="s">
        <v>122</v>
      </c>
      <c r="I74" s="18">
        <v>3.47</v>
      </c>
      <c r="J74" s="16">
        <v>3</v>
      </c>
      <c r="K74" s="16"/>
      <c r="L74" s="16">
        <v>3</v>
      </c>
      <c r="M74" s="16">
        <v>3</v>
      </c>
      <c r="N74" s="16">
        <v>4</v>
      </c>
      <c r="O74" s="16">
        <v>3</v>
      </c>
      <c r="P74" s="16">
        <v>3</v>
      </c>
      <c r="Q74" s="16">
        <v>3</v>
      </c>
      <c r="R74" s="4" t="s">
        <v>289</v>
      </c>
    </row>
    <row r="75" spans="1:18" ht="28.05" customHeight="1" x14ac:dyDescent="0.3">
      <c r="A75" s="16">
        <v>71</v>
      </c>
      <c r="B75" s="16">
        <v>154</v>
      </c>
      <c r="C75" s="17" t="s">
        <v>290</v>
      </c>
      <c r="D75" s="4" t="s">
        <v>53</v>
      </c>
      <c r="E75" s="4" t="s">
        <v>68</v>
      </c>
      <c r="F75" s="4" t="s">
        <v>112</v>
      </c>
      <c r="G75" s="4" t="s">
        <v>108</v>
      </c>
      <c r="H75" s="4" t="s">
        <v>122</v>
      </c>
      <c r="I75" s="18">
        <v>3.47</v>
      </c>
      <c r="J75" s="16">
        <v>3</v>
      </c>
      <c r="K75" s="16"/>
      <c r="L75" s="16">
        <v>4</v>
      </c>
      <c r="M75" s="16">
        <v>5</v>
      </c>
      <c r="N75" s="16">
        <v>1</v>
      </c>
      <c r="O75" s="16">
        <v>3</v>
      </c>
      <c r="P75" s="16">
        <v>3</v>
      </c>
      <c r="Q75" s="16">
        <v>3</v>
      </c>
      <c r="R75" s="4" t="s">
        <v>291</v>
      </c>
    </row>
    <row r="76" spans="1:18" ht="28.05" customHeight="1" x14ac:dyDescent="0.3">
      <c r="A76" s="16">
        <v>72</v>
      </c>
      <c r="B76" s="16">
        <v>155</v>
      </c>
      <c r="C76" s="17" t="s">
        <v>292</v>
      </c>
      <c r="D76" s="4" t="s">
        <v>53</v>
      </c>
      <c r="E76" s="4" t="s">
        <v>68</v>
      </c>
      <c r="F76" s="4" t="s">
        <v>112</v>
      </c>
      <c r="G76" s="4" t="s">
        <v>108</v>
      </c>
      <c r="H76" s="4" t="s">
        <v>122</v>
      </c>
      <c r="I76" s="18">
        <v>3.47</v>
      </c>
      <c r="J76" s="16">
        <v>3</v>
      </c>
      <c r="K76" s="16"/>
      <c r="L76" s="16">
        <v>4</v>
      </c>
      <c r="M76" s="16">
        <v>5</v>
      </c>
      <c r="N76" s="16">
        <v>1</v>
      </c>
      <c r="O76" s="16">
        <v>3</v>
      </c>
      <c r="P76" s="16">
        <v>3</v>
      </c>
      <c r="Q76" s="16">
        <v>3</v>
      </c>
      <c r="R76" s="4" t="s">
        <v>291</v>
      </c>
    </row>
    <row r="77" spans="1:18" ht="28.05" customHeight="1" x14ac:dyDescent="0.3">
      <c r="A77" s="16">
        <v>73</v>
      </c>
      <c r="B77" s="16">
        <v>156</v>
      </c>
      <c r="C77" s="17" t="s">
        <v>293</v>
      </c>
      <c r="D77" s="4" t="s">
        <v>53</v>
      </c>
      <c r="E77" s="4" t="s">
        <v>68</v>
      </c>
      <c r="F77" s="4" t="s">
        <v>112</v>
      </c>
      <c r="G77" s="4" t="s">
        <v>108</v>
      </c>
      <c r="H77" s="4" t="s">
        <v>122</v>
      </c>
      <c r="I77" s="18">
        <v>3.47</v>
      </c>
      <c r="J77" s="16">
        <v>3</v>
      </c>
      <c r="K77" s="16"/>
      <c r="L77" s="16">
        <v>4</v>
      </c>
      <c r="M77" s="16">
        <v>5</v>
      </c>
      <c r="N77" s="16">
        <v>1</v>
      </c>
      <c r="O77" s="16">
        <v>3</v>
      </c>
      <c r="P77" s="16">
        <v>3</v>
      </c>
      <c r="Q77" s="16">
        <v>3</v>
      </c>
      <c r="R77" s="4" t="s">
        <v>291</v>
      </c>
    </row>
    <row r="78" spans="1:18" ht="28.05" customHeight="1" x14ac:dyDescent="0.3">
      <c r="A78" s="16">
        <v>74</v>
      </c>
      <c r="B78" s="16">
        <v>157</v>
      </c>
      <c r="C78" s="17" t="s">
        <v>294</v>
      </c>
      <c r="D78" s="4" t="s">
        <v>55</v>
      </c>
      <c r="E78" s="4" t="s">
        <v>83</v>
      </c>
      <c r="F78" s="4" t="s">
        <v>134</v>
      </c>
      <c r="G78" s="4" t="s">
        <v>108</v>
      </c>
      <c r="H78" s="4" t="s">
        <v>109</v>
      </c>
      <c r="I78" s="18">
        <v>3.45</v>
      </c>
      <c r="J78" s="16">
        <v>3</v>
      </c>
      <c r="K78" s="16"/>
      <c r="L78" s="16">
        <v>4</v>
      </c>
      <c r="M78" s="16">
        <v>3</v>
      </c>
      <c r="N78" s="16">
        <v>1</v>
      </c>
      <c r="O78" s="16">
        <v>4</v>
      </c>
      <c r="P78" s="16">
        <v>3</v>
      </c>
      <c r="Q78" s="16">
        <v>2</v>
      </c>
      <c r="R78" s="4" t="s">
        <v>237</v>
      </c>
    </row>
    <row r="79" spans="1:18" ht="28.05" customHeight="1" x14ac:dyDescent="0.3">
      <c r="A79" s="16">
        <v>75</v>
      </c>
      <c r="B79" s="16">
        <v>158</v>
      </c>
      <c r="C79" s="17" t="s">
        <v>295</v>
      </c>
      <c r="D79" s="4" t="s">
        <v>53</v>
      </c>
      <c r="E79" s="4" t="s">
        <v>64</v>
      </c>
      <c r="F79" s="4" t="s">
        <v>112</v>
      </c>
      <c r="G79" s="4" t="s">
        <v>108</v>
      </c>
      <c r="H79" s="4" t="s">
        <v>109</v>
      </c>
      <c r="I79" s="18">
        <v>3.45</v>
      </c>
      <c r="J79" s="16">
        <v>3</v>
      </c>
      <c r="K79" s="16"/>
      <c r="L79" s="16">
        <v>4</v>
      </c>
      <c r="M79" s="16">
        <v>4</v>
      </c>
      <c r="N79" s="16">
        <v>2</v>
      </c>
      <c r="O79" s="16">
        <v>2</v>
      </c>
      <c r="P79" s="16">
        <v>2</v>
      </c>
      <c r="Q79" s="16">
        <v>2</v>
      </c>
      <c r="R79" s="4" t="s">
        <v>164</v>
      </c>
    </row>
    <row r="80" spans="1:18" ht="28.05" customHeight="1" x14ac:dyDescent="0.3">
      <c r="A80" s="16">
        <v>76</v>
      </c>
      <c r="B80" s="16">
        <v>160</v>
      </c>
      <c r="C80" s="17" t="s">
        <v>269</v>
      </c>
      <c r="D80" s="4" t="s">
        <v>56</v>
      </c>
      <c r="E80" s="4" t="s">
        <v>76</v>
      </c>
      <c r="F80" s="4" t="s">
        <v>112</v>
      </c>
      <c r="G80" s="4" t="s">
        <v>108</v>
      </c>
      <c r="H80" s="4" t="s">
        <v>152</v>
      </c>
      <c r="I80" s="18">
        <v>3.46</v>
      </c>
      <c r="J80" s="16">
        <v>3</v>
      </c>
      <c r="K80" s="16"/>
      <c r="L80" s="16">
        <v>4</v>
      </c>
      <c r="M80" s="16">
        <v>4</v>
      </c>
      <c r="N80" s="16">
        <v>1</v>
      </c>
      <c r="O80" s="16">
        <v>4</v>
      </c>
      <c r="P80" s="16">
        <v>4</v>
      </c>
      <c r="Q80" s="16">
        <v>3</v>
      </c>
      <c r="R80" s="4" t="s">
        <v>158</v>
      </c>
    </row>
    <row r="81" spans="1:18" ht="28.05" customHeight="1" x14ac:dyDescent="0.3">
      <c r="A81" s="16">
        <v>77</v>
      </c>
      <c r="B81" s="16">
        <v>161</v>
      </c>
      <c r="C81" s="17" t="s">
        <v>270</v>
      </c>
      <c r="D81" s="4" t="s">
        <v>56</v>
      </c>
      <c r="E81" s="4" t="s">
        <v>71</v>
      </c>
      <c r="F81" s="4" t="s">
        <v>112</v>
      </c>
      <c r="G81" s="4" t="s">
        <v>108</v>
      </c>
      <c r="H81" s="4" t="s">
        <v>152</v>
      </c>
      <c r="I81" s="18">
        <v>3.46</v>
      </c>
      <c r="J81" s="16">
        <v>3</v>
      </c>
      <c r="K81" s="16"/>
      <c r="L81" s="16">
        <v>4</v>
      </c>
      <c r="M81" s="16">
        <v>4</v>
      </c>
      <c r="N81" s="16">
        <v>1</v>
      </c>
      <c r="O81" s="16">
        <v>4</v>
      </c>
      <c r="P81" s="16">
        <v>4</v>
      </c>
      <c r="Q81" s="16">
        <v>3</v>
      </c>
      <c r="R81" s="4" t="s">
        <v>158</v>
      </c>
    </row>
    <row r="82" spans="1:18" ht="28.05" customHeight="1" x14ac:dyDescent="0.3">
      <c r="A82" s="16">
        <v>78</v>
      </c>
      <c r="B82" s="16">
        <v>162</v>
      </c>
      <c r="C82" s="17" t="s">
        <v>296</v>
      </c>
      <c r="D82" s="4" t="s">
        <v>52</v>
      </c>
      <c r="E82" s="4" t="s">
        <v>64</v>
      </c>
      <c r="F82" s="4" t="s">
        <v>112</v>
      </c>
      <c r="G82" s="4" t="s">
        <v>108</v>
      </c>
      <c r="H82" s="4" t="s">
        <v>131</v>
      </c>
      <c r="I82" s="18">
        <v>3.47</v>
      </c>
      <c r="J82" s="16">
        <v>3</v>
      </c>
      <c r="K82" s="16"/>
      <c r="L82" s="16">
        <v>3</v>
      </c>
      <c r="M82" s="16">
        <v>4</v>
      </c>
      <c r="N82" s="16">
        <v>2</v>
      </c>
      <c r="O82" s="16">
        <v>4</v>
      </c>
      <c r="P82" s="16">
        <v>4</v>
      </c>
      <c r="Q82" s="16">
        <v>4</v>
      </c>
      <c r="R82" s="4" t="s">
        <v>228</v>
      </c>
    </row>
    <row r="83" spans="1:18" ht="28.05" customHeight="1" x14ac:dyDescent="0.3">
      <c r="A83" s="16">
        <v>79</v>
      </c>
      <c r="B83" s="16">
        <v>163</v>
      </c>
      <c r="C83" s="17" t="s">
        <v>278</v>
      </c>
      <c r="D83" s="4" t="s">
        <v>56</v>
      </c>
      <c r="E83" s="4" t="s">
        <v>64</v>
      </c>
      <c r="F83" s="4" t="s">
        <v>134</v>
      </c>
      <c r="G83" s="4" t="s">
        <v>108</v>
      </c>
      <c r="H83" s="4" t="s">
        <v>109</v>
      </c>
      <c r="I83" s="18">
        <v>3.45</v>
      </c>
      <c r="J83" s="16">
        <v>3</v>
      </c>
      <c r="K83" s="16"/>
      <c r="L83" s="16">
        <v>4</v>
      </c>
      <c r="M83" s="16">
        <v>4</v>
      </c>
      <c r="N83" s="16">
        <v>1</v>
      </c>
      <c r="O83" s="16">
        <v>3</v>
      </c>
      <c r="P83" s="16">
        <v>3</v>
      </c>
      <c r="Q83" s="16">
        <v>3</v>
      </c>
      <c r="R83" s="4" t="s">
        <v>164</v>
      </c>
    </row>
    <row r="84" spans="1:18" ht="28.05" customHeight="1" x14ac:dyDescent="0.3">
      <c r="A84" s="16">
        <v>80</v>
      </c>
      <c r="B84" s="16">
        <v>164</v>
      </c>
      <c r="C84" s="17" t="s">
        <v>277</v>
      </c>
      <c r="D84" s="4" t="s">
        <v>56</v>
      </c>
      <c r="E84" s="4" t="s">
        <v>64</v>
      </c>
      <c r="F84" s="4" t="s">
        <v>134</v>
      </c>
      <c r="G84" s="4" t="s">
        <v>108</v>
      </c>
      <c r="H84" s="4" t="s">
        <v>109</v>
      </c>
      <c r="I84" s="18">
        <v>3.45</v>
      </c>
      <c r="J84" s="16">
        <v>3</v>
      </c>
      <c r="K84" s="16"/>
      <c r="L84" s="16">
        <v>4</v>
      </c>
      <c r="M84" s="16">
        <v>4</v>
      </c>
      <c r="N84" s="16">
        <v>1</v>
      </c>
      <c r="O84" s="16">
        <v>3</v>
      </c>
      <c r="P84" s="16">
        <v>3</v>
      </c>
      <c r="Q84" s="16">
        <v>3</v>
      </c>
      <c r="R84" s="4" t="s">
        <v>164</v>
      </c>
    </row>
    <row r="85" spans="1:18" ht="28.05" customHeight="1" x14ac:dyDescent="0.3">
      <c r="A85" s="16">
        <v>81</v>
      </c>
      <c r="B85" s="16">
        <v>165</v>
      </c>
      <c r="C85" s="17" t="s">
        <v>279</v>
      </c>
      <c r="D85" s="4" t="s">
        <v>56</v>
      </c>
      <c r="E85" s="4" t="s">
        <v>64</v>
      </c>
      <c r="F85" s="4" t="s">
        <v>134</v>
      </c>
      <c r="G85" s="4" t="s">
        <v>108</v>
      </c>
      <c r="H85" s="4" t="s">
        <v>109</v>
      </c>
      <c r="I85" s="18">
        <v>3.45</v>
      </c>
      <c r="J85" s="16">
        <v>3</v>
      </c>
      <c r="K85" s="16"/>
      <c r="L85" s="16">
        <v>4</v>
      </c>
      <c r="M85" s="16">
        <v>4</v>
      </c>
      <c r="N85" s="16">
        <v>1</v>
      </c>
      <c r="O85" s="16">
        <v>4</v>
      </c>
      <c r="P85" s="16">
        <v>2</v>
      </c>
      <c r="Q85" s="16">
        <v>3</v>
      </c>
      <c r="R85" s="4" t="s">
        <v>179</v>
      </c>
    </row>
    <row r="86" spans="1:18" ht="28.05" customHeight="1" x14ac:dyDescent="0.3">
      <c r="A86" s="16">
        <v>82</v>
      </c>
      <c r="B86" s="16">
        <v>166</v>
      </c>
      <c r="C86" s="17" t="s">
        <v>297</v>
      </c>
      <c r="D86" s="4" t="s">
        <v>55</v>
      </c>
      <c r="E86" s="4" t="s">
        <v>71</v>
      </c>
      <c r="F86" s="4" t="s">
        <v>134</v>
      </c>
      <c r="G86" s="4" t="s">
        <v>108</v>
      </c>
      <c r="H86" s="4" t="s">
        <v>152</v>
      </c>
      <c r="I86" s="18">
        <v>3.41</v>
      </c>
      <c r="J86" s="16">
        <v>3</v>
      </c>
      <c r="K86" s="16"/>
      <c r="L86" s="16">
        <v>4</v>
      </c>
      <c r="M86" s="16">
        <v>4</v>
      </c>
      <c r="N86" s="16">
        <v>2</v>
      </c>
      <c r="O86" s="16">
        <v>2</v>
      </c>
      <c r="P86" s="16">
        <v>4</v>
      </c>
      <c r="Q86" s="16">
        <v>2</v>
      </c>
      <c r="R86" s="4" t="s">
        <v>224</v>
      </c>
    </row>
    <row r="87" spans="1:18" ht="28.05" customHeight="1" x14ac:dyDescent="0.3">
      <c r="A87" s="16">
        <v>83</v>
      </c>
      <c r="B87" s="16">
        <v>167</v>
      </c>
      <c r="C87" s="17" t="s">
        <v>294</v>
      </c>
      <c r="D87" s="4" t="s">
        <v>56</v>
      </c>
      <c r="E87" s="4" t="s">
        <v>83</v>
      </c>
      <c r="F87" s="4" t="s">
        <v>134</v>
      </c>
      <c r="G87" s="4" t="s">
        <v>108</v>
      </c>
      <c r="H87" s="4" t="s">
        <v>109</v>
      </c>
      <c r="I87" s="18">
        <v>3.4</v>
      </c>
      <c r="J87" s="16">
        <v>3</v>
      </c>
      <c r="K87" s="16"/>
      <c r="L87" s="16">
        <v>4</v>
      </c>
      <c r="M87" s="16">
        <v>3</v>
      </c>
      <c r="N87" s="16">
        <v>1</v>
      </c>
      <c r="O87" s="16">
        <v>4</v>
      </c>
      <c r="P87" s="16">
        <v>3</v>
      </c>
      <c r="Q87" s="16">
        <v>2</v>
      </c>
      <c r="R87" s="4" t="s">
        <v>237</v>
      </c>
    </row>
    <row r="88" spans="1:18" ht="28.05" customHeight="1" x14ac:dyDescent="0.3">
      <c r="A88" s="16">
        <v>84</v>
      </c>
      <c r="B88" s="16">
        <v>185</v>
      </c>
      <c r="C88" s="17" t="s">
        <v>298</v>
      </c>
      <c r="D88" s="4" t="s">
        <v>53</v>
      </c>
      <c r="E88" s="4" t="s">
        <v>76</v>
      </c>
      <c r="F88" s="4" t="s">
        <v>112</v>
      </c>
      <c r="G88" s="4" t="s">
        <v>108</v>
      </c>
      <c r="H88" s="4" t="s">
        <v>122</v>
      </c>
      <c r="I88" s="18">
        <v>3.41</v>
      </c>
      <c r="J88" s="16">
        <v>3</v>
      </c>
      <c r="K88" s="16"/>
      <c r="L88" s="16">
        <v>4</v>
      </c>
      <c r="M88" s="16">
        <v>4</v>
      </c>
      <c r="N88" s="16">
        <v>1</v>
      </c>
      <c r="O88" s="16">
        <v>4</v>
      </c>
      <c r="P88" s="16">
        <v>3</v>
      </c>
      <c r="Q88" s="16">
        <v>3</v>
      </c>
      <c r="R88" s="4" t="s">
        <v>249</v>
      </c>
    </row>
    <row r="89" spans="1:18" ht="28.05" customHeight="1" x14ac:dyDescent="0.3">
      <c r="A89" s="16">
        <v>85</v>
      </c>
      <c r="B89" s="16">
        <v>187</v>
      </c>
      <c r="C89" s="17" t="s">
        <v>299</v>
      </c>
      <c r="D89" s="4" t="s">
        <v>53</v>
      </c>
      <c r="E89" s="4" t="s">
        <v>68</v>
      </c>
      <c r="F89" s="4" t="s">
        <v>112</v>
      </c>
      <c r="G89" s="4" t="s">
        <v>108</v>
      </c>
      <c r="H89" s="4" t="s">
        <v>131</v>
      </c>
      <c r="I89" s="18">
        <v>3.41</v>
      </c>
      <c r="J89" s="16">
        <v>3</v>
      </c>
      <c r="K89" s="16"/>
      <c r="L89" s="16">
        <v>4</v>
      </c>
      <c r="M89" s="16">
        <v>4</v>
      </c>
      <c r="N89" s="16">
        <v>1</v>
      </c>
      <c r="O89" s="16">
        <v>4</v>
      </c>
      <c r="P89" s="16">
        <v>3</v>
      </c>
      <c r="Q89" s="16">
        <v>4</v>
      </c>
      <c r="R89" s="4" t="s">
        <v>249</v>
      </c>
    </row>
    <row r="90" spans="1:18" ht="28.05" customHeight="1" x14ac:dyDescent="0.3">
      <c r="A90" s="16">
        <v>86</v>
      </c>
      <c r="B90" s="16">
        <v>189</v>
      </c>
      <c r="C90" s="17" t="s">
        <v>297</v>
      </c>
      <c r="D90" s="4" t="s">
        <v>56</v>
      </c>
      <c r="E90" s="4" t="s">
        <v>71</v>
      </c>
      <c r="F90" s="4" t="s">
        <v>134</v>
      </c>
      <c r="G90" s="4" t="s">
        <v>108</v>
      </c>
      <c r="H90" s="4" t="s">
        <v>152</v>
      </c>
      <c r="I90" s="18">
        <v>3.36</v>
      </c>
      <c r="J90" s="16">
        <v>3</v>
      </c>
      <c r="K90" s="16"/>
      <c r="L90" s="16">
        <v>4</v>
      </c>
      <c r="M90" s="16">
        <v>4</v>
      </c>
      <c r="N90" s="16">
        <v>2</v>
      </c>
      <c r="O90" s="16">
        <v>2</v>
      </c>
      <c r="P90" s="16">
        <v>4</v>
      </c>
      <c r="Q90" s="16">
        <v>2</v>
      </c>
      <c r="R90" s="4" t="s">
        <v>224</v>
      </c>
    </row>
    <row r="91" spans="1:18" ht="28.05" customHeight="1" x14ac:dyDescent="0.3">
      <c r="A91" s="16">
        <v>87</v>
      </c>
      <c r="B91" s="16">
        <v>191</v>
      </c>
      <c r="C91" s="17" t="s">
        <v>300</v>
      </c>
      <c r="D91" s="4" t="s">
        <v>54</v>
      </c>
      <c r="E91" s="4" t="s">
        <v>69</v>
      </c>
      <c r="F91" s="4" t="s">
        <v>112</v>
      </c>
      <c r="G91" s="4" t="s">
        <v>108</v>
      </c>
      <c r="H91" s="4" t="s">
        <v>122</v>
      </c>
      <c r="I91" s="18">
        <v>3.36</v>
      </c>
      <c r="J91" s="16">
        <v>3</v>
      </c>
      <c r="K91" s="16"/>
      <c r="L91" s="16">
        <v>4</v>
      </c>
      <c r="M91" s="16">
        <v>3</v>
      </c>
      <c r="N91" s="16">
        <v>2</v>
      </c>
      <c r="O91" s="16">
        <v>4</v>
      </c>
      <c r="P91" s="16">
        <v>3</v>
      </c>
      <c r="Q91" s="16">
        <v>3</v>
      </c>
      <c r="R91" s="4" t="s">
        <v>301</v>
      </c>
    </row>
    <row r="92" spans="1:18" ht="28.05" customHeight="1" x14ac:dyDescent="0.3">
      <c r="A92" s="16">
        <v>88</v>
      </c>
      <c r="B92" s="16">
        <v>192</v>
      </c>
      <c r="C92" s="17" t="s">
        <v>302</v>
      </c>
      <c r="D92" s="4" t="s">
        <v>55</v>
      </c>
      <c r="E92" s="4" t="s">
        <v>77</v>
      </c>
      <c r="F92" s="4" t="s">
        <v>134</v>
      </c>
      <c r="G92" s="4" t="s">
        <v>108</v>
      </c>
      <c r="H92" s="4" t="s">
        <v>152</v>
      </c>
      <c r="I92" s="18">
        <v>3.36</v>
      </c>
      <c r="J92" s="16">
        <v>3</v>
      </c>
      <c r="K92" s="16"/>
      <c r="L92" s="16">
        <v>4</v>
      </c>
      <c r="M92" s="16">
        <v>4</v>
      </c>
      <c r="N92" s="16">
        <v>1</v>
      </c>
      <c r="O92" s="16">
        <v>3</v>
      </c>
      <c r="P92" s="16">
        <v>4</v>
      </c>
      <c r="Q92" s="16">
        <v>3</v>
      </c>
      <c r="R92" s="4" t="s">
        <v>224</v>
      </c>
    </row>
    <row r="93" spans="1:18" ht="28.05" customHeight="1" x14ac:dyDescent="0.3">
      <c r="A93" s="16">
        <v>89</v>
      </c>
      <c r="B93" s="16">
        <v>193</v>
      </c>
      <c r="C93" s="17" t="s">
        <v>303</v>
      </c>
      <c r="D93" s="4" t="s">
        <v>55</v>
      </c>
      <c r="E93" s="4" t="s">
        <v>84</v>
      </c>
      <c r="F93" s="4" t="s">
        <v>134</v>
      </c>
      <c r="G93" s="4" t="s">
        <v>108</v>
      </c>
      <c r="H93" s="4" t="s">
        <v>152</v>
      </c>
      <c r="I93" s="18">
        <v>3.36</v>
      </c>
      <c r="J93" s="16">
        <v>3</v>
      </c>
      <c r="K93" s="16"/>
      <c r="L93" s="16">
        <v>4</v>
      </c>
      <c r="M93" s="16">
        <v>4</v>
      </c>
      <c r="N93" s="16">
        <v>1</v>
      </c>
      <c r="O93" s="16">
        <v>3</v>
      </c>
      <c r="P93" s="16">
        <v>4</v>
      </c>
      <c r="Q93" s="16">
        <v>3</v>
      </c>
      <c r="R93" s="4" t="s">
        <v>224</v>
      </c>
    </row>
    <row r="94" spans="1:18" ht="28.05" customHeight="1" x14ac:dyDescent="0.3">
      <c r="A94" s="16">
        <v>90</v>
      </c>
      <c r="B94" s="16">
        <v>194</v>
      </c>
      <c r="C94" s="17" t="s">
        <v>304</v>
      </c>
      <c r="D94" s="4" t="s">
        <v>50</v>
      </c>
      <c r="E94" s="4" t="s">
        <v>70</v>
      </c>
      <c r="F94" s="4" t="s">
        <v>112</v>
      </c>
      <c r="G94" s="4" t="s">
        <v>108</v>
      </c>
      <c r="H94" s="4" t="s">
        <v>122</v>
      </c>
      <c r="I94" s="18">
        <v>3.36</v>
      </c>
      <c r="J94" s="16">
        <v>3</v>
      </c>
      <c r="K94" s="16"/>
      <c r="L94" s="16">
        <v>3</v>
      </c>
      <c r="M94" s="16">
        <v>4</v>
      </c>
      <c r="N94" s="16">
        <v>4</v>
      </c>
      <c r="O94" s="16">
        <v>1</v>
      </c>
      <c r="P94" s="16">
        <v>3</v>
      </c>
      <c r="Q94" s="16">
        <v>3</v>
      </c>
      <c r="R94" s="4" t="s">
        <v>235</v>
      </c>
    </row>
    <row r="95" spans="1:18" ht="28.05" customHeight="1" x14ac:dyDescent="0.3">
      <c r="A95" s="16">
        <v>91</v>
      </c>
      <c r="B95" s="16">
        <v>195</v>
      </c>
      <c r="C95" s="17" t="s">
        <v>305</v>
      </c>
      <c r="D95" s="4" t="s">
        <v>50</v>
      </c>
      <c r="E95" s="4" t="s">
        <v>70</v>
      </c>
      <c r="F95" s="4" t="s">
        <v>112</v>
      </c>
      <c r="G95" s="4" t="s">
        <v>108</v>
      </c>
      <c r="H95" s="4" t="s">
        <v>122</v>
      </c>
      <c r="I95" s="18">
        <v>3.36</v>
      </c>
      <c r="J95" s="16">
        <v>3</v>
      </c>
      <c r="K95" s="16"/>
      <c r="L95" s="16">
        <v>3</v>
      </c>
      <c r="M95" s="16">
        <v>4</v>
      </c>
      <c r="N95" s="16">
        <v>4</v>
      </c>
      <c r="O95" s="16">
        <v>1</v>
      </c>
      <c r="P95" s="16">
        <v>3</v>
      </c>
      <c r="Q95" s="16">
        <v>3</v>
      </c>
      <c r="R95" s="4" t="s">
        <v>235</v>
      </c>
    </row>
    <row r="96" spans="1:18" ht="28.05" customHeight="1" x14ac:dyDescent="0.3">
      <c r="A96" s="16">
        <v>92</v>
      </c>
      <c r="B96" s="16">
        <v>196</v>
      </c>
      <c r="C96" s="17" t="s">
        <v>306</v>
      </c>
      <c r="D96" s="4" t="s">
        <v>55</v>
      </c>
      <c r="E96" s="4" t="s">
        <v>64</v>
      </c>
      <c r="F96" s="4" t="s">
        <v>134</v>
      </c>
      <c r="G96" s="4" t="s">
        <v>108</v>
      </c>
      <c r="H96" s="4" t="s">
        <v>109</v>
      </c>
      <c r="I96" s="18">
        <v>3.35</v>
      </c>
      <c r="J96" s="16">
        <v>3</v>
      </c>
      <c r="K96" s="16"/>
      <c r="L96" s="16">
        <v>4</v>
      </c>
      <c r="M96" s="16">
        <v>4</v>
      </c>
      <c r="N96" s="16">
        <v>1</v>
      </c>
      <c r="O96" s="16">
        <v>2</v>
      </c>
      <c r="P96" s="16">
        <v>3</v>
      </c>
      <c r="Q96" s="16">
        <v>3</v>
      </c>
      <c r="R96" s="4" t="s">
        <v>164</v>
      </c>
    </row>
    <row r="97" spans="1:18" ht="28.05" customHeight="1" x14ac:dyDescent="0.3">
      <c r="A97" s="16">
        <v>93</v>
      </c>
      <c r="B97" s="16">
        <v>197</v>
      </c>
      <c r="C97" s="17" t="s">
        <v>307</v>
      </c>
      <c r="D97" s="4" t="s">
        <v>54</v>
      </c>
      <c r="E97" s="4" t="s">
        <v>70</v>
      </c>
      <c r="F97" s="4" t="s">
        <v>112</v>
      </c>
      <c r="G97" s="4" t="s">
        <v>108</v>
      </c>
      <c r="H97" s="4" t="s">
        <v>152</v>
      </c>
      <c r="I97" s="18">
        <v>3.36</v>
      </c>
      <c r="J97" s="16">
        <v>3</v>
      </c>
      <c r="K97" s="16"/>
      <c r="L97" s="16">
        <v>3</v>
      </c>
      <c r="M97" s="16">
        <v>4</v>
      </c>
      <c r="N97" s="16">
        <v>4</v>
      </c>
      <c r="O97" s="16">
        <v>2</v>
      </c>
      <c r="P97" s="16">
        <v>3</v>
      </c>
      <c r="Q97" s="16">
        <v>4</v>
      </c>
      <c r="R97" s="4" t="s">
        <v>235</v>
      </c>
    </row>
    <row r="98" spans="1:18" ht="28.05" customHeight="1" x14ac:dyDescent="0.3">
      <c r="A98" s="16">
        <v>94</v>
      </c>
      <c r="B98" s="16">
        <v>199</v>
      </c>
      <c r="C98" s="17" t="s">
        <v>308</v>
      </c>
      <c r="D98" s="4" t="s">
        <v>54</v>
      </c>
      <c r="E98" s="4" t="s">
        <v>69</v>
      </c>
      <c r="F98" s="4" t="s">
        <v>112</v>
      </c>
      <c r="G98" s="4" t="s">
        <v>108</v>
      </c>
      <c r="H98" s="4" t="s">
        <v>152</v>
      </c>
      <c r="I98" s="18">
        <v>3.31</v>
      </c>
      <c r="J98" s="16">
        <v>3</v>
      </c>
      <c r="K98" s="16"/>
      <c r="L98" s="16">
        <v>3</v>
      </c>
      <c r="M98" s="16">
        <v>4</v>
      </c>
      <c r="N98" s="16">
        <v>3</v>
      </c>
      <c r="O98" s="16">
        <v>3</v>
      </c>
      <c r="P98" s="16">
        <v>3</v>
      </c>
      <c r="Q98" s="16">
        <v>2</v>
      </c>
      <c r="R98" s="4" t="s">
        <v>309</v>
      </c>
    </row>
    <row r="99" spans="1:18" ht="28.05" customHeight="1" x14ac:dyDescent="0.3">
      <c r="A99" s="16">
        <v>95</v>
      </c>
      <c r="B99" s="16">
        <v>200</v>
      </c>
      <c r="C99" s="17" t="s">
        <v>310</v>
      </c>
      <c r="D99" s="4" t="s">
        <v>54</v>
      </c>
      <c r="E99" s="4" t="s">
        <v>69</v>
      </c>
      <c r="F99" s="4" t="s">
        <v>112</v>
      </c>
      <c r="G99" s="4" t="s">
        <v>108</v>
      </c>
      <c r="H99" s="4" t="s">
        <v>152</v>
      </c>
      <c r="I99" s="18">
        <v>3.31</v>
      </c>
      <c r="J99" s="16">
        <v>3</v>
      </c>
      <c r="K99" s="16"/>
      <c r="L99" s="16">
        <v>4</v>
      </c>
      <c r="M99" s="16">
        <v>3</v>
      </c>
      <c r="N99" s="16">
        <v>1</v>
      </c>
      <c r="O99" s="16">
        <v>4</v>
      </c>
      <c r="P99" s="16">
        <v>4</v>
      </c>
      <c r="Q99" s="16">
        <v>2</v>
      </c>
      <c r="R99" s="4" t="s">
        <v>311</v>
      </c>
    </row>
    <row r="100" spans="1:18" ht="28.05" customHeight="1" x14ac:dyDescent="0.3">
      <c r="A100" s="16">
        <v>96</v>
      </c>
      <c r="B100" s="16">
        <v>204</v>
      </c>
      <c r="C100" s="17" t="s">
        <v>302</v>
      </c>
      <c r="D100" s="4" t="s">
        <v>56</v>
      </c>
      <c r="E100" s="4" t="s">
        <v>77</v>
      </c>
      <c r="F100" s="4" t="s">
        <v>134</v>
      </c>
      <c r="G100" s="4" t="s">
        <v>108</v>
      </c>
      <c r="H100" s="4" t="s">
        <v>152</v>
      </c>
      <c r="I100" s="18">
        <v>3.31</v>
      </c>
      <c r="J100" s="16">
        <v>3</v>
      </c>
      <c r="K100" s="16"/>
      <c r="L100" s="16">
        <v>4</v>
      </c>
      <c r="M100" s="16">
        <v>4</v>
      </c>
      <c r="N100" s="16">
        <v>1</v>
      </c>
      <c r="O100" s="16">
        <v>3</v>
      </c>
      <c r="P100" s="16">
        <v>4</v>
      </c>
      <c r="Q100" s="16">
        <v>3</v>
      </c>
      <c r="R100" s="4" t="s">
        <v>224</v>
      </c>
    </row>
    <row r="101" spans="1:18" ht="28.05" customHeight="1" x14ac:dyDescent="0.3">
      <c r="A101" s="16">
        <v>97</v>
      </c>
      <c r="B101" s="16">
        <v>205</v>
      </c>
      <c r="C101" s="17" t="s">
        <v>303</v>
      </c>
      <c r="D101" s="4" t="s">
        <v>56</v>
      </c>
      <c r="E101" s="4" t="s">
        <v>84</v>
      </c>
      <c r="F101" s="4" t="s">
        <v>134</v>
      </c>
      <c r="G101" s="4" t="s">
        <v>108</v>
      </c>
      <c r="H101" s="4" t="s">
        <v>152</v>
      </c>
      <c r="I101" s="18">
        <v>3.31</v>
      </c>
      <c r="J101" s="16">
        <v>3</v>
      </c>
      <c r="K101" s="16"/>
      <c r="L101" s="16">
        <v>4</v>
      </c>
      <c r="M101" s="16">
        <v>4</v>
      </c>
      <c r="N101" s="16">
        <v>1</v>
      </c>
      <c r="O101" s="16">
        <v>3</v>
      </c>
      <c r="P101" s="16">
        <v>4</v>
      </c>
      <c r="Q101" s="16">
        <v>3</v>
      </c>
      <c r="R101" s="4" t="s">
        <v>224</v>
      </c>
    </row>
    <row r="102" spans="1:18" ht="28.05" customHeight="1" x14ac:dyDescent="0.3">
      <c r="A102" s="16">
        <v>98</v>
      </c>
      <c r="B102" s="16">
        <v>208</v>
      </c>
      <c r="C102" s="17" t="s">
        <v>312</v>
      </c>
      <c r="D102" s="4" t="s">
        <v>50</v>
      </c>
      <c r="E102" s="4" t="s">
        <v>75</v>
      </c>
      <c r="F102" s="4" t="s">
        <v>112</v>
      </c>
      <c r="G102" s="4" t="s">
        <v>108</v>
      </c>
      <c r="H102" s="4" t="s">
        <v>122</v>
      </c>
      <c r="I102" s="18">
        <v>3.31</v>
      </c>
      <c r="J102" s="16">
        <v>3</v>
      </c>
      <c r="K102" s="16"/>
      <c r="L102" s="16">
        <v>3</v>
      </c>
      <c r="M102" s="16">
        <v>3</v>
      </c>
      <c r="N102" s="16">
        <v>4</v>
      </c>
      <c r="O102" s="16">
        <v>2</v>
      </c>
      <c r="P102" s="16">
        <v>3</v>
      </c>
      <c r="Q102" s="16">
        <v>3</v>
      </c>
      <c r="R102" s="4" t="s">
        <v>289</v>
      </c>
    </row>
    <row r="103" spans="1:18" ht="28.05" customHeight="1" x14ac:dyDescent="0.3">
      <c r="A103" s="16">
        <v>99</v>
      </c>
      <c r="B103" s="16">
        <v>209</v>
      </c>
      <c r="C103" s="17" t="s">
        <v>313</v>
      </c>
      <c r="D103" s="4" t="s">
        <v>50</v>
      </c>
      <c r="E103" s="4" t="s">
        <v>75</v>
      </c>
      <c r="F103" s="4" t="s">
        <v>107</v>
      </c>
      <c r="G103" s="4" t="s">
        <v>108</v>
      </c>
      <c r="H103" s="4" t="s">
        <v>122</v>
      </c>
      <c r="I103" s="18">
        <v>3.31</v>
      </c>
      <c r="J103" s="16">
        <v>3</v>
      </c>
      <c r="K103" s="16"/>
      <c r="L103" s="16">
        <v>3</v>
      </c>
      <c r="M103" s="16">
        <v>3</v>
      </c>
      <c r="N103" s="16">
        <v>4</v>
      </c>
      <c r="O103" s="16">
        <v>2</v>
      </c>
      <c r="P103" s="16">
        <v>3</v>
      </c>
      <c r="Q103" s="16">
        <v>3</v>
      </c>
      <c r="R103" s="4" t="s">
        <v>289</v>
      </c>
    </row>
    <row r="104" spans="1:18" ht="28.05" customHeight="1" x14ac:dyDescent="0.3">
      <c r="A104" s="16">
        <v>100</v>
      </c>
      <c r="B104" s="16">
        <v>210</v>
      </c>
      <c r="C104" s="17" t="s">
        <v>314</v>
      </c>
      <c r="D104" s="4" t="s">
        <v>50</v>
      </c>
      <c r="E104" s="4" t="s">
        <v>75</v>
      </c>
      <c r="F104" s="4" t="s">
        <v>112</v>
      </c>
      <c r="G104" s="4" t="s">
        <v>108</v>
      </c>
      <c r="H104" s="4" t="s">
        <v>122</v>
      </c>
      <c r="I104" s="18">
        <v>3.31</v>
      </c>
      <c r="J104" s="16">
        <v>3</v>
      </c>
      <c r="K104" s="16"/>
      <c r="L104" s="16">
        <v>3</v>
      </c>
      <c r="M104" s="16">
        <v>3</v>
      </c>
      <c r="N104" s="16">
        <v>4</v>
      </c>
      <c r="O104" s="16">
        <v>2</v>
      </c>
      <c r="P104" s="16">
        <v>3</v>
      </c>
      <c r="Q104" s="16">
        <v>3</v>
      </c>
      <c r="R104" s="4" t="s">
        <v>289</v>
      </c>
    </row>
    <row r="105" spans="1:18" ht="28.05" customHeight="1" x14ac:dyDescent="0.3">
      <c r="A105" s="16">
        <v>101</v>
      </c>
      <c r="B105" s="16">
        <v>212</v>
      </c>
      <c r="C105" s="17" t="s">
        <v>315</v>
      </c>
      <c r="D105" s="4" t="s">
        <v>50</v>
      </c>
      <c r="E105" s="4" t="s">
        <v>64</v>
      </c>
      <c r="F105" s="4" t="s">
        <v>112</v>
      </c>
      <c r="G105" s="4" t="s">
        <v>108</v>
      </c>
      <c r="H105" s="4" t="s">
        <v>131</v>
      </c>
      <c r="I105" s="18">
        <v>3.31</v>
      </c>
      <c r="J105" s="16">
        <v>3</v>
      </c>
      <c r="K105" s="16"/>
      <c r="L105" s="16">
        <v>3</v>
      </c>
      <c r="M105" s="16">
        <v>3</v>
      </c>
      <c r="N105" s="16">
        <v>4</v>
      </c>
      <c r="O105" s="16">
        <v>3</v>
      </c>
      <c r="P105" s="16">
        <v>2</v>
      </c>
      <c r="Q105" s="16">
        <v>3</v>
      </c>
      <c r="R105" s="4" t="s">
        <v>289</v>
      </c>
    </row>
    <row r="106" spans="1:18" ht="28.05" customHeight="1" x14ac:dyDescent="0.3">
      <c r="A106" s="16">
        <v>102</v>
      </c>
      <c r="B106" s="16">
        <v>213</v>
      </c>
      <c r="C106" s="17" t="s">
        <v>316</v>
      </c>
      <c r="D106" s="4" t="s">
        <v>50</v>
      </c>
      <c r="E106" s="4" t="s">
        <v>75</v>
      </c>
      <c r="F106" s="4" t="s">
        <v>107</v>
      </c>
      <c r="G106" s="4" t="s">
        <v>108</v>
      </c>
      <c r="H106" s="4" t="s">
        <v>122</v>
      </c>
      <c r="I106" s="18">
        <v>3.31</v>
      </c>
      <c r="J106" s="16">
        <v>3</v>
      </c>
      <c r="K106" s="16"/>
      <c r="L106" s="16">
        <v>3</v>
      </c>
      <c r="M106" s="16">
        <v>3</v>
      </c>
      <c r="N106" s="16">
        <v>4</v>
      </c>
      <c r="O106" s="16">
        <v>2</v>
      </c>
      <c r="P106" s="16">
        <v>3</v>
      </c>
      <c r="Q106" s="16">
        <v>3</v>
      </c>
      <c r="R106" s="4" t="s">
        <v>289</v>
      </c>
    </row>
    <row r="107" spans="1:18" ht="28.05" customHeight="1" x14ac:dyDescent="0.3">
      <c r="A107" s="16">
        <v>103</v>
      </c>
      <c r="B107" s="16">
        <v>216</v>
      </c>
      <c r="C107" s="17" t="s">
        <v>317</v>
      </c>
      <c r="D107" s="4" t="s">
        <v>50</v>
      </c>
      <c r="E107" s="4" t="s">
        <v>75</v>
      </c>
      <c r="F107" s="4" t="s">
        <v>107</v>
      </c>
      <c r="G107" s="4" t="s">
        <v>108</v>
      </c>
      <c r="H107" s="4" t="s">
        <v>152</v>
      </c>
      <c r="I107" s="18">
        <v>3.31</v>
      </c>
      <c r="J107" s="16">
        <v>3</v>
      </c>
      <c r="K107" s="16"/>
      <c r="L107" s="16">
        <v>3</v>
      </c>
      <c r="M107" s="16">
        <v>3</v>
      </c>
      <c r="N107" s="16">
        <v>4</v>
      </c>
      <c r="O107" s="16">
        <v>2</v>
      </c>
      <c r="P107" s="16">
        <v>3</v>
      </c>
      <c r="Q107" s="16">
        <v>3</v>
      </c>
      <c r="R107" s="4" t="s">
        <v>289</v>
      </c>
    </row>
    <row r="108" spans="1:18" ht="28.05" customHeight="1" x14ac:dyDescent="0.3">
      <c r="A108" s="16">
        <v>104</v>
      </c>
      <c r="B108" s="16">
        <v>217</v>
      </c>
      <c r="C108" s="17" t="s">
        <v>318</v>
      </c>
      <c r="D108" s="4" t="s">
        <v>56</v>
      </c>
      <c r="E108" s="4" t="s">
        <v>64</v>
      </c>
      <c r="F108" s="4" t="s">
        <v>134</v>
      </c>
      <c r="G108" s="4" t="s">
        <v>108</v>
      </c>
      <c r="H108" s="4" t="s">
        <v>109</v>
      </c>
      <c r="I108" s="18">
        <v>3.3</v>
      </c>
      <c r="J108" s="16">
        <v>3</v>
      </c>
      <c r="K108" s="16"/>
      <c r="L108" s="16">
        <v>4</v>
      </c>
      <c r="M108" s="16">
        <v>4</v>
      </c>
      <c r="N108" s="16">
        <v>1</v>
      </c>
      <c r="O108" s="16">
        <v>2</v>
      </c>
      <c r="P108" s="16">
        <v>3</v>
      </c>
      <c r="Q108" s="16">
        <v>3</v>
      </c>
      <c r="R108" s="4" t="s">
        <v>164</v>
      </c>
    </row>
    <row r="109" spans="1:18" ht="28.05" customHeight="1" x14ac:dyDescent="0.3">
      <c r="A109" s="16">
        <v>105</v>
      </c>
      <c r="B109" s="16">
        <v>219</v>
      </c>
      <c r="C109" s="17" t="s">
        <v>319</v>
      </c>
      <c r="D109" s="4" t="s">
        <v>50</v>
      </c>
      <c r="E109" s="4" t="s">
        <v>64</v>
      </c>
      <c r="F109" s="4" t="s">
        <v>134</v>
      </c>
      <c r="G109" s="4" t="s">
        <v>108</v>
      </c>
      <c r="H109" s="4" t="s">
        <v>131</v>
      </c>
      <c r="I109" s="18">
        <v>3.31</v>
      </c>
      <c r="J109" s="16">
        <v>3</v>
      </c>
      <c r="K109" s="16"/>
      <c r="L109" s="16">
        <v>3</v>
      </c>
      <c r="M109" s="16">
        <v>4</v>
      </c>
      <c r="N109" s="16">
        <v>3</v>
      </c>
      <c r="O109" s="16">
        <v>1</v>
      </c>
      <c r="P109" s="16">
        <v>4</v>
      </c>
      <c r="Q109" s="16">
        <v>5</v>
      </c>
      <c r="R109" s="4" t="s">
        <v>320</v>
      </c>
    </row>
    <row r="110" spans="1:18" ht="28.05" customHeight="1" x14ac:dyDescent="0.3">
      <c r="A110" s="16">
        <v>106</v>
      </c>
      <c r="B110" s="16">
        <v>220</v>
      </c>
      <c r="C110" s="17" t="s">
        <v>321</v>
      </c>
      <c r="D110" s="4" t="s">
        <v>52</v>
      </c>
      <c r="E110" s="4" t="s">
        <v>63</v>
      </c>
      <c r="F110" s="4" t="s">
        <v>112</v>
      </c>
      <c r="G110" s="4" t="s">
        <v>108</v>
      </c>
      <c r="H110" s="4" t="s">
        <v>131</v>
      </c>
      <c r="I110" s="18">
        <v>3.31</v>
      </c>
      <c r="J110" s="16">
        <v>3</v>
      </c>
      <c r="K110" s="16"/>
      <c r="L110" s="16">
        <v>3</v>
      </c>
      <c r="M110" s="16">
        <v>3</v>
      </c>
      <c r="N110" s="16">
        <v>3</v>
      </c>
      <c r="O110" s="16">
        <v>3</v>
      </c>
      <c r="P110" s="16">
        <v>4</v>
      </c>
      <c r="Q110" s="16">
        <v>5</v>
      </c>
      <c r="R110" s="4" t="s">
        <v>322</v>
      </c>
    </row>
    <row r="111" spans="1:18" ht="28.05" customHeight="1" x14ac:dyDescent="0.3">
      <c r="A111" s="16">
        <v>107</v>
      </c>
      <c r="B111" s="16">
        <v>221</v>
      </c>
      <c r="C111" s="17" t="s">
        <v>323</v>
      </c>
      <c r="D111" s="4" t="s">
        <v>52</v>
      </c>
      <c r="E111" s="4" t="s">
        <v>66</v>
      </c>
      <c r="F111" s="4" t="s">
        <v>119</v>
      </c>
      <c r="G111" s="4" t="s">
        <v>108</v>
      </c>
      <c r="H111" s="4" t="s">
        <v>131</v>
      </c>
      <c r="I111" s="18">
        <v>3.31</v>
      </c>
      <c r="J111" s="16">
        <v>3</v>
      </c>
      <c r="K111" s="16"/>
      <c r="L111" s="16">
        <v>3</v>
      </c>
      <c r="M111" s="16">
        <v>3</v>
      </c>
      <c r="N111" s="16">
        <v>3</v>
      </c>
      <c r="O111" s="16">
        <v>3</v>
      </c>
      <c r="P111" s="16">
        <v>4</v>
      </c>
      <c r="Q111" s="16">
        <v>5</v>
      </c>
      <c r="R111" s="4" t="s">
        <v>322</v>
      </c>
    </row>
    <row r="112" spans="1:18" ht="28.05" customHeight="1" x14ac:dyDescent="0.3">
      <c r="A112" s="16">
        <v>108</v>
      </c>
      <c r="B112" s="16">
        <v>222</v>
      </c>
      <c r="C112" s="17" t="s">
        <v>324</v>
      </c>
      <c r="D112" s="4" t="s">
        <v>48</v>
      </c>
      <c r="E112" s="4" t="s">
        <v>64</v>
      </c>
      <c r="F112" s="4" t="s">
        <v>134</v>
      </c>
      <c r="G112" s="4" t="s">
        <v>108</v>
      </c>
      <c r="H112" s="4" t="s">
        <v>131</v>
      </c>
      <c r="I112" s="18">
        <v>3.3</v>
      </c>
      <c r="J112" s="16">
        <v>3</v>
      </c>
      <c r="K112" s="16"/>
      <c r="L112" s="16">
        <v>3</v>
      </c>
      <c r="M112" s="16">
        <v>4</v>
      </c>
      <c r="N112" s="16">
        <v>2</v>
      </c>
      <c r="O112" s="16">
        <v>4</v>
      </c>
      <c r="P112" s="16">
        <v>2</v>
      </c>
      <c r="Q112" s="16">
        <v>4</v>
      </c>
      <c r="R112" s="4" t="s">
        <v>325</v>
      </c>
    </row>
    <row r="113" spans="1:18" ht="28.05" customHeight="1" x14ac:dyDescent="0.3">
      <c r="A113" s="19">
        <v>109</v>
      </c>
      <c r="B113" s="19">
        <v>61</v>
      </c>
      <c r="C113" s="20" t="s">
        <v>326</v>
      </c>
      <c r="D113" s="21" t="s">
        <v>51</v>
      </c>
      <c r="E113" s="21" t="s">
        <v>69</v>
      </c>
      <c r="F113" s="21" t="s">
        <v>171</v>
      </c>
      <c r="G113" s="21" t="s">
        <v>172</v>
      </c>
      <c r="H113" s="21" t="s">
        <v>152</v>
      </c>
      <c r="I113" s="22">
        <v>3.84</v>
      </c>
      <c r="J113" s="19">
        <v>3</v>
      </c>
      <c r="K113" s="19"/>
      <c r="L113" s="19">
        <v>4</v>
      </c>
      <c r="M113" s="19">
        <v>4</v>
      </c>
      <c r="N113" s="19">
        <v>2</v>
      </c>
      <c r="O113" s="19">
        <v>5</v>
      </c>
      <c r="P113" s="19">
        <v>3</v>
      </c>
      <c r="Q113" s="19">
        <v>3</v>
      </c>
      <c r="R113" s="21" t="s">
        <v>240</v>
      </c>
    </row>
    <row r="114" spans="1:18" ht="28.05" customHeight="1" x14ac:dyDescent="0.3">
      <c r="A114" s="19">
        <v>110</v>
      </c>
      <c r="B114" s="19">
        <v>65</v>
      </c>
      <c r="C114" s="20" t="s">
        <v>327</v>
      </c>
      <c r="D114" s="21" t="s">
        <v>52</v>
      </c>
      <c r="E114" s="21" t="s">
        <v>66</v>
      </c>
      <c r="F114" s="21" t="s">
        <v>171</v>
      </c>
      <c r="G114" s="21" t="s">
        <v>172</v>
      </c>
      <c r="H114" s="21" t="s">
        <v>152</v>
      </c>
      <c r="I114" s="22">
        <v>3.83</v>
      </c>
      <c r="J114" s="19">
        <v>3</v>
      </c>
      <c r="K114" s="19"/>
      <c r="L114" s="19">
        <v>4</v>
      </c>
      <c r="M114" s="19">
        <v>4</v>
      </c>
      <c r="N114" s="19">
        <v>3</v>
      </c>
      <c r="O114" s="19">
        <v>3</v>
      </c>
      <c r="P114" s="19">
        <v>4</v>
      </c>
      <c r="Q114" s="19">
        <v>4</v>
      </c>
      <c r="R114" s="21" t="s">
        <v>224</v>
      </c>
    </row>
    <row r="115" spans="1:18" ht="28.05" customHeight="1" x14ac:dyDescent="0.3">
      <c r="A115" s="19">
        <v>111</v>
      </c>
      <c r="B115" s="19">
        <v>66</v>
      </c>
      <c r="C115" s="20" t="s">
        <v>328</v>
      </c>
      <c r="D115" s="21" t="s">
        <v>52</v>
      </c>
      <c r="E115" s="21" t="s">
        <v>66</v>
      </c>
      <c r="F115" s="21" t="s">
        <v>171</v>
      </c>
      <c r="G115" s="21" t="s">
        <v>172</v>
      </c>
      <c r="H115" s="21" t="s">
        <v>152</v>
      </c>
      <c r="I115" s="22">
        <v>3.83</v>
      </c>
      <c r="J115" s="19">
        <v>3</v>
      </c>
      <c r="K115" s="19"/>
      <c r="L115" s="19">
        <v>4</v>
      </c>
      <c r="M115" s="19">
        <v>4</v>
      </c>
      <c r="N115" s="19">
        <v>3</v>
      </c>
      <c r="O115" s="19">
        <v>3</v>
      </c>
      <c r="P115" s="19">
        <v>4</v>
      </c>
      <c r="Q115" s="19">
        <v>4</v>
      </c>
      <c r="R115" s="21" t="s">
        <v>224</v>
      </c>
    </row>
    <row r="116" spans="1:18" ht="28.05" customHeight="1" x14ac:dyDescent="0.3">
      <c r="A116" s="19">
        <v>112</v>
      </c>
      <c r="B116" s="19">
        <v>69</v>
      </c>
      <c r="C116" s="20" t="s">
        <v>329</v>
      </c>
      <c r="D116" s="21" t="s">
        <v>54</v>
      </c>
      <c r="E116" s="21" t="s">
        <v>72</v>
      </c>
      <c r="F116" s="21" t="s">
        <v>171</v>
      </c>
      <c r="G116" s="21" t="s">
        <v>172</v>
      </c>
      <c r="H116" s="21" t="s">
        <v>152</v>
      </c>
      <c r="I116" s="22">
        <v>3.83</v>
      </c>
      <c r="J116" s="19">
        <v>3</v>
      </c>
      <c r="K116" s="19"/>
      <c r="L116" s="19">
        <v>3</v>
      </c>
      <c r="M116" s="19">
        <v>4</v>
      </c>
      <c r="N116" s="19">
        <v>4</v>
      </c>
      <c r="O116" s="19">
        <v>3</v>
      </c>
      <c r="P116" s="19">
        <v>5</v>
      </c>
      <c r="Q116" s="19">
        <v>5</v>
      </c>
      <c r="R116" s="21" t="s">
        <v>215</v>
      </c>
    </row>
    <row r="117" spans="1:18" ht="28.05" customHeight="1" x14ac:dyDescent="0.3">
      <c r="A117" s="19">
        <v>113</v>
      </c>
      <c r="B117" s="19">
        <v>76</v>
      </c>
      <c r="C117" s="20" t="s">
        <v>330</v>
      </c>
      <c r="D117" s="21" t="s">
        <v>52</v>
      </c>
      <c r="E117" s="21" t="s">
        <v>69</v>
      </c>
      <c r="F117" s="21" t="s">
        <v>171</v>
      </c>
      <c r="G117" s="21" t="s">
        <v>172</v>
      </c>
      <c r="H117" s="21" t="s">
        <v>152</v>
      </c>
      <c r="I117" s="22">
        <v>3.78</v>
      </c>
      <c r="J117" s="19">
        <v>3</v>
      </c>
      <c r="K117" s="19"/>
      <c r="L117" s="19">
        <v>4</v>
      </c>
      <c r="M117" s="19">
        <v>4</v>
      </c>
      <c r="N117" s="19">
        <v>2</v>
      </c>
      <c r="O117" s="19">
        <v>5</v>
      </c>
      <c r="P117" s="19">
        <v>3</v>
      </c>
      <c r="Q117" s="19">
        <v>3</v>
      </c>
      <c r="R117" s="21" t="s">
        <v>240</v>
      </c>
    </row>
    <row r="118" spans="1:18" ht="28.05" customHeight="1" x14ac:dyDescent="0.3">
      <c r="A118" s="19">
        <v>114</v>
      </c>
      <c r="B118" s="19">
        <v>81</v>
      </c>
      <c r="C118" s="20" t="s">
        <v>331</v>
      </c>
      <c r="D118" s="21" t="s">
        <v>53</v>
      </c>
      <c r="E118" s="21" t="s">
        <v>64</v>
      </c>
      <c r="F118" s="21" t="s">
        <v>171</v>
      </c>
      <c r="G118" s="21" t="s">
        <v>172</v>
      </c>
      <c r="H118" s="21" t="s">
        <v>152</v>
      </c>
      <c r="I118" s="22">
        <v>3.73</v>
      </c>
      <c r="J118" s="19">
        <v>3</v>
      </c>
      <c r="K118" s="19"/>
      <c r="L118" s="19">
        <v>3</v>
      </c>
      <c r="M118" s="19">
        <v>4</v>
      </c>
      <c r="N118" s="19">
        <v>4</v>
      </c>
      <c r="O118" s="19">
        <v>3</v>
      </c>
      <c r="P118" s="19">
        <v>4</v>
      </c>
      <c r="Q118" s="19">
        <v>2</v>
      </c>
      <c r="R118" s="21" t="s">
        <v>246</v>
      </c>
    </row>
    <row r="119" spans="1:18" ht="28.05" customHeight="1" x14ac:dyDescent="0.3">
      <c r="A119" s="19">
        <v>115</v>
      </c>
      <c r="B119" s="19">
        <v>85</v>
      </c>
      <c r="C119" s="20" t="s">
        <v>332</v>
      </c>
      <c r="D119" s="21" t="s">
        <v>53</v>
      </c>
      <c r="E119" s="21" t="s">
        <v>76</v>
      </c>
      <c r="F119" s="21" t="s">
        <v>171</v>
      </c>
      <c r="G119" s="21" t="s">
        <v>172</v>
      </c>
      <c r="H119" s="21" t="s">
        <v>109</v>
      </c>
      <c r="I119" s="22">
        <v>3.71</v>
      </c>
      <c r="J119" s="19">
        <v>3</v>
      </c>
      <c r="K119" s="19"/>
      <c r="L119" s="19">
        <v>4</v>
      </c>
      <c r="M119" s="19">
        <v>3</v>
      </c>
      <c r="N119" s="19">
        <v>2</v>
      </c>
      <c r="O119" s="19">
        <v>4</v>
      </c>
      <c r="P119" s="19">
        <v>3</v>
      </c>
      <c r="Q119" s="19">
        <v>2</v>
      </c>
      <c r="R119" s="21" t="s">
        <v>237</v>
      </c>
    </row>
    <row r="120" spans="1:18" ht="28.05" customHeight="1" x14ac:dyDescent="0.3">
      <c r="A120" s="19">
        <v>116</v>
      </c>
      <c r="B120" s="19">
        <v>91</v>
      </c>
      <c r="C120" s="20" t="s">
        <v>333</v>
      </c>
      <c r="D120" s="21" t="s">
        <v>54</v>
      </c>
      <c r="E120" s="21" t="s">
        <v>64</v>
      </c>
      <c r="F120" s="21" t="s">
        <v>171</v>
      </c>
      <c r="G120" s="21" t="s">
        <v>172</v>
      </c>
      <c r="H120" s="21" t="s">
        <v>109</v>
      </c>
      <c r="I120" s="22">
        <v>3.71</v>
      </c>
      <c r="J120" s="19">
        <v>3</v>
      </c>
      <c r="K120" s="19"/>
      <c r="L120" s="19">
        <v>4</v>
      </c>
      <c r="M120" s="19">
        <v>4</v>
      </c>
      <c r="N120" s="19">
        <v>2</v>
      </c>
      <c r="O120" s="19">
        <v>3</v>
      </c>
      <c r="P120" s="19">
        <v>3</v>
      </c>
      <c r="Q120" s="19">
        <v>3</v>
      </c>
      <c r="R120" s="21" t="s">
        <v>164</v>
      </c>
    </row>
    <row r="121" spans="1:18" ht="28.05" customHeight="1" x14ac:dyDescent="0.3">
      <c r="A121" s="19">
        <v>117</v>
      </c>
      <c r="B121" s="19">
        <v>92</v>
      </c>
      <c r="C121" s="20" t="s">
        <v>334</v>
      </c>
      <c r="D121" s="21" t="s">
        <v>53</v>
      </c>
      <c r="E121" s="21" t="s">
        <v>64</v>
      </c>
      <c r="F121" s="21" t="s">
        <v>184</v>
      </c>
      <c r="G121" s="21" t="s">
        <v>185</v>
      </c>
      <c r="H121" s="21" t="s">
        <v>109</v>
      </c>
      <c r="I121" s="22">
        <v>3.71</v>
      </c>
      <c r="J121" s="19">
        <v>3</v>
      </c>
      <c r="K121" s="19"/>
      <c r="L121" s="19">
        <v>4</v>
      </c>
      <c r="M121" s="19">
        <v>4</v>
      </c>
      <c r="N121" s="19">
        <v>1</v>
      </c>
      <c r="O121" s="19">
        <v>3</v>
      </c>
      <c r="P121" s="19">
        <v>4</v>
      </c>
      <c r="Q121" s="19">
        <v>3</v>
      </c>
      <c r="R121" s="21" t="s">
        <v>160</v>
      </c>
    </row>
    <row r="122" spans="1:18" ht="28.05" customHeight="1" x14ac:dyDescent="0.3">
      <c r="A122" s="19">
        <v>118</v>
      </c>
      <c r="B122" s="19">
        <v>93</v>
      </c>
      <c r="C122" s="20" t="s">
        <v>335</v>
      </c>
      <c r="D122" s="21" t="s">
        <v>51</v>
      </c>
      <c r="E122" s="21" t="s">
        <v>69</v>
      </c>
      <c r="F122" s="21" t="s">
        <v>171</v>
      </c>
      <c r="G122" s="21" t="s">
        <v>172</v>
      </c>
      <c r="H122" s="21" t="s">
        <v>152</v>
      </c>
      <c r="I122" s="22">
        <v>3.68</v>
      </c>
      <c r="J122" s="19">
        <v>3</v>
      </c>
      <c r="K122" s="19"/>
      <c r="L122" s="19">
        <v>4</v>
      </c>
      <c r="M122" s="19">
        <v>5</v>
      </c>
      <c r="N122" s="19">
        <v>1</v>
      </c>
      <c r="O122" s="19">
        <v>5</v>
      </c>
      <c r="P122" s="19">
        <v>2</v>
      </c>
      <c r="Q122" s="19">
        <v>2</v>
      </c>
      <c r="R122" s="21" t="s">
        <v>189</v>
      </c>
    </row>
    <row r="123" spans="1:18" ht="28.05" customHeight="1" x14ac:dyDescent="0.3">
      <c r="A123" s="19">
        <v>119</v>
      </c>
      <c r="B123" s="19">
        <v>96</v>
      </c>
      <c r="C123" s="20" t="s">
        <v>336</v>
      </c>
      <c r="D123" s="21" t="s">
        <v>50</v>
      </c>
      <c r="E123" s="21" t="s">
        <v>64</v>
      </c>
      <c r="F123" s="21" t="s">
        <v>171</v>
      </c>
      <c r="G123" s="21" t="s">
        <v>172</v>
      </c>
      <c r="H123" s="21" t="s">
        <v>152</v>
      </c>
      <c r="I123" s="22">
        <v>3.69</v>
      </c>
      <c r="J123" s="19">
        <v>3</v>
      </c>
      <c r="K123" s="19"/>
      <c r="L123" s="19">
        <v>3</v>
      </c>
      <c r="M123" s="19">
        <v>4</v>
      </c>
      <c r="N123" s="19">
        <v>4</v>
      </c>
      <c r="O123" s="19">
        <v>2</v>
      </c>
      <c r="P123" s="19">
        <v>4</v>
      </c>
      <c r="Q123" s="19">
        <v>3</v>
      </c>
      <c r="R123" s="21" t="s">
        <v>246</v>
      </c>
    </row>
    <row r="124" spans="1:18" ht="28.05" customHeight="1" x14ac:dyDescent="0.3">
      <c r="A124" s="19">
        <v>120</v>
      </c>
      <c r="B124" s="19">
        <v>99</v>
      </c>
      <c r="C124" s="20" t="s">
        <v>337</v>
      </c>
      <c r="D124" s="21" t="s">
        <v>52</v>
      </c>
      <c r="E124" s="21" t="s">
        <v>63</v>
      </c>
      <c r="F124" s="21" t="s">
        <v>184</v>
      </c>
      <c r="G124" s="21" t="s">
        <v>185</v>
      </c>
      <c r="H124" s="21" t="s">
        <v>109</v>
      </c>
      <c r="I124" s="22">
        <v>3.66</v>
      </c>
      <c r="J124" s="19">
        <v>3</v>
      </c>
      <c r="K124" s="19"/>
      <c r="L124" s="19">
        <v>4</v>
      </c>
      <c r="M124" s="19">
        <v>3</v>
      </c>
      <c r="N124" s="19">
        <v>1</v>
      </c>
      <c r="O124" s="19">
        <v>4</v>
      </c>
      <c r="P124" s="19">
        <v>4</v>
      </c>
      <c r="Q124" s="19">
        <v>2</v>
      </c>
      <c r="R124" s="21" t="s">
        <v>338</v>
      </c>
    </row>
    <row r="125" spans="1:18" ht="28.05" customHeight="1" x14ac:dyDescent="0.3">
      <c r="A125" s="19">
        <v>121</v>
      </c>
      <c r="B125" s="19">
        <v>105</v>
      </c>
      <c r="C125" s="20" t="s">
        <v>339</v>
      </c>
      <c r="D125" s="21" t="s">
        <v>54</v>
      </c>
      <c r="E125" s="21" t="s">
        <v>72</v>
      </c>
      <c r="F125" s="21" t="s">
        <v>184</v>
      </c>
      <c r="G125" s="21" t="s">
        <v>185</v>
      </c>
      <c r="H125" s="21" t="s">
        <v>109</v>
      </c>
      <c r="I125" s="22">
        <v>3.66</v>
      </c>
      <c r="J125" s="19">
        <v>3</v>
      </c>
      <c r="K125" s="19"/>
      <c r="L125" s="19">
        <v>4</v>
      </c>
      <c r="M125" s="19">
        <v>3</v>
      </c>
      <c r="N125" s="19">
        <v>2</v>
      </c>
      <c r="O125" s="19">
        <v>3</v>
      </c>
      <c r="P125" s="19">
        <v>4</v>
      </c>
      <c r="Q125" s="19">
        <v>3</v>
      </c>
      <c r="R125" s="21" t="s">
        <v>255</v>
      </c>
    </row>
    <row r="126" spans="1:18" ht="28.05" customHeight="1" x14ac:dyDescent="0.3">
      <c r="A126" s="19">
        <v>122</v>
      </c>
      <c r="B126" s="19">
        <v>108</v>
      </c>
      <c r="C126" s="20" t="s">
        <v>340</v>
      </c>
      <c r="D126" s="21" t="s">
        <v>54</v>
      </c>
      <c r="E126" s="21" t="s">
        <v>69</v>
      </c>
      <c r="F126" s="21" t="s">
        <v>171</v>
      </c>
      <c r="G126" s="21" t="s">
        <v>172</v>
      </c>
      <c r="H126" s="21" t="s">
        <v>152</v>
      </c>
      <c r="I126" s="22">
        <v>3.62</v>
      </c>
      <c r="J126" s="19">
        <v>3</v>
      </c>
      <c r="K126" s="19"/>
      <c r="L126" s="19">
        <v>4</v>
      </c>
      <c r="M126" s="19">
        <v>4</v>
      </c>
      <c r="N126" s="19">
        <v>3</v>
      </c>
      <c r="O126" s="19">
        <v>3</v>
      </c>
      <c r="P126" s="19">
        <v>3</v>
      </c>
      <c r="Q126" s="19">
        <v>2</v>
      </c>
      <c r="R126" s="21" t="s">
        <v>283</v>
      </c>
    </row>
    <row r="127" spans="1:18" ht="28.05" customHeight="1" x14ac:dyDescent="0.3">
      <c r="A127" s="19">
        <v>123</v>
      </c>
      <c r="B127" s="19">
        <v>110</v>
      </c>
      <c r="C127" s="20" t="s">
        <v>341</v>
      </c>
      <c r="D127" s="21" t="s">
        <v>54</v>
      </c>
      <c r="E127" s="21" t="s">
        <v>72</v>
      </c>
      <c r="F127" s="21" t="s">
        <v>171</v>
      </c>
      <c r="G127" s="21" t="s">
        <v>172</v>
      </c>
      <c r="H127" s="21" t="s">
        <v>152</v>
      </c>
      <c r="I127" s="22">
        <v>3.62</v>
      </c>
      <c r="J127" s="19">
        <v>3</v>
      </c>
      <c r="K127" s="19"/>
      <c r="L127" s="19">
        <v>4</v>
      </c>
      <c r="M127" s="19">
        <v>4</v>
      </c>
      <c r="N127" s="19">
        <v>3</v>
      </c>
      <c r="O127" s="19">
        <v>3</v>
      </c>
      <c r="P127" s="19">
        <v>3</v>
      </c>
      <c r="Q127" s="19">
        <v>3</v>
      </c>
      <c r="R127" s="21" t="s">
        <v>283</v>
      </c>
    </row>
    <row r="128" spans="1:18" ht="28.05" customHeight="1" x14ac:dyDescent="0.3">
      <c r="A128" s="19">
        <v>124</v>
      </c>
      <c r="B128" s="19">
        <v>112</v>
      </c>
      <c r="C128" s="20" t="s">
        <v>342</v>
      </c>
      <c r="D128" s="21" t="s">
        <v>53</v>
      </c>
      <c r="E128" s="21" t="s">
        <v>77</v>
      </c>
      <c r="F128" s="21" t="s">
        <v>171</v>
      </c>
      <c r="G128" s="21" t="s">
        <v>172</v>
      </c>
      <c r="H128" s="21" t="s">
        <v>122</v>
      </c>
      <c r="I128" s="22">
        <v>3.62</v>
      </c>
      <c r="J128" s="19">
        <v>3</v>
      </c>
      <c r="K128" s="19"/>
      <c r="L128" s="19">
        <v>4</v>
      </c>
      <c r="M128" s="19">
        <v>5</v>
      </c>
      <c r="N128" s="19">
        <v>1</v>
      </c>
      <c r="O128" s="19">
        <v>3</v>
      </c>
      <c r="P128" s="19">
        <v>4</v>
      </c>
      <c r="Q128" s="19">
        <v>4</v>
      </c>
      <c r="R128" s="21" t="s">
        <v>142</v>
      </c>
    </row>
    <row r="129" spans="1:18" ht="28.05" customHeight="1" x14ac:dyDescent="0.3">
      <c r="A129" s="19">
        <v>125</v>
      </c>
      <c r="B129" s="19">
        <v>113</v>
      </c>
      <c r="C129" s="20" t="s">
        <v>343</v>
      </c>
      <c r="D129" s="21" t="s">
        <v>51</v>
      </c>
      <c r="E129" s="21" t="s">
        <v>77</v>
      </c>
      <c r="F129" s="21" t="s">
        <v>171</v>
      </c>
      <c r="G129" s="21" t="s">
        <v>172</v>
      </c>
      <c r="H129" s="21" t="s">
        <v>152</v>
      </c>
      <c r="I129" s="22">
        <v>3.57</v>
      </c>
      <c r="J129" s="19">
        <v>3</v>
      </c>
      <c r="K129" s="19"/>
      <c r="L129" s="19">
        <v>4</v>
      </c>
      <c r="M129" s="19">
        <v>5</v>
      </c>
      <c r="N129" s="19">
        <v>2</v>
      </c>
      <c r="O129" s="19">
        <v>2</v>
      </c>
      <c r="P129" s="19">
        <v>3</v>
      </c>
      <c r="Q129" s="19">
        <v>1</v>
      </c>
      <c r="R129" s="21" t="s">
        <v>291</v>
      </c>
    </row>
    <row r="130" spans="1:18" ht="28.05" customHeight="1" x14ac:dyDescent="0.3">
      <c r="A130" s="19">
        <v>126</v>
      </c>
      <c r="B130" s="19">
        <v>117</v>
      </c>
      <c r="C130" s="20" t="s">
        <v>344</v>
      </c>
      <c r="D130" s="21" t="s">
        <v>50</v>
      </c>
      <c r="E130" s="21" t="s">
        <v>345</v>
      </c>
      <c r="F130" s="21" t="s">
        <v>171</v>
      </c>
      <c r="G130" s="21" t="s">
        <v>172</v>
      </c>
      <c r="H130" s="21" t="s">
        <v>109</v>
      </c>
      <c r="I130" s="22">
        <v>3.55</v>
      </c>
      <c r="J130" s="19">
        <v>3</v>
      </c>
      <c r="K130" s="19"/>
      <c r="L130" s="19">
        <v>3</v>
      </c>
      <c r="M130" s="19">
        <v>3</v>
      </c>
      <c r="N130" s="19">
        <v>3</v>
      </c>
      <c r="O130" s="19">
        <v>4</v>
      </c>
      <c r="P130" s="19">
        <v>2</v>
      </c>
      <c r="Q130" s="19">
        <v>2</v>
      </c>
      <c r="R130" s="21" t="s">
        <v>346</v>
      </c>
    </row>
    <row r="131" spans="1:18" ht="28.05" customHeight="1" x14ac:dyDescent="0.3">
      <c r="A131" s="19">
        <v>127</v>
      </c>
      <c r="B131" s="19">
        <v>122</v>
      </c>
      <c r="C131" s="20" t="s">
        <v>347</v>
      </c>
      <c r="D131" s="21" t="s">
        <v>50</v>
      </c>
      <c r="E131" s="21" t="s">
        <v>65</v>
      </c>
      <c r="F131" s="21" t="s">
        <v>171</v>
      </c>
      <c r="G131" s="21" t="s">
        <v>172</v>
      </c>
      <c r="H131" s="21" t="s">
        <v>109</v>
      </c>
      <c r="I131" s="22">
        <v>3.55</v>
      </c>
      <c r="J131" s="19">
        <v>3</v>
      </c>
      <c r="K131" s="19"/>
      <c r="L131" s="19">
        <v>3</v>
      </c>
      <c r="M131" s="19">
        <v>3</v>
      </c>
      <c r="N131" s="19">
        <v>3</v>
      </c>
      <c r="O131" s="19">
        <v>3</v>
      </c>
      <c r="P131" s="19">
        <v>3</v>
      </c>
      <c r="Q131" s="19">
        <v>3</v>
      </c>
      <c r="R131" s="21" t="s">
        <v>348</v>
      </c>
    </row>
    <row r="132" spans="1:18" ht="28.05" customHeight="1" x14ac:dyDescent="0.3">
      <c r="A132" s="19">
        <v>128</v>
      </c>
      <c r="B132" s="19">
        <v>124</v>
      </c>
      <c r="C132" s="20" t="s">
        <v>349</v>
      </c>
      <c r="D132" s="21" t="s">
        <v>54</v>
      </c>
      <c r="E132" s="21" t="s">
        <v>66</v>
      </c>
      <c r="F132" s="21" t="s">
        <v>171</v>
      </c>
      <c r="G132" s="21" t="s">
        <v>172</v>
      </c>
      <c r="H132" s="21" t="s">
        <v>152</v>
      </c>
      <c r="I132" s="22">
        <v>3.52</v>
      </c>
      <c r="J132" s="19">
        <v>3</v>
      </c>
      <c r="K132" s="19"/>
      <c r="L132" s="19">
        <v>3</v>
      </c>
      <c r="M132" s="19">
        <v>4</v>
      </c>
      <c r="N132" s="19">
        <v>4</v>
      </c>
      <c r="O132" s="19">
        <v>2</v>
      </c>
      <c r="P132" s="19">
        <v>4</v>
      </c>
      <c r="Q132" s="19">
        <v>2</v>
      </c>
      <c r="R132" s="21" t="s">
        <v>246</v>
      </c>
    </row>
    <row r="133" spans="1:18" ht="28.05" customHeight="1" x14ac:dyDescent="0.3">
      <c r="A133" s="19">
        <v>129</v>
      </c>
      <c r="B133" s="19">
        <v>125</v>
      </c>
      <c r="C133" s="20" t="s">
        <v>350</v>
      </c>
      <c r="D133" s="21" t="s">
        <v>54</v>
      </c>
      <c r="E133" s="21" t="s">
        <v>63</v>
      </c>
      <c r="F133" s="21" t="s">
        <v>184</v>
      </c>
      <c r="G133" s="21" t="s">
        <v>185</v>
      </c>
      <c r="H133" s="21" t="s">
        <v>109</v>
      </c>
      <c r="I133" s="22">
        <v>3.51</v>
      </c>
      <c r="J133" s="19">
        <v>3</v>
      </c>
      <c r="K133" s="19"/>
      <c r="L133" s="19">
        <v>4</v>
      </c>
      <c r="M133" s="19">
        <v>3</v>
      </c>
      <c r="N133" s="19">
        <v>2</v>
      </c>
      <c r="O133" s="19">
        <v>3</v>
      </c>
      <c r="P133" s="19">
        <v>3</v>
      </c>
      <c r="Q133" s="19">
        <v>2</v>
      </c>
      <c r="R133" s="21" t="s">
        <v>351</v>
      </c>
    </row>
    <row r="134" spans="1:18" ht="28.05" customHeight="1" x14ac:dyDescent="0.3">
      <c r="A134" s="19">
        <v>130</v>
      </c>
      <c r="B134" s="19">
        <v>126</v>
      </c>
      <c r="C134" s="20" t="s">
        <v>352</v>
      </c>
      <c r="D134" s="21" t="s">
        <v>54</v>
      </c>
      <c r="E134" s="21" t="s">
        <v>72</v>
      </c>
      <c r="F134" s="21" t="s">
        <v>171</v>
      </c>
      <c r="G134" s="21" t="s">
        <v>172</v>
      </c>
      <c r="H134" s="21" t="s">
        <v>109</v>
      </c>
      <c r="I134" s="22">
        <v>3.51</v>
      </c>
      <c r="J134" s="19">
        <v>3</v>
      </c>
      <c r="K134" s="19"/>
      <c r="L134" s="19">
        <v>4</v>
      </c>
      <c r="M134" s="19">
        <v>3</v>
      </c>
      <c r="N134" s="19">
        <v>2</v>
      </c>
      <c r="O134" s="19">
        <v>3</v>
      </c>
      <c r="P134" s="19">
        <v>3</v>
      </c>
      <c r="Q134" s="19">
        <v>2</v>
      </c>
      <c r="R134" s="21" t="s">
        <v>351</v>
      </c>
    </row>
    <row r="135" spans="1:18" ht="28.05" customHeight="1" x14ac:dyDescent="0.3">
      <c r="A135" s="19">
        <v>131</v>
      </c>
      <c r="B135" s="19">
        <v>132</v>
      </c>
      <c r="C135" s="20" t="s">
        <v>353</v>
      </c>
      <c r="D135" s="21" t="s">
        <v>54</v>
      </c>
      <c r="E135" s="21" t="s">
        <v>72</v>
      </c>
      <c r="F135" s="21" t="s">
        <v>171</v>
      </c>
      <c r="G135" s="21" t="s">
        <v>172</v>
      </c>
      <c r="H135" s="21" t="s">
        <v>152</v>
      </c>
      <c r="I135" s="22">
        <v>3.52</v>
      </c>
      <c r="J135" s="19">
        <v>3</v>
      </c>
      <c r="K135" s="19"/>
      <c r="L135" s="19">
        <v>4</v>
      </c>
      <c r="M135" s="19">
        <v>3</v>
      </c>
      <c r="N135" s="19">
        <v>2</v>
      </c>
      <c r="O135" s="19">
        <v>5</v>
      </c>
      <c r="P135" s="19">
        <v>3</v>
      </c>
      <c r="Q135" s="19">
        <v>3</v>
      </c>
      <c r="R135" s="21" t="s">
        <v>354</v>
      </c>
    </row>
    <row r="136" spans="1:18" ht="28.05" customHeight="1" x14ac:dyDescent="0.3">
      <c r="A136" s="19">
        <v>132</v>
      </c>
      <c r="B136" s="19">
        <v>133</v>
      </c>
      <c r="C136" s="20" t="s">
        <v>355</v>
      </c>
      <c r="D136" s="21" t="s">
        <v>52</v>
      </c>
      <c r="E136" s="21" t="s">
        <v>66</v>
      </c>
      <c r="F136" s="21" t="s">
        <v>171</v>
      </c>
      <c r="G136" s="21" t="s">
        <v>172</v>
      </c>
      <c r="H136" s="21" t="s">
        <v>122</v>
      </c>
      <c r="I136" s="22">
        <v>3.52</v>
      </c>
      <c r="J136" s="19">
        <v>3</v>
      </c>
      <c r="K136" s="19"/>
      <c r="L136" s="19">
        <v>4</v>
      </c>
      <c r="M136" s="19">
        <v>4</v>
      </c>
      <c r="N136" s="19">
        <v>3</v>
      </c>
      <c r="O136" s="19">
        <v>2</v>
      </c>
      <c r="P136" s="19">
        <v>3</v>
      </c>
      <c r="Q136" s="19">
        <v>3</v>
      </c>
      <c r="R136" s="21" t="s">
        <v>283</v>
      </c>
    </row>
    <row r="137" spans="1:18" ht="28.05" customHeight="1" x14ac:dyDescent="0.3">
      <c r="A137" s="19">
        <v>133</v>
      </c>
      <c r="B137" s="19">
        <v>134</v>
      </c>
      <c r="C137" s="20" t="s">
        <v>356</v>
      </c>
      <c r="D137" s="21" t="s">
        <v>52</v>
      </c>
      <c r="E137" s="21" t="s">
        <v>66</v>
      </c>
      <c r="F137" s="21" t="s">
        <v>171</v>
      </c>
      <c r="G137" s="21" t="s">
        <v>172</v>
      </c>
      <c r="H137" s="21" t="s">
        <v>122</v>
      </c>
      <c r="I137" s="22">
        <v>3.52</v>
      </c>
      <c r="J137" s="19">
        <v>3</v>
      </c>
      <c r="K137" s="19"/>
      <c r="L137" s="19">
        <v>4</v>
      </c>
      <c r="M137" s="19">
        <v>5</v>
      </c>
      <c r="N137" s="19">
        <v>2</v>
      </c>
      <c r="O137" s="19">
        <v>2</v>
      </c>
      <c r="P137" s="19">
        <v>3</v>
      </c>
      <c r="Q137" s="19">
        <v>3</v>
      </c>
      <c r="R137" s="21" t="s">
        <v>291</v>
      </c>
    </row>
    <row r="138" spans="1:18" ht="28.05" customHeight="1" x14ac:dyDescent="0.3">
      <c r="A138" s="19">
        <v>134</v>
      </c>
      <c r="B138" s="19">
        <v>144</v>
      </c>
      <c r="C138" s="20" t="s">
        <v>357</v>
      </c>
      <c r="D138" s="21" t="s">
        <v>52</v>
      </c>
      <c r="E138" s="21" t="s">
        <v>66</v>
      </c>
      <c r="F138" s="21" t="s">
        <v>184</v>
      </c>
      <c r="G138" s="21" t="s">
        <v>185</v>
      </c>
      <c r="H138" s="21" t="s">
        <v>122</v>
      </c>
      <c r="I138" s="22">
        <v>3.52</v>
      </c>
      <c r="J138" s="19">
        <v>3</v>
      </c>
      <c r="K138" s="19"/>
      <c r="L138" s="19">
        <v>4</v>
      </c>
      <c r="M138" s="19">
        <v>4</v>
      </c>
      <c r="N138" s="19">
        <v>3</v>
      </c>
      <c r="O138" s="19">
        <v>2</v>
      </c>
      <c r="P138" s="19">
        <v>3</v>
      </c>
      <c r="Q138" s="19">
        <v>4</v>
      </c>
      <c r="R138" s="21" t="s">
        <v>283</v>
      </c>
    </row>
    <row r="139" spans="1:18" ht="28.05" customHeight="1" x14ac:dyDescent="0.3">
      <c r="A139" s="19">
        <v>135</v>
      </c>
      <c r="B139" s="19">
        <v>145</v>
      </c>
      <c r="C139" s="20" t="s">
        <v>358</v>
      </c>
      <c r="D139" s="21" t="s">
        <v>50</v>
      </c>
      <c r="E139" s="21" t="s">
        <v>73</v>
      </c>
      <c r="F139" s="21" t="s">
        <v>171</v>
      </c>
      <c r="G139" s="21" t="s">
        <v>172</v>
      </c>
      <c r="H139" s="21" t="s">
        <v>359</v>
      </c>
      <c r="I139" s="22">
        <v>3.49</v>
      </c>
      <c r="J139" s="19">
        <v>3</v>
      </c>
      <c r="K139" s="19"/>
      <c r="L139" s="19">
        <v>3</v>
      </c>
      <c r="M139" s="19">
        <v>3</v>
      </c>
      <c r="N139" s="19">
        <v>5</v>
      </c>
      <c r="O139" s="19">
        <v>4</v>
      </c>
      <c r="P139" s="19">
        <v>2</v>
      </c>
      <c r="Q139" s="19">
        <v>2</v>
      </c>
      <c r="R139" s="21" t="s">
        <v>360</v>
      </c>
    </row>
    <row r="140" spans="1:18" ht="28.05" customHeight="1" x14ac:dyDescent="0.3">
      <c r="A140" s="19">
        <v>136</v>
      </c>
      <c r="B140" s="19">
        <v>159</v>
      </c>
      <c r="C140" s="20" t="s">
        <v>361</v>
      </c>
      <c r="D140" s="21" t="s">
        <v>52</v>
      </c>
      <c r="E140" s="21" t="s">
        <v>64</v>
      </c>
      <c r="F140" s="21" t="s">
        <v>171</v>
      </c>
      <c r="G140" s="21" t="s">
        <v>172</v>
      </c>
      <c r="H140" s="21" t="s">
        <v>109</v>
      </c>
      <c r="I140" s="22">
        <v>3.45</v>
      </c>
      <c r="J140" s="19">
        <v>3</v>
      </c>
      <c r="K140" s="19"/>
      <c r="L140" s="19">
        <v>4</v>
      </c>
      <c r="M140" s="19">
        <v>4</v>
      </c>
      <c r="N140" s="19">
        <v>2</v>
      </c>
      <c r="O140" s="19">
        <v>2</v>
      </c>
      <c r="P140" s="19">
        <v>2</v>
      </c>
      <c r="Q140" s="19">
        <v>2</v>
      </c>
      <c r="R140" s="21" t="s">
        <v>164</v>
      </c>
    </row>
    <row r="141" spans="1:18" ht="28.05" customHeight="1" x14ac:dyDescent="0.3">
      <c r="A141" s="19">
        <v>137</v>
      </c>
      <c r="B141" s="19">
        <v>168</v>
      </c>
      <c r="C141" s="20" t="s">
        <v>362</v>
      </c>
      <c r="D141" s="21" t="s">
        <v>53</v>
      </c>
      <c r="E141" s="21" t="s">
        <v>68</v>
      </c>
      <c r="F141" s="21" t="s">
        <v>171</v>
      </c>
      <c r="G141" s="21" t="s">
        <v>172</v>
      </c>
      <c r="H141" s="21" t="s">
        <v>109</v>
      </c>
      <c r="I141" s="22">
        <v>3.4</v>
      </c>
      <c r="J141" s="19">
        <v>3</v>
      </c>
      <c r="K141" s="19"/>
      <c r="L141" s="19">
        <v>4</v>
      </c>
      <c r="M141" s="19">
        <v>4</v>
      </c>
      <c r="N141" s="19">
        <v>1</v>
      </c>
      <c r="O141" s="19">
        <v>2</v>
      </c>
      <c r="P141" s="19">
        <v>3</v>
      </c>
      <c r="Q141" s="19">
        <v>2</v>
      </c>
      <c r="R141" s="21" t="s">
        <v>164</v>
      </c>
    </row>
    <row r="142" spans="1:18" ht="28.05" customHeight="1" x14ac:dyDescent="0.3">
      <c r="A142" s="19">
        <v>138</v>
      </c>
      <c r="B142" s="19">
        <v>169</v>
      </c>
      <c r="C142" s="20" t="s">
        <v>363</v>
      </c>
      <c r="D142" s="21" t="s">
        <v>51</v>
      </c>
      <c r="E142" s="21" t="s">
        <v>81</v>
      </c>
      <c r="F142" s="21" t="s">
        <v>171</v>
      </c>
      <c r="G142" s="21" t="s">
        <v>172</v>
      </c>
      <c r="H142" s="21" t="s">
        <v>122</v>
      </c>
      <c r="I142" s="22">
        <v>3.41</v>
      </c>
      <c r="J142" s="19">
        <v>3</v>
      </c>
      <c r="K142" s="19"/>
      <c r="L142" s="19">
        <v>3</v>
      </c>
      <c r="M142" s="19">
        <v>4</v>
      </c>
      <c r="N142" s="19">
        <v>3</v>
      </c>
      <c r="O142" s="19">
        <v>3</v>
      </c>
      <c r="P142" s="19">
        <v>3</v>
      </c>
      <c r="Q142" s="19">
        <v>3</v>
      </c>
      <c r="R142" s="21" t="s">
        <v>309</v>
      </c>
    </row>
    <row r="143" spans="1:18" ht="28.05" customHeight="1" x14ac:dyDescent="0.3">
      <c r="A143" s="19">
        <v>139</v>
      </c>
      <c r="B143" s="19">
        <v>170</v>
      </c>
      <c r="C143" s="20" t="s">
        <v>364</v>
      </c>
      <c r="D143" s="21" t="s">
        <v>51</v>
      </c>
      <c r="E143" s="21" t="s">
        <v>86</v>
      </c>
      <c r="F143" s="21" t="s">
        <v>171</v>
      </c>
      <c r="G143" s="21" t="s">
        <v>172</v>
      </c>
      <c r="H143" s="21" t="s">
        <v>122</v>
      </c>
      <c r="I143" s="22">
        <v>3.41</v>
      </c>
      <c r="J143" s="19">
        <v>3</v>
      </c>
      <c r="K143" s="19"/>
      <c r="L143" s="19">
        <v>3</v>
      </c>
      <c r="M143" s="19">
        <v>4</v>
      </c>
      <c r="N143" s="19">
        <v>3</v>
      </c>
      <c r="O143" s="19">
        <v>3</v>
      </c>
      <c r="P143" s="19">
        <v>3</v>
      </c>
      <c r="Q143" s="19">
        <v>3</v>
      </c>
      <c r="R143" s="21" t="s">
        <v>309</v>
      </c>
    </row>
    <row r="144" spans="1:18" ht="28.05" customHeight="1" x14ac:dyDescent="0.3">
      <c r="A144" s="19">
        <v>140</v>
      </c>
      <c r="B144" s="19">
        <v>171</v>
      </c>
      <c r="C144" s="20" t="s">
        <v>365</v>
      </c>
      <c r="D144" s="21" t="s">
        <v>51</v>
      </c>
      <c r="E144" s="21" t="s">
        <v>86</v>
      </c>
      <c r="F144" s="21" t="s">
        <v>171</v>
      </c>
      <c r="G144" s="21" t="s">
        <v>172</v>
      </c>
      <c r="H144" s="21" t="s">
        <v>122</v>
      </c>
      <c r="I144" s="22">
        <v>3.41</v>
      </c>
      <c r="J144" s="19">
        <v>3</v>
      </c>
      <c r="K144" s="19"/>
      <c r="L144" s="19">
        <v>3</v>
      </c>
      <c r="M144" s="19">
        <v>4</v>
      </c>
      <c r="N144" s="19">
        <v>3</v>
      </c>
      <c r="O144" s="19">
        <v>3</v>
      </c>
      <c r="P144" s="19">
        <v>3</v>
      </c>
      <c r="Q144" s="19">
        <v>3</v>
      </c>
      <c r="R144" s="21" t="s">
        <v>309</v>
      </c>
    </row>
    <row r="145" spans="1:18" ht="28.05" customHeight="1" x14ac:dyDescent="0.3">
      <c r="A145" s="19">
        <v>141</v>
      </c>
      <c r="B145" s="19">
        <v>172</v>
      </c>
      <c r="C145" s="20" t="s">
        <v>366</v>
      </c>
      <c r="D145" s="21" t="s">
        <v>51</v>
      </c>
      <c r="E145" s="21" t="s">
        <v>69</v>
      </c>
      <c r="F145" s="21" t="s">
        <v>171</v>
      </c>
      <c r="G145" s="21" t="s">
        <v>172</v>
      </c>
      <c r="H145" s="21" t="s">
        <v>122</v>
      </c>
      <c r="I145" s="22">
        <v>3.41</v>
      </c>
      <c r="J145" s="19">
        <v>3</v>
      </c>
      <c r="K145" s="19"/>
      <c r="L145" s="19">
        <v>3</v>
      </c>
      <c r="M145" s="19">
        <v>4</v>
      </c>
      <c r="N145" s="19">
        <v>3</v>
      </c>
      <c r="O145" s="19">
        <v>3</v>
      </c>
      <c r="P145" s="19">
        <v>3</v>
      </c>
      <c r="Q145" s="19">
        <v>3</v>
      </c>
      <c r="R145" s="21" t="s">
        <v>309</v>
      </c>
    </row>
    <row r="146" spans="1:18" ht="28.05" customHeight="1" x14ac:dyDescent="0.3">
      <c r="A146" s="19">
        <v>142</v>
      </c>
      <c r="B146" s="19">
        <v>173</v>
      </c>
      <c r="C146" s="20" t="s">
        <v>367</v>
      </c>
      <c r="D146" s="21" t="s">
        <v>51</v>
      </c>
      <c r="E146" s="21" t="s">
        <v>81</v>
      </c>
      <c r="F146" s="21" t="s">
        <v>171</v>
      </c>
      <c r="G146" s="21" t="s">
        <v>172</v>
      </c>
      <c r="H146" s="21" t="s">
        <v>122</v>
      </c>
      <c r="I146" s="22">
        <v>3.41</v>
      </c>
      <c r="J146" s="19">
        <v>3</v>
      </c>
      <c r="K146" s="19"/>
      <c r="L146" s="19">
        <v>3</v>
      </c>
      <c r="M146" s="19">
        <v>4</v>
      </c>
      <c r="N146" s="19">
        <v>3</v>
      </c>
      <c r="O146" s="19">
        <v>3</v>
      </c>
      <c r="P146" s="19">
        <v>3</v>
      </c>
      <c r="Q146" s="19">
        <v>3</v>
      </c>
      <c r="R146" s="21" t="s">
        <v>309</v>
      </c>
    </row>
    <row r="147" spans="1:18" ht="28.05" customHeight="1" x14ac:dyDescent="0.3">
      <c r="A147" s="19">
        <v>143</v>
      </c>
      <c r="B147" s="19">
        <v>174</v>
      </c>
      <c r="C147" s="20" t="s">
        <v>368</v>
      </c>
      <c r="D147" s="21" t="s">
        <v>51</v>
      </c>
      <c r="E147" s="21" t="s">
        <v>81</v>
      </c>
      <c r="F147" s="21" t="s">
        <v>171</v>
      </c>
      <c r="G147" s="21" t="s">
        <v>172</v>
      </c>
      <c r="H147" s="21" t="s">
        <v>122</v>
      </c>
      <c r="I147" s="22">
        <v>3.41</v>
      </c>
      <c r="J147" s="19">
        <v>3</v>
      </c>
      <c r="K147" s="19"/>
      <c r="L147" s="19">
        <v>3</v>
      </c>
      <c r="M147" s="19">
        <v>4</v>
      </c>
      <c r="N147" s="19">
        <v>3</v>
      </c>
      <c r="O147" s="19">
        <v>3</v>
      </c>
      <c r="P147" s="19">
        <v>3</v>
      </c>
      <c r="Q147" s="19">
        <v>3</v>
      </c>
      <c r="R147" s="21" t="s">
        <v>309</v>
      </c>
    </row>
    <row r="148" spans="1:18" ht="28.05" customHeight="1" x14ac:dyDescent="0.3">
      <c r="A148" s="19">
        <v>144</v>
      </c>
      <c r="B148" s="19">
        <v>175</v>
      </c>
      <c r="C148" s="20" t="s">
        <v>369</v>
      </c>
      <c r="D148" s="21" t="s">
        <v>51</v>
      </c>
      <c r="E148" s="21" t="s">
        <v>81</v>
      </c>
      <c r="F148" s="21" t="s">
        <v>171</v>
      </c>
      <c r="G148" s="21" t="s">
        <v>172</v>
      </c>
      <c r="H148" s="21" t="s">
        <v>122</v>
      </c>
      <c r="I148" s="22">
        <v>3.41</v>
      </c>
      <c r="J148" s="19">
        <v>3</v>
      </c>
      <c r="K148" s="19"/>
      <c r="L148" s="19">
        <v>3</v>
      </c>
      <c r="M148" s="19">
        <v>4</v>
      </c>
      <c r="N148" s="19">
        <v>3</v>
      </c>
      <c r="O148" s="19">
        <v>3</v>
      </c>
      <c r="P148" s="19">
        <v>3</v>
      </c>
      <c r="Q148" s="19">
        <v>3</v>
      </c>
      <c r="R148" s="21" t="s">
        <v>309</v>
      </c>
    </row>
    <row r="149" spans="1:18" ht="28.05" customHeight="1" x14ac:dyDescent="0.3">
      <c r="A149" s="19">
        <v>145</v>
      </c>
      <c r="B149" s="19">
        <v>176</v>
      </c>
      <c r="C149" s="20" t="s">
        <v>370</v>
      </c>
      <c r="D149" s="21" t="s">
        <v>51</v>
      </c>
      <c r="E149" s="21" t="s">
        <v>82</v>
      </c>
      <c r="F149" s="21" t="s">
        <v>171</v>
      </c>
      <c r="G149" s="21" t="s">
        <v>172</v>
      </c>
      <c r="H149" s="21" t="s">
        <v>122</v>
      </c>
      <c r="I149" s="22">
        <v>3.41</v>
      </c>
      <c r="J149" s="19">
        <v>3</v>
      </c>
      <c r="K149" s="19"/>
      <c r="L149" s="19">
        <v>3</v>
      </c>
      <c r="M149" s="19">
        <v>4</v>
      </c>
      <c r="N149" s="19">
        <v>3</v>
      </c>
      <c r="O149" s="19">
        <v>3</v>
      </c>
      <c r="P149" s="19">
        <v>3</v>
      </c>
      <c r="Q149" s="19">
        <v>3</v>
      </c>
      <c r="R149" s="21" t="s">
        <v>309</v>
      </c>
    </row>
    <row r="150" spans="1:18" ht="28.05" customHeight="1" x14ac:dyDescent="0.3">
      <c r="A150" s="19">
        <v>146</v>
      </c>
      <c r="B150" s="19">
        <v>177</v>
      </c>
      <c r="C150" s="20" t="s">
        <v>371</v>
      </c>
      <c r="D150" s="21" t="s">
        <v>51</v>
      </c>
      <c r="E150" s="21" t="s">
        <v>82</v>
      </c>
      <c r="F150" s="21" t="s">
        <v>171</v>
      </c>
      <c r="G150" s="21" t="s">
        <v>172</v>
      </c>
      <c r="H150" s="21" t="s">
        <v>122</v>
      </c>
      <c r="I150" s="22">
        <v>3.41</v>
      </c>
      <c r="J150" s="19">
        <v>3</v>
      </c>
      <c r="K150" s="19"/>
      <c r="L150" s="19">
        <v>3</v>
      </c>
      <c r="M150" s="19">
        <v>4</v>
      </c>
      <c r="N150" s="19">
        <v>3</v>
      </c>
      <c r="O150" s="19">
        <v>3</v>
      </c>
      <c r="P150" s="19">
        <v>3</v>
      </c>
      <c r="Q150" s="19">
        <v>3</v>
      </c>
      <c r="R150" s="21" t="s">
        <v>309</v>
      </c>
    </row>
    <row r="151" spans="1:18" ht="28.05" customHeight="1" x14ac:dyDescent="0.3">
      <c r="A151" s="19">
        <v>147</v>
      </c>
      <c r="B151" s="19">
        <v>178</v>
      </c>
      <c r="C151" s="20" t="s">
        <v>372</v>
      </c>
      <c r="D151" s="21" t="s">
        <v>51</v>
      </c>
      <c r="E151" s="21" t="s">
        <v>82</v>
      </c>
      <c r="F151" s="21" t="s">
        <v>171</v>
      </c>
      <c r="G151" s="21" t="s">
        <v>172</v>
      </c>
      <c r="H151" s="21" t="s">
        <v>122</v>
      </c>
      <c r="I151" s="22">
        <v>3.41</v>
      </c>
      <c r="J151" s="19">
        <v>3</v>
      </c>
      <c r="K151" s="19"/>
      <c r="L151" s="19">
        <v>3</v>
      </c>
      <c r="M151" s="19">
        <v>4</v>
      </c>
      <c r="N151" s="19">
        <v>3</v>
      </c>
      <c r="O151" s="19">
        <v>3</v>
      </c>
      <c r="P151" s="19">
        <v>3</v>
      </c>
      <c r="Q151" s="19">
        <v>3</v>
      </c>
      <c r="R151" s="21" t="s">
        <v>309</v>
      </c>
    </row>
    <row r="152" spans="1:18" ht="28.05" customHeight="1" x14ac:dyDescent="0.3">
      <c r="A152" s="19">
        <v>148</v>
      </c>
      <c r="B152" s="19">
        <v>179</v>
      </c>
      <c r="C152" s="20" t="s">
        <v>373</v>
      </c>
      <c r="D152" s="21" t="s">
        <v>51</v>
      </c>
      <c r="E152" s="21" t="s">
        <v>82</v>
      </c>
      <c r="F152" s="21" t="s">
        <v>171</v>
      </c>
      <c r="G152" s="21" t="s">
        <v>172</v>
      </c>
      <c r="H152" s="21" t="s">
        <v>122</v>
      </c>
      <c r="I152" s="22">
        <v>3.41</v>
      </c>
      <c r="J152" s="19">
        <v>3</v>
      </c>
      <c r="K152" s="19"/>
      <c r="L152" s="19">
        <v>3</v>
      </c>
      <c r="M152" s="19">
        <v>4</v>
      </c>
      <c r="N152" s="19">
        <v>3</v>
      </c>
      <c r="O152" s="19">
        <v>3</v>
      </c>
      <c r="P152" s="19">
        <v>3</v>
      </c>
      <c r="Q152" s="19">
        <v>3</v>
      </c>
      <c r="R152" s="21" t="s">
        <v>309</v>
      </c>
    </row>
    <row r="153" spans="1:18" ht="28.05" customHeight="1" x14ac:dyDescent="0.3">
      <c r="A153" s="19">
        <v>149</v>
      </c>
      <c r="B153" s="19">
        <v>180</v>
      </c>
      <c r="C153" s="20" t="s">
        <v>374</v>
      </c>
      <c r="D153" s="21" t="s">
        <v>51</v>
      </c>
      <c r="E153" s="21" t="s">
        <v>194</v>
      </c>
      <c r="F153" s="21" t="s">
        <v>171</v>
      </c>
      <c r="G153" s="21" t="s">
        <v>172</v>
      </c>
      <c r="H153" s="21" t="s">
        <v>122</v>
      </c>
      <c r="I153" s="22">
        <v>3.41</v>
      </c>
      <c r="J153" s="19">
        <v>3</v>
      </c>
      <c r="K153" s="19"/>
      <c r="L153" s="19">
        <v>3</v>
      </c>
      <c r="M153" s="19">
        <v>4</v>
      </c>
      <c r="N153" s="19">
        <v>3</v>
      </c>
      <c r="O153" s="19">
        <v>3</v>
      </c>
      <c r="P153" s="19">
        <v>3</v>
      </c>
      <c r="Q153" s="19">
        <v>3</v>
      </c>
      <c r="R153" s="21" t="s">
        <v>309</v>
      </c>
    </row>
    <row r="154" spans="1:18" ht="28.05" customHeight="1" x14ac:dyDescent="0.3">
      <c r="A154" s="19">
        <v>150</v>
      </c>
      <c r="B154" s="19">
        <v>181</v>
      </c>
      <c r="C154" s="20" t="s">
        <v>375</v>
      </c>
      <c r="D154" s="21" t="s">
        <v>51</v>
      </c>
      <c r="E154" s="21" t="s">
        <v>194</v>
      </c>
      <c r="F154" s="21" t="s">
        <v>171</v>
      </c>
      <c r="G154" s="21" t="s">
        <v>172</v>
      </c>
      <c r="H154" s="21" t="s">
        <v>122</v>
      </c>
      <c r="I154" s="22">
        <v>3.41</v>
      </c>
      <c r="J154" s="19">
        <v>3</v>
      </c>
      <c r="K154" s="19"/>
      <c r="L154" s="19">
        <v>3</v>
      </c>
      <c r="M154" s="19">
        <v>4</v>
      </c>
      <c r="N154" s="19">
        <v>3</v>
      </c>
      <c r="O154" s="19">
        <v>3</v>
      </c>
      <c r="P154" s="19">
        <v>3</v>
      </c>
      <c r="Q154" s="19">
        <v>3</v>
      </c>
      <c r="R154" s="21" t="s">
        <v>309</v>
      </c>
    </row>
    <row r="155" spans="1:18" ht="28.05" customHeight="1" x14ac:dyDescent="0.3">
      <c r="A155" s="19">
        <v>151</v>
      </c>
      <c r="B155" s="19">
        <v>182</v>
      </c>
      <c r="C155" s="20" t="s">
        <v>376</v>
      </c>
      <c r="D155" s="21" t="s">
        <v>51</v>
      </c>
      <c r="E155" s="21" t="s">
        <v>194</v>
      </c>
      <c r="F155" s="21" t="s">
        <v>171</v>
      </c>
      <c r="G155" s="21" t="s">
        <v>172</v>
      </c>
      <c r="H155" s="21" t="s">
        <v>122</v>
      </c>
      <c r="I155" s="22">
        <v>3.41</v>
      </c>
      <c r="J155" s="19">
        <v>3</v>
      </c>
      <c r="K155" s="19"/>
      <c r="L155" s="19">
        <v>3</v>
      </c>
      <c r="M155" s="19">
        <v>4</v>
      </c>
      <c r="N155" s="19">
        <v>3</v>
      </c>
      <c r="O155" s="19">
        <v>3</v>
      </c>
      <c r="P155" s="19">
        <v>3</v>
      </c>
      <c r="Q155" s="19">
        <v>3</v>
      </c>
      <c r="R155" s="21" t="s">
        <v>309</v>
      </c>
    </row>
    <row r="156" spans="1:18" ht="28.05" customHeight="1" x14ac:dyDescent="0.3">
      <c r="A156" s="19">
        <v>152</v>
      </c>
      <c r="B156" s="19">
        <v>183</v>
      </c>
      <c r="C156" s="20" t="s">
        <v>377</v>
      </c>
      <c r="D156" s="21" t="s">
        <v>51</v>
      </c>
      <c r="E156" s="21" t="s">
        <v>194</v>
      </c>
      <c r="F156" s="21" t="s">
        <v>171</v>
      </c>
      <c r="G156" s="21" t="s">
        <v>172</v>
      </c>
      <c r="H156" s="21" t="s">
        <v>122</v>
      </c>
      <c r="I156" s="22">
        <v>3.41</v>
      </c>
      <c r="J156" s="19">
        <v>3</v>
      </c>
      <c r="K156" s="19"/>
      <c r="L156" s="19">
        <v>3</v>
      </c>
      <c r="M156" s="19">
        <v>4</v>
      </c>
      <c r="N156" s="19">
        <v>3</v>
      </c>
      <c r="O156" s="19">
        <v>3</v>
      </c>
      <c r="P156" s="19">
        <v>3</v>
      </c>
      <c r="Q156" s="19">
        <v>3</v>
      </c>
      <c r="R156" s="21" t="s">
        <v>309</v>
      </c>
    </row>
    <row r="157" spans="1:18" ht="28.05" customHeight="1" x14ac:dyDescent="0.3">
      <c r="A157" s="19">
        <v>153</v>
      </c>
      <c r="B157" s="19">
        <v>184</v>
      </c>
      <c r="C157" s="20" t="s">
        <v>378</v>
      </c>
      <c r="D157" s="21" t="s">
        <v>51</v>
      </c>
      <c r="E157" s="21" t="s">
        <v>194</v>
      </c>
      <c r="F157" s="21" t="s">
        <v>171</v>
      </c>
      <c r="G157" s="21" t="s">
        <v>172</v>
      </c>
      <c r="H157" s="21" t="s">
        <v>122</v>
      </c>
      <c r="I157" s="22">
        <v>3.41</v>
      </c>
      <c r="J157" s="19">
        <v>3</v>
      </c>
      <c r="K157" s="19"/>
      <c r="L157" s="19">
        <v>3</v>
      </c>
      <c r="M157" s="19">
        <v>4</v>
      </c>
      <c r="N157" s="19">
        <v>3</v>
      </c>
      <c r="O157" s="19">
        <v>3</v>
      </c>
      <c r="P157" s="19">
        <v>3</v>
      </c>
      <c r="Q157" s="19">
        <v>3</v>
      </c>
      <c r="R157" s="21" t="s">
        <v>309</v>
      </c>
    </row>
    <row r="158" spans="1:18" ht="28.05" customHeight="1" x14ac:dyDescent="0.3">
      <c r="A158" s="19">
        <v>154</v>
      </c>
      <c r="B158" s="19">
        <v>186</v>
      </c>
      <c r="C158" s="20" t="s">
        <v>379</v>
      </c>
      <c r="D158" s="21" t="s">
        <v>53</v>
      </c>
      <c r="E158" s="21" t="s">
        <v>77</v>
      </c>
      <c r="F158" s="21" t="s">
        <v>171</v>
      </c>
      <c r="G158" s="21" t="s">
        <v>172</v>
      </c>
      <c r="H158" s="21" t="s">
        <v>109</v>
      </c>
      <c r="I158" s="22">
        <v>3.4</v>
      </c>
      <c r="J158" s="19">
        <v>3</v>
      </c>
      <c r="K158" s="19"/>
      <c r="L158" s="19">
        <v>4</v>
      </c>
      <c r="M158" s="19">
        <v>4</v>
      </c>
      <c r="N158" s="19">
        <v>1</v>
      </c>
      <c r="O158" s="19">
        <v>2</v>
      </c>
      <c r="P158" s="19">
        <v>3</v>
      </c>
      <c r="Q158" s="19">
        <v>3</v>
      </c>
      <c r="R158" s="21" t="s">
        <v>164</v>
      </c>
    </row>
    <row r="159" spans="1:18" ht="28.05" customHeight="1" x14ac:dyDescent="0.3">
      <c r="A159" s="19">
        <v>155</v>
      </c>
      <c r="B159" s="19">
        <v>188</v>
      </c>
      <c r="C159" s="20" t="s">
        <v>380</v>
      </c>
      <c r="D159" s="21" t="s">
        <v>52</v>
      </c>
      <c r="E159" s="21" t="s">
        <v>84</v>
      </c>
      <c r="F159" s="21" t="s">
        <v>171</v>
      </c>
      <c r="G159" s="21" t="s">
        <v>172</v>
      </c>
      <c r="H159" s="21" t="s">
        <v>152</v>
      </c>
      <c r="I159" s="22">
        <v>3.36</v>
      </c>
      <c r="J159" s="19">
        <v>3</v>
      </c>
      <c r="K159" s="19"/>
      <c r="L159" s="19">
        <v>4</v>
      </c>
      <c r="M159" s="19">
        <v>3</v>
      </c>
      <c r="N159" s="19">
        <v>1</v>
      </c>
      <c r="O159" s="19">
        <v>3</v>
      </c>
      <c r="P159" s="19">
        <v>5</v>
      </c>
      <c r="Q159" s="19">
        <v>1</v>
      </c>
      <c r="R159" s="21" t="s">
        <v>381</v>
      </c>
    </row>
    <row r="160" spans="1:18" ht="28.05" customHeight="1" x14ac:dyDescent="0.3">
      <c r="A160" s="19">
        <v>156</v>
      </c>
      <c r="B160" s="19">
        <v>190</v>
      </c>
      <c r="C160" s="20" t="s">
        <v>382</v>
      </c>
      <c r="D160" s="21" t="s">
        <v>49</v>
      </c>
      <c r="E160" s="21" t="s">
        <v>81</v>
      </c>
      <c r="F160" s="21" t="s">
        <v>171</v>
      </c>
      <c r="G160" s="21" t="s">
        <v>172</v>
      </c>
      <c r="H160" s="21" t="s">
        <v>152</v>
      </c>
      <c r="I160" s="22">
        <v>3.36</v>
      </c>
      <c r="J160" s="19">
        <v>3</v>
      </c>
      <c r="K160" s="19"/>
      <c r="L160" s="19">
        <v>2</v>
      </c>
      <c r="M160" s="19">
        <v>3</v>
      </c>
      <c r="N160" s="19">
        <v>4</v>
      </c>
      <c r="O160" s="19">
        <v>4</v>
      </c>
      <c r="P160" s="19">
        <v>3</v>
      </c>
      <c r="Q160" s="19">
        <v>2</v>
      </c>
      <c r="R160" s="21" t="s">
        <v>258</v>
      </c>
    </row>
    <row r="161" spans="1:18" ht="28.05" customHeight="1" x14ac:dyDescent="0.3">
      <c r="A161" s="19">
        <v>157</v>
      </c>
      <c r="B161" s="19">
        <v>198</v>
      </c>
      <c r="C161" s="20" t="s">
        <v>383</v>
      </c>
      <c r="D161" s="21" t="s">
        <v>52</v>
      </c>
      <c r="E161" s="21" t="s">
        <v>66</v>
      </c>
      <c r="F161" s="21" t="s">
        <v>171</v>
      </c>
      <c r="G161" s="21" t="s">
        <v>172</v>
      </c>
      <c r="H161" s="21" t="s">
        <v>131</v>
      </c>
      <c r="I161" s="22">
        <v>3.36</v>
      </c>
      <c r="J161" s="19">
        <v>3</v>
      </c>
      <c r="K161" s="19"/>
      <c r="L161" s="19">
        <v>3</v>
      </c>
      <c r="M161" s="19">
        <v>4</v>
      </c>
      <c r="N161" s="19">
        <v>3</v>
      </c>
      <c r="O161" s="19">
        <v>2</v>
      </c>
      <c r="P161" s="19">
        <v>4</v>
      </c>
      <c r="Q161" s="19">
        <v>4</v>
      </c>
      <c r="R161" s="21" t="s">
        <v>320</v>
      </c>
    </row>
    <row r="162" spans="1:18" ht="28.05" customHeight="1" x14ac:dyDescent="0.3">
      <c r="A162" s="19">
        <v>158</v>
      </c>
      <c r="B162" s="19">
        <v>201</v>
      </c>
      <c r="C162" s="20" t="s">
        <v>384</v>
      </c>
      <c r="D162" s="21" t="s">
        <v>52</v>
      </c>
      <c r="E162" s="21" t="s">
        <v>66</v>
      </c>
      <c r="F162" s="21" t="s">
        <v>171</v>
      </c>
      <c r="G162" s="21" t="s">
        <v>172</v>
      </c>
      <c r="H162" s="21" t="s">
        <v>152</v>
      </c>
      <c r="I162" s="22">
        <v>3.31</v>
      </c>
      <c r="J162" s="19">
        <v>3</v>
      </c>
      <c r="K162" s="19"/>
      <c r="L162" s="19">
        <v>4</v>
      </c>
      <c r="M162" s="19">
        <v>3</v>
      </c>
      <c r="N162" s="19">
        <v>3</v>
      </c>
      <c r="O162" s="19">
        <v>2</v>
      </c>
      <c r="P162" s="19">
        <v>3</v>
      </c>
      <c r="Q162" s="19">
        <v>2</v>
      </c>
      <c r="R162" s="21" t="s">
        <v>385</v>
      </c>
    </row>
    <row r="163" spans="1:18" ht="28.05" customHeight="1" x14ac:dyDescent="0.3">
      <c r="A163" s="19">
        <v>159</v>
      </c>
      <c r="B163" s="19">
        <v>202</v>
      </c>
      <c r="C163" s="20" t="s">
        <v>386</v>
      </c>
      <c r="D163" s="21" t="s">
        <v>54</v>
      </c>
      <c r="E163" s="21" t="s">
        <v>64</v>
      </c>
      <c r="F163" s="21" t="s">
        <v>171</v>
      </c>
      <c r="G163" s="21" t="s">
        <v>172</v>
      </c>
      <c r="H163" s="21" t="s">
        <v>109</v>
      </c>
      <c r="I163" s="22">
        <v>3.3</v>
      </c>
      <c r="J163" s="19">
        <v>3</v>
      </c>
      <c r="K163" s="19"/>
      <c r="L163" s="19">
        <v>4</v>
      </c>
      <c r="M163" s="19">
        <v>3</v>
      </c>
      <c r="N163" s="19">
        <v>1</v>
      </c>
      <c r="O163" s="19">
        <v>3</v>
      </c>
      <c r="P163" s="19">
        <v>3</v>
      </c>
      <c r="Q163" s="19">
        <v>2</v>
      </c>
      <c r="R163" s="21" t="s">
        <v>351</v>
      </c>
    </row>
    <row r="164" spans="1:18" ht="28.05" customHeight="1" x14ac:dyDescent="0.3">
      <c r="A164" s="19">
        <v>160</v>
      </c>
      <c r="B164" s="19">
        <v>203</v>
      </c>
      <c r="C164" s="20" t="s">
        <v>387</v>
      </c>
      <c r="D164" s="21" t="s">
        <v>54</v>
      </c>
      <c r="E164" s="21" t="s">
        <v>64</v>
      </c>
      <c r="F164" s="21" t="s">
        <v>171</v>
      </c>
      <c r="G164" s="21" t="s">
        <v>172</v>
      </c>
      <c r="H164" s="21" t="s">
        <v>109</v>
      </c>
      <c r="I164" s="22">
        <v>3.3</v>
      </c>
      <c r="J164" s="19">
        <v>3</v>
      </c>
      <c r="K164" s="19"/>
      <c r="L164" s="19">
        <v>4</v>
      </c>
      <c r="M164" s="19">
        <v>3</v>
      </c>
      <c r="N164" s="19">
        <v>1</v>
      </c>
      <c r="O164" s="19">
        <v>3</v>
      </c>
      <c r="P164" s="19">
        <v>3</v>
      </c>
      <c r="Q164" s="19">
        <v>2</v>
      </c>
      <c r="R164" s="21" t="s">
        <v>351</v>
      </c>
    </row>
    <row r="165" spans="1:18" ht="28.05" customHeight="1" x14ac:dyDescent="0.3">
      <c r="A165" s="19">
        <v>161</v>
      </c>
      <c r="B165" s="19">
        <v>206</v>
      </c>
      <c r="C165" s="20" t="s">
        <v>388</v>
      </c>
      <c r="D165" s="21" t="s">
        <v>50</v>
      </c>
      <c r="E165" s="21" t="s">
        <v>389</v>
      </c>
      <c r="F165" s="21" t="s">
        <v>171</v>
      </c>
      <c r="G165" s="21" t="s">
        <v>172</v>
      </c>
      <c r="H165" s="21" t="s">
        <v>122</v>
      </c>
      <c r="I165" s="22">
        <v>3.31</v>
      </c>
      <c r="J165" s="19">
        <v>3</v>
      </c>
      <c r="K165" s="19"/>
      <c r="L165" s="19">
        <v>3</v>
      </c>
      <c r="M165" s="19">
        <v>4</v>
      </c>
      <c r="N165" s="19">
        <v>3</v>
      </c>
      <c r="O165" s="19">
        <v>2</v>
      </c>
      <c r="P165" s="19">
        <v>3</v>
      </c>
      <c r="Q165" s="19">
        <v>3</v>
      </c>
      <c r="R165" s="21" t="s">
        <v>309</v>
      </c>
    </row>
    <row r="166" spans="1:18" ht="28.05" customHeight="1" x14ac:dyDescent="0.3">
      <c r="A166" s="19">
        <v>162</v>
      </c>
      <c r="B166" s="19">
        <v>207</v>
      </c>
      <c r="C166" s="20" t="s">
        <v>390</v>
      </c>
      <c r="D166" s="21" t="s">
        <v>50</v>
      </c>
      <c r="E166" s="21" t="s">
        <v>389</v>
      </c>
      <c r="F166" s="21" t="s">
        <v>171</v>
      </c>
      <c r="G166" s="21" t="s">
        <v>172</v>
      </c>
      <c r="H166" s="21" t="s">
        <v>122</v>
      </c>
      <c r="I166" s="22">
        <v>3.31</v>
      </c>
      <c r="J166" s="19">
        <v>3</v>
      </c>
      <c r="K166" s="19"/>
      <c r="L166" s="19">
        <v>3</v>
      </c>
      <c r="M166" s="19">
        <v>4</v>
      </c>
      <c r="N166" s="19">
        <v>3</v>
      </c>
      <c r="O166" s="19">
        <v>2</v>
      </c>
      <c r="P166" s="19">
        <v>3</v>
      </c>
      <c r="Q166" s="19">
        <v>3</v>
      </c>
      <c r="R166" s="21" t="s">
        <v>309</v>
      </c>
    </row>
    <row r="167" spans="1:18" ht="28.05" customHeight="1" x14ac:dyDescent="0.3">
      <c r="A167" s="19">
        <v>163</v>
      </c>
      <c r="B167" s="19">
        <v>211</v>
      </c>
      <c r="C167" s="20" t="s">
        <v>391</v>
      </c>
      <c r="D167" s="21" t="s">
        <v>50</v>
      </c>
      <c r="E167" s="21" t="s">
        <v>65</v>
      </c>
      <c r="F167" s="21" t="s">
        <v>171</v>
      </c>
      <c r="G167" s="21" t="s">
        <v>172</v>
      </c>
      <c r="H167" s="21" t="s">
        <v>152</v>
      </c>
      <c r="I167" s="22">
        <v>3.31</v>
      </c>
      <c r="J167" s="19">
        <v>3</v>
      </c>
      <c r="K167" s="19"/>
      <c r="L167" s="19">
        <v>3</v>
      </c>
      <c r="M167" s="19">
        <v>3</v>
      </c>
      <c r="N167" s="19">
        <v>4</v>
      </c>
      <c r="O167" s="19">
        <v>2</v>
      </c>
      <c r="P167" s="19">
        <v>3</v>
      </c>
      <c r="Q167" s="19">
        <v>3</v>
      </c>
      <c r="R167" s="21" t="s">
        <v>289</v>
      </c>
    </row>
    <row r="168" spans="1:18" ht="28.05" customHeight="1" x14ac:dyDescent="0.3">
      <c r="A168" s="19">
        <v>164</v>
      </c>
      <c r="B168" s="19">
        <v>214</v>
      </c>
      <c r="C168" s="20" t="s">
        <v>392</v>
      </c>
      <c r="D168" s="21" t="s">
        <v>50</v>
      </c>
      <c r="E168" s="21" t="s">
        <v>65</v>
      </c>
      <c r="F168" s="21" t="s">
        <v>171</v>
      </c>
      <c r="G168" s="21" t="s">
        <v>172</v>
      </c>
      <c r="H168" s="21" t="s">
        <v>152</v>
      </c>
      <c r="I168" s="22">
        <v>3.31</v>
      </c>
      <c r="J168" s="19">
        <v>3</v>
      </c>
      <c r="K168" s="19"/>
      <c r="L168" s="19">
        <v>3</v>
      </c>
      <c r="M168" s="19">
        <v>3</v>
      </c>
      <c r="N168" s="19">
        <v>4</v>
      </c>
      <c r="O168" s="19">
        <v>2</v>
      </c>
      <c r="P168" s="19">
        <v>3</v>
      </c>
      <c r="Q168" s="19">
        <v>3</v>
      </c>
      <c r="R168" s="21" t="s">
        <v>289</v>
      </c>
    </row>
    <row r="169" spans="1:18" ht="28.05" customHeight="1" x14ac:dyDescent="0.3">
      <c r="A169" s="19">
        <v>165</v>
      </c>
      <c r="B169" s="19">
        <v>215</v>
      </c>
      <c r="C169" s="20" t="s">
        <v>393</v>
      </c>
      <c r="D169" s="21" t="s">
        <v>52</v>
      </c>
      <c r="E169" s="21" t="s">
        <v>66</v>
      </c>
      <c r="F169" s="21" t="s">
        <v>171</v>
      </c>
      <c r="G169" s="21" t="s">
        <v>172</v>
      </c>
      <c r="H169" s="21" t="s">
        <v>122</v>
      </c>
      <c r="I169" s="22">
        <v>3.31</v>
      </c>
      <c r="J169" s="19">
        <v>3</v>
      </c>
      <c r="K169" s="19"/>
      <c r="L169" s="19">
        <v>4</v>
      </c>
      <c r="M169" s="19">
        <v>3</v>
      </c>
      <c r="N169" s="19">
        <v>3</v>
      </c>
      <c r="O169" s="19">
        <v>2</v>
      </c>
      <c r="P169" s="19">
        <v>3</v>
      </c>
      <c r="Q169" s="19">
        <v>3</v>
      </c>
      <c r="R169" s="21" t="s">
        <v>385</v>
      </c>
    </row>
    <row r="170" spans="1:18" ht="28.05" customHeight="1" x14ac:dyDescent="0.3">
      <c r="A170" s="19">
        <v>166</v>
      </c>
      <c r="B170" s="19">
        <v>218</v>
      </c>
      <c r="C170" s="20" t="s">
        <v>394</v>
      </c>
      <c r="D170" s="21" t="s">
        <v>50</v>
      </c>
      <c r="E170" s="21" t="s">
        <v>389</v>
      </c>
      <c r="F170" s="21" t="s">
        <v>184</v>
      </c>
      <c r="G170" s="21" t="s">
        <v>185</v>
      </c>
      <c r="H170" s="21" t="s">
        <v>131</v>
      </c>
      <c r="I170" s="22">
        <v>3.31</v>
      </c>
      <c r="J170" s="19">
        <v>3</v>
      </c>
      <c r="K170" s="19"/>
      <c r="L170" s="19">
        <v>3</v>
      </c>
      <c r="M170" s="19">
        <v>4</v>
      </c>
      <c r="N170" s="19">
        <v>3</v>
      </c>
      <c r="O170" s="19">
        <v>1</v>
      </c>
      <c r="P170" s="19">
        <v>4</v>
      </c>
      <c r="Q170" s="19">
        <v>4</v>
      </c>
      <c r="R170" s="21" t="s">
        <v>320</v>
      </c>
    </row>
  </sheetData>
  <autoFilter ref="A4:R170" xr:uid="{00000000-0009-0000-0000-000003000000}"/>
  <hyperlinks>
    <hyperlink ref="C5" r:id="rId1" xr:uid="{00000000-0004-0000-0300-000000000000}"/>
    <hyperlink ref="C6" r:id="rId2" xr:uid="{00000000-0004-0000-0300-000001000000}"/>
    <hyperlink ref="C7" r:id="rId3" xr:uid="{00000000-0004-0000-0300-000002000000}"/>
    <hyperlink ref="C8" r:id="rId4" xr:uid="{00000000-0004-0000-0300-000003000000}"/>
    <hyperlink ref="C9" r:id="rId5" xr:uid="{00000000-0004-0000-0300-000004000000}"/>
    <hyperlink ref="C10" r:id="rId6" xr:uid="{00000000-0004-0000-0300-000005000000}"/>
    <hyperlink ref="C11" r:id="rId7" xr:uid="{00000000-0004-0000-0300-000006000000}"/>
    <hyperlink ref="C12" r:id="rId8" xr:uid="{00000000-0004-0000-0300-000007000000}"/>
    <hyperlink ref="C13" r:id="rId9" xr:uid="{00000000-0004-0000-0300-000008000000}"/>
    <hyperlink ref="C14" r:id="rId10" xr:uid="{00000000-0004-0000-0300-000009000000}"/>
    <hyperlink ref="C15" r:id="rId11" xr:uid="{00000000-0004-0000-0300-00000A000000}"/>
    <hyperlink ref="C16" r:id="rId12" xr:uid="{00000000-0004-0000-0300-00000B000000}"/>
    <hyperlink ref="C17" r:id="rId13" xr:uid="{00000000-0004-0000-0300-00000C000000}"/>
    <hyperlink ref="C18" r:id="rId14" xr:uid="{00000000-0004-0000-0300-00000D000000}"/>
    <hyperlink ref="C19" r:id="rId15" xr:uid="{00000000-0004-0000-0300-00000E000000}"/>
    <hyperlink ref="C20" r:id="rId16" xr:uid="{00000000-0004-0000-0300-00000F000000}"/>
    <hyperlink ref="C21" r:id="rId17" xr:uid="{00000000-0004-0000-0300-000010000000}"/>
    <hyperlink ref="C22" r:id="rId18" xr:uid="{00000000-0004-0000-0300-000011000000}"/>
    <hyperlink ref="C23" r:id="rId19" xr:uid="{00000000-0004-0000-0300-000012000000}"/>
    <hyperlink ref="C24" r:id="rId20" xr:uid="{00000000-0004-0000-0300-000013000000}"/>
    <hyperlink ref="C25" r:id="rId21" xr:uid="{00000000-0004-0000-0300-000014000000}"/>
    <hyperlink ref="C26" r:id="rId22" xr:uid="{00000000-0004-0000-0300-000015000000}"/>
    <hyperlink ref="C27" r:id="rId23" xr:uid="{00000000-0004-0000-0300-000016000000}"/>
    <hyperlink ref="C28" r:id="rId24" xr:uid="{00000000-0004-0000-0300-000017000000}"/>
    <hyperlink ref="C29" r:id="rId25" xr:uid="{00000000-0004-0000-0300-000018000000}"/>
    <hyperlink ref="C30" r:id="rId26" xr:uid="{00000000-0004-0000-0300-000019000000}"/>
    <hyperlink ref="C31" r:id="rId27" xr:uid="{00000000-0004-0000-0300-00001A000000}"/>
    <hyperlink ref="C32" r:id="rId28" xr:uid="{00000000-0004-0000-0300-00001B000000}"/>
    <hyperlink ref="C33" r:id="rId29" xr:uid="{00000000-0004-0000-0300-00001C000000}"/>
    <hyperlink ref="C34" r:id="rId30" xr:uid="{00000000-0004-0000-0300-00001D000000}"/>
    <hyperlink ref="C35" r:id="rId31" xr:uid="{00000000-0004-0000-0300-00001E000000}"/>
    <hyperlink ref="C36" r:id="rId32" xr:uid="{00000000-0004-0000-0300-00001F000000}"/>
    <hyperlink ref="C37" r:id="rId33" xr:uid="{00000000-0004-0000-0300-000020000000}"/>
    <hyperlink ref="C38" r:id="rId34" xr:uid="{00000000-0004-0000-0300-000021000000}"/>
    <hyperlink ref="C39" r:id="rId35" xr:uid="{00000000-0004-0000-0300-000022000000}"/>
    <hyperlink ref="C40" r:id="rId36" xr:uid="{00000000-0004-0000-0300-000023000000}"/>
    <hyperlink ref="C41" r:id="rId37" xr:uid="{00000000-0004-0000-0300-000024000000}"/>
    <hyperlink ref="C42" r:id="rId38" xr:uid="{00000000-0004-0000-0300-000025000000}"/>
    <hyperlink ref="C43" r:id="rId39" xr:uid="{00000000-0004-0000-0300-000026000000}"/>
    <hyperlink ref="C44" r:id="rId40" xr:uid="{00000000-0004-0000-0300-000027000000}"/>
    <hyperlink ref="C45" r:id="rId41" xr:uid="{00000000-0004-0000-0300-000028000000}"/>
    <hyperlink ref="C46" r:id="rId42" xr:uid="{00000000-0004-0000-0300-000029000000}"/>
    <hyperlink ref="C47" r:id="rId43" xr:uid="{00000000-0004-0000-0300-00002A000000}"/>
    <hyperlink ref="C48" r:id="rId44" xr:uid="{00000000-0004-0000-0300-00002B000000}"/>
    <hyperlink ref="C49" r:id="rId45" xr:uid="{00000000-0004-0000-0300-00002C000000}"/>
    <hyperlink ref="C50" r:id="rId46" xr:uid="{00000000-0004-0000-0300-00002D000000}"/>
    <hyperlink ref="C51" r:id="rId47" xr:uid="{00000000-0004-0000-0300-00002E000000}"/>
    <hyperlink ref="C52" r:id="rId48" xr:uid="{00000000-0004-0000-0300-00002F000000}"/>
    <hyperlink ref="C53" r:id="rId49" xr:uid="{00000000-0004-0000-0300-000030000000}"/>
    <hyperlink ref="C54" r:id="rId50" xr:uid="{00000000-0004-0000-0300-000031000000}"/>
    <hyperlink ref="C55" r:id="rId51" xr:uid="{00000000-0004-0000-0300-000032000000}"/>
    <hyperlink ref="C56" r:id="rId52" xr:uid="{00000000-0004-0000-0300-000033000000}"/>
    <hyperlink ref="C57" r:id="rId53" xr:uid="{00000000-0004-0000-0300-000034000000}"/>
    <hyperlink ref="C58" r:id="rId54" xr:uid="{00000000-0004-0000-0300-000035000000}"/>
    <hyperlink ref="C59" r:id="rId55" xr:uid="{00000000-0004-0000-0300-000036000000}"/>
    <hyperlink ref="C60" r:id="rId56" xr:uid="{00000000-0004-0000-0300-000037000000}"/>
    <hyperlink ref="C61" r:id="rId57" xr:uid="{00000000-0004-0000-0300-000038000000}"/>
    <hyperlink ref="C62" r:id="rId58" xr:uid="{00000000-0004-0000-0300-000039000000}"/>
    <hyperlink ref="C63" r:id="rId59" xr:uid="{00000000-0004-0000-0300-00003A000000}"/>
    <hyperlink ref="C64" r:id="rId60" xr:uid="{00000000-0004-0000-0300-00003B000000}"/>
    <hyperlink ref="C65" r:id="rId61" xr:uid="{00000000-0004-0000-0300-00003C000000}"/>
    <hyperlink ref="C66" r:id="rId62" xr:uid="{00000000-0004-0000-0300-00003D000000}"/>
    <hyperlink ref="C67" r:id="rId63" xr:uid="{00000000-0004-0000-0300-00003E000000}"/>
    <hyperlink ref="C68" r:id="rId64" xr:uid="{00000000-0004-0000-0300-00003F000000}"/>
    <hyperlink ref="C69" r:id="rId65" xr:uid="{00000000-0004-0000-0300-000040000000}"/>
    <hyperlink ref="C70" r:id="rId66" xr:uid="{00000000-0004-0000-0300-000041000000}"/>
    <hyperlink ref="C71" r:id="rId67" xr:uid="{00000000-0004-0000-0300-000042000000}"/>
    <hyperlink ref="C72" r:id="rId68" xr:uid="{00000000-0004-0000-0300-000043000000}"/>
    <hyperlink ref="C73" r:id="rId69" xr:uid="{00000000-0004-0000-0300-000044000000}"/>
    <hyperlink ref="C74" r:id="rId70" xr:uid="{00000000-0004-0000-0300-000045000000}"/>
    <hyperlink ref="C75" r:id="rId71" xr:uid="{00000000-0004-0000-0300-000046000000}"/>
    <hyperlink ref="C76" r:id="rId72" xr:uid="{00000000-0004-0000-0300-000047000000}"/>
    <hyperlink ref="C77" r:id="rId73" xr:uid="{00000000-0004-0000-0300-000048000000}"/>
    <hyperlink ref="C78" r:id="rId74" xr:uid="{00000000-0004-0000-0300-000049000000}"/>
    <hyperlink ref="C79" r:id="rId75" xr:uid="{00000000-0004-0000-0300-00004A000000}"/>
    <hyperlink ref="C80" r:id="rId76" xr:uid="{00000000-0004-0000-0300-00004B000000}"/>
    <hyperlink ref="C81" r:id="rId77" xr:uid="{00000000-0004-0000-0300-00004C000000}"/>
    <hyperlink ref="C82" r:id="rId78" xr:uid="{00000000-0004-0000-0300-00004D000000}"/>
    <hyperlink ref="C83" r:id="rId79" xr:uid="{00000000-0004-0000-0300-00004E000000}"/>
    <hyperlink ref="C84" r:id="rId80" xr:uid="{00000000-0004-0000-0300-00004F000000}"/>
    <hyperlink ref="C85" r:id="rId81" xr:uid="{00000000-0004-0000-0300-000050000000}"/>
    <hyperlink ref="C86" r:id="rId82" xr:uid="{00000000-0004-0000-0300-000051000000}"/>
    <hyperlink ref="C87" r:id="rId83" xr:uid="{00000000-0004-0000-0300-000052000000}"/>
    <hyperlink ref="C88" r:id="rId84" xr:uid="{00000000-0004-0000-0300-000053000000}"/>
    <hyperlink ref="C89" r:id="rId85" xr:uid="{00000000-0004-0000-0300-000054000000}"/>
    <hyperlink ref="C90" r:id="rId86" xr:uid="{00000000-0004-0000-0300-000055000000}"/>
    <hyperlink ref="C91" r:id="rId87" xr:uid="{00000000-0004-0000-0300-000056000000}"/>
    <hyperlink ref="C92" r:id="rId88" xr:uid="{00000000-0004-0000-0300-000057000000}"/>
    <hyperlink ref="C93" r:id="rId89" xr:uid="{00000000-0004-0000-0300-000058000000}"/>
    <hyperlink ref="C94" r:id="rId90" xr:uid="{00000000-0004-0000-0300-000059000000}"/>
    <hyperlink ref="C95" r:id="rId91" xr:uid="{00000000-0004-0000-0300-00005A000000}"/>
    <hyperlink ref="C96" r:id="rId92" xr:uid="{00000000-0004-0000-0300-00005B000000}"/>
    <hyperlink ref="C97" r:id="rId93" xr:uid="{00000000-0004-0000-0300-00005C000000}"/>
    <hyperlink ref="C98" r:id="rId94" xr:uid="{00000000-0004-0000-0300-00005D000000}"/>
    <hyperlink ref="C99" r:id="rId95" xr:uid="{00000000-0004-0000-0300-00005E000000}"/>
    <hyperlink ref="C100" r:id="rId96" xr:uid="{00000000-0004-0000-0300-00005F000000}"/>
    <hyperlink ref="C101" r:id="rId97" xr:uid="{00000000-0004-0000-0300-000060000000}"/>
    <hyperlink ref="C102" r:id="rId98" xr:uid="{00000000-0004-0000-0300-000061000000}"/>
    <hyperlink ref="C103" r:id="rId99" xr:uid="{00000000-0004-0000-0300-000062000000}"/>
    <hyperlink ref="C104" r:id="rId100" xr:uid="{00000000-0004-0000-0300-000063000000}"/>
    <hyperlink ref="C105" r:id="rId101" xr:uid="{00000000-0004-0000-0300-000064000000}"/>
    <hyperlink ref="C106" r:id="rId102" xr:uid="{00000000-0004-0000-0300-000065000000}"/>
    <hyperlink ref="C107" r:id="rId103" xr:uid="{00000000-0004-0000-0300-000066000000}"/>
    <hyperlink ref="C108" r:id="rId104" xr:uid="{00000000-0004-0000-0300-000067000000}"/>
    <hyperlink ref="C109" r:id="rId105" xr:uid="{00000000-0004-0000-0300-000068000000}"/>
    <hyperlink ref="C110" r:id="rId106" xr:uid="{00000000-0004-0000-0300-000069000000}"/>
    <hyperlink ref="C111" r:id="rId107" xr:uid="{00000000-0004-0000-0300-00006A000000}"/>
    <hyperlink ref="C112" r:id="rId108" xr:uid="{00000000-0004-0000-0300-00006B000000}"/>
    <hyperlink ref="C113" r:id="rId109" xr:uid="{00000000-0004-0000-0300-00006C000000}"/>
    <hyperlink ref="C114" r:id="rId110" xr:uid="{00000000-0004-0000-0300-00006D000000}"/>
    <hyperlink ref="C115" r:id="rId111" xr:uid="{00000000-0004-0000-0300-00006E000000}"/>
    <hyperlink ref="C116" r:id="rId112" xr:uid="{00000000-0004-0000-0300-00006F000000}"/>
    <hyperlink ref="C117" r:id="rId113" xr:uid="{00000000-0004-0000-0300-000070000000}"/>
    <hyperlink ref="C118" r:id="rId114" xr:uid="{00000000-0004-0000-0300-000071000000}"/>
    <hyperlink ref="C119" r:id="rId115" xr:uid="{00000000-0004-0000-0300-000072000000}"/>
    <hyperlink ref="C120" r:id="rId116" xr:uid="{00000000-0004-0000-0300-000073000000}"/>
    <hyperlink ref="C121" r:id="rId117" xr:uid="{00000000-0004-0000-0300-000074000000}"/>
    <hyperlink ref="C122" r:id="rId118" xr:uid="{00000000-0004-0000-0300-000075000000}"/>
    <hyperlink ref="C123" r:id="rId119" xr:uid="{00000000-0004-0000-0300-000076000000}"/>
    <hyperlink ref="C124" r:id="rId120" xr:uid="{00000000-0004-0000-0300-000077000000}"/>
    <hyperlink ref="C125" r:id="rId121" xr:uid="{00000000-0004-0000-0300-000078000000}"/>
    <hyperlink ref="C126" r:id="rId122" xr:uid="{00000000-0004-0000-0300-000079000000}"/>
    <hyperlink ref="C127" r:id="rId123" xr:uid="{00000000-0004-0000-0300-00007A000000}"/>
    <hyperlink ref="C128" r:id="rId124" xr:uid="{00000000-0004-0000-0300-00007B000000}"/>
    <hyperlink ref="C129" r:id="rId125" xr:uid="{00000000-0004-0000-0300-00007C000000}"/>
    <hyperlink ref="C130" r:id="rId126" xr:uid="{00000000-0004-0000-0300-00007D000000}"/>
    <hyperlink ref="C131" r:id="rId127" xr:uid="{00000000-0004-0000-0300-00007E000000}"/>
    <hyperlink ref="C132" r:id="rId128" xr:uid="{00000000-0004-0000-0300-00007F000000}"/>
    <hyperlink ref="C133" r:id="rId129" xr:uid="{00000000-0004-0000-0300-000080000000}"/>
    <hyperlink ref="C134" r:id="rId130" xr:uid="{00000000-0004-0000-0300-000081000000}"/>
    <hyperlink ref="C135" r:id="rId131" xr:uid="{00000000-0004-0000-0300-000082000000}"/>
    <hyperlink ref="C136" r:id="rId132" xr:uid="{00000000-0004-0000-0300-000083000000}"/>
    <hyperlink ref="C137" r:id="rId133" xr:uid="{00000000-0004-0000-0300-000084000000}"/>
    <hyperlink ref="C138" r:id="rId134" xr:uid="{00000000-0004-0000-0300-000085000000}"/>
    <hyperlink ref="C139" r:id="rId135" xr:uid="{00000000-0004-0000-0300-000086000000}"/>
    <hyperlink ref="C140" r:id="rId136" xr:uid="{00000000-0004-0000-0300-000087000000}"/>
    <hyperlink ref="C141" r:id="rId137" xr:uid="{00000000-0004-0000-0300-000088000000}"/>
    <hyperlink ref="C142" r:id="rId138" xr:uid="{00000000-0004-0000-0300-000089000000}"/>
    <hyperlink ref="C143" r:id="rId139" xr:uid="{00000000-0004-0000-0300-00008A000000}"/>
    <hyperlink ref="C144" r:id="rId140" xr:uid="{00000000-0004-0000-0300-00008B000000}"/>
    <hyperlink ref="C145" r:id="rId141" xr:uid="{00000000-0004-0000-0300-00008C000000}"/>
    <hyperlink ref="C146" r:id="rId142" xr:uid="{00000000-0004-0000-0300-00008D000000}"/>
    <hyperlink ref="C147" r:id="rId143" xr:uid="{00000000-0004-0000-0300-00008E000000}"/>
    <hyperlink ref="C148" r:id="rId144" xr:uid="{00000000-0004-0000-0300-00008F000000}"/>
    <hyperlink ref="C149" r:id="rId145" xr:uid="{00000000-0004-0000-0300-000090000000}"/>
    <hyperlink ref="C150" r:id="rId146" xr:uid="{00000000-0004-0000-0300-000091000000}"/>
    <hyperlink ref="C151" r:id="rId147" xr:uid="{00000000-0004-0000-0300-000092000000}"/>
    <hyperlink ref="C152" r:id="rId148" xr:uid="{00000000-0004-0000-0300-000093000000}"/>
    <hyperlink ref="C153" r:id="rId149" xr:uid="{00000000-0004-0000-0300-000094000000}"/>
    <hyperlink ref="C154" r:id="rId150" xr:uid="{00000000-0004-0000-0300-000095000000}"/>
    <hyperlink ref="C155" r:id="rId151" xr:uid="{00000000-0004-0000-0300-000096000000}"/>
    <hyperlink ref="C156" r:id="rId152" xr:uid="{00000000-0004-0000-0300-000097000000}"/>
    <hyperlink ref="C157" r:id="rId153" xr:uid="{00000000-0004-0000-0300-000098000000}"/>
    <hyperlink ref="C158" r:id="rId154" xr:uid="{00000000-0004-0000-0300-000099000000}"/>
    <hyperlink ref="C159" r:id="rId155" xr:uid="{00000000-0004-0000-0300-00009A000000}"/>
    <hyperlink ref="C160" r:id="rId156" xr:uid="{00000000-0004-0000-0300-00009B000000}"/>
    <hyperlink ref="C161" r:id="rId157" xr:uid="{00000000-0004-0000-0300-00009C000000}"/>
    <hyperlink ref="C162" r:id="rId158" xr:uid="{00000000-0004-0000-0300-00009D000000}"/>
    <hyperlink ref="C163" r:id="rId159" xr:uid="{00000000-0004-0000-0300-00009E000000}"/>
    <hyperlink ref="C164" r:id="rId160" xr:uid="{00000000-0004-0000-0300-00009F000000}"/>
    <hyperlink ref="C165" r:id="rId161" xr:uid="{00000000-0004-0000-0300-0000A0000000}"/>
    <hyperlink ref="C166" r:id="rId162" xr:uid="{00000000-0004-0000-0300-0000A1000000}"/>
    <hyperlink ref="C167" r:id="rId163" xr:uid="{00000000-0004-0000-0300-0000A2000000}"/>
    <hyperlink ref="C168" r:id="rId164" xr:uid="{00000000-0004-0000-0300-0000A3000000}"/>
    <hyperlink ref="C169" r:id="rId165" xr:uid="{00000000-0004-0000-0300-0000A4000000}"/>
    <hyperlink ref="C170" r:id="rId166" xr:uid="{00000000-0004-0000-0300-0000A5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83"/>
  <sheetViews>
    <sheetView showGridLines="0" workbookViewId="0">
      <pane xSplit="3" ySplit="4" topLeftCell="D5" activePane="bottomRight" state="frozen"/>
      <selection pane="topRight"/>
      <selection pane="bottomLeft"/>
      <selection pane="bottomRight"/>
    </sheetView>
  </sheetViews>
  <sheetFormatPr defaultRowHeight="14.4" x14ac:dyDescent="0.3"/>
  <cols>
    <col min="1" max="1" width="7" customWidth="1"/>
    <col min="2" max="2" width="11" customWidth="1"/>
    <col min="3" max="3" width="62" customWidth="1"/>
    <col min="4" max="4" width="20" customWidth="1"/>
    <col min="5" max="5" width="16" customWidth="1"/>
    <col min="6" max="6" width="24" customWidth="1"/>
    <col min="7" max="7" width="15" customWidth="1"/>
    <col min="8" max="8" width="11" customWidth="1"/>
    <col min="9" max="9" width="20" customWidth="1"/>
    <col min="10" max="10" width="8" customWidth="1"/>
    <col min="11" max="12" width="10" customWidth="1"/>
    <col min="13" max="13" width="8" customWidth="1"/>
    <col min="14" max="15" width="11" customWidth="1"/>
    <col min="16" max="16" width="12" customWidth="1"/>
    <col min="17" max="17" width="14" customWidth="1"/>
    <col min="18" max="20" width="9" customWidth="1"/>
    <col min="21" max="21" width="8" customWidth="1"/>
    <col min="22" max="22" width="9" customWidth="1"/>
    <col min="23" max="23" width="7" customWidth="1"/>
    <col min="24" max="24" width="11" customWidth="1"/>
    <col min="25" max="25" width="9" hidden="1" customWidth="1"/>
    <col min="26" max="26" width="70" customWidth="1"/>
  </cols>
  <sheetData>
    <row r="1" spans="1:26" ht="17.399999999999999" x14ac:dyDescent="0.3">
      <c r="A1" s="1" t="s">
        <v>395</v>
      </c>
    </row>
    <row r="2" spans="1:26" ht="409.6" x14ac:dyDescent="0.3">
      <c r="A2" s="2" t="s">
        <v>396</v>
      </c>
    </row>
    <row r="4" spans="1:26" ht="43.95" customHeight="1" x14ac:dyDescent="0.3">
      <c r="A4" s="6" t="s">
        <v>91</v>
      </c>
      <c r="B4" s="6" t="s">
        <v>397</v>
      </c>
      <c r="C4" s="6" t="s">
        <v>92</v>
      </c>
      <c r="D4" s="6" t="s">
        <v>42</v>
      </c>
      <c r="E4" s="6" t="s">
        <v>93</v>
      </c>
      <c r="F4" s="6" t="s">
        <v>398</v>
      </c>
      <c r="G4" s="6" t="s">
        <v>94</v>
      </c>
      <c r="H4" s="6" t="s">
        <v>62</v>
      </c>
      <c r="I4" s="6" t="s">
        <v>95</v>
      </c>
      <c r="J4" s="6" t="s">
        <v>399</v>
      </c>
      <c r="K4" s="6" t="s">
        <v>400</v>
      </c>
      <c r="L4" s="6" t="s">
        <v>401</v>
      </c>
      <c r="M4" s="6" t="s">
        <v>402</v>
      </c>
      <c r="N4" s="6" t="s">
        <v>403</v>
      </c>
      <c r="O4" s="6" t="s">
        <v>404</v>
      </c>
      <c r="P4" s="6" t="s">
        <v>405</v>
      </c>
      <c r="Q4" s="6" t="s">
        <v>406</v>
      </c>
      <c r="R4" s="6" t="s">
        <v>407</v>
      </c>
      <c r="S4" s="6" t="s">
        <v>408</v>
      </c>
      <c r="T4" s="6" t="s">
        <v>409</v>
      </c>
      <c r="U4" s="6" t="s">
        <v>96</v>
      </c>
      <c r="V4" s="6" t="s">
        <v>97</v>
      </c>
      <c r="W4" s="6" t="s">
        <v>410</v>
      </c>
      <c r="X4" s="6" t="s">
        <v>411</v>
      </c>
      <c r="Y4" s="6" t="s">
        <v>412</v>
      </c>
      <c r="Z4" s="6" t="s">
        <v>413</v>
      </c>
    </row>
    <row r="5" spans="1:26" ht="28.05" customHeight="1" x14ac:dyDescent="0.3">
      <c r="A5" s="5">
        <f t="shared" ref="A5:A68" si="0">IF(Y5="","",COUNTIF($Y$5:$Y$983,"&gt;"&amp;Y5)+1)</f>
        <v>1</v>
      </c>
      <c r="B5" s="23" t="s">
        <v>414</v>
      </c>
      <c r="C5" s="17" t="s">
        <v>169</v>
      </c>
      <c r="D5" s="4" t="s">
        <v>51</v>
      </c>
      <c r="E5" s="4" t="s">
        <v>170</v>
      </c>
      <c r="F5" s="4" t="s">
        <v>170</v>
      </c>
      <c r="G5" s="4" t="s">
        <v>171</v>
      </c>
      <c r="H5" s="4" t="s">
        <v>172</v>
      </c>
      <c r="I5" s="24" t="s">
        <v>109</v>
      </c>
      <c r="J5" s="15">
        <v>4</v>
      </c>
      <c r="K5" s="15">
        <v>5</v>
      </c>
      <c r="L5" s="15">
        <v>5</v>
      </c>
      <c r="M5" s="15">
        <v>3</v>
      </c>
      <c r="N5" s="15">
        <v>3</v>
      </c>
      <c r="O5" s="15">
        <v>5</v>
      </c>
      <c r="P5" s="15" t="s">
        <v>415</v>
      </c>
      <c r="Q5" s="23" t="s">
        <v>416</v>
      </c>
      <c r="R5" s="25">
        <f>ROUND((K5*Parametros!$B$4+L5*Parametros!$B$5+M5*Parametros!$B$6+N5*Parametros!$B$7+O5*Parametros!$B$8)/SUM(Parametros!$B$4:$B$8),2)</f>
        <v>4.3</v>
      </c>
      <c r="S5" s="26">
        <f>IFERROR(INDEX(Parametros!$F$33:$F$42,MATCH(D5,Parametros!$A$33:$A$42,0)),1)</f>
        <v>1.0669999999999999</v>
      </c>
      <c r="T5" s="27">
        <f>IFERROR(INDEX(Parametros!$B$21:$B$26,MATCH(I5,Parametros!$A$21:$A$26,0)),0)</f>
        <v>0.3</v>
      </c>
      <c r="U5" s="28">
        <f t="shared" ref="U5:U68" si="1">ROUND(R5*S5+T5,2)</f>
        <v>4.8899999999999997</v>
      </c>
      <c r="V5" s="9">
        <f>IF(U5&gt;=Parametros!$B$14,4,IF(U5&gt;=Parametros!$B$13,3,IF(U5&gt;=Parametros!$B$12,2,1)))</f>
        <v>4</v>
      </c>
      <c r="W5" s="5">
        <f>MAX(V5,IF(K5=5,Parametros!$B$17,0),IF(P5="Sim",Parametros!$B$18,0))</f>
        <v>4</v>
      </c>
      <c r="X5" s="5" t="str">
        <f t="shared" ref="X5:X68" si="2">CHOOSE(W5,"Baixa","Normal","Alta","Urgente")</f>
        <v>Urgente</v>
      </c>
      <c r="Y5" s="29">
        <f t="shared" ref="Y5:Y68" si="3">W5*1000+U5*10-J5/10-ROW()/1000000</f>
        <v>4048.4999950000001</v>
      </c>
      <c r="Z5" s="4" t="s">
        <v>110</v>
      </c>
    </row>
    <row r="6" spans="1:26" ht="28.05" customHeight="1" x14ac:dyDescent="0.3">
      <c r="A6" s="5">
        <f t="shared" si="0"/>
        <v>2</v>
      </c>
      <c r="B6" s="23" t="s">
        <v>417</v>
      </c>
      <c r="C6" s="17" t="s">
        <v>106</v>
      </c>
      <c r="D6" s="4" t="s">
        <v>51</v>
      </c>
      <c r="E6" s="4" t="s">
        <v>63</v>
      </c>
      <c r="F6" s="4" t="s">
        <v>63</v>
      </c>
      <c r="G6" s="4" t="s">
        <v>107</v>
      </c>
      <c r="H6" s="4" t="s">
        <v>108</v>
      </c>
      <c r="I6" s="24" t="s">
        <v>109</v>
      </c>
      <c r="J6" s="15">
        <v>4</v>
      </c>
      <c r="K6" s="15">
        <v>5</v>
      </c>
      <c r="L6" s="15">
        <v>5</v>
      </c>
      <c r="M6" s="15">
        <v>3</v>
      </c>
      <c r="N6" s="15">
        <v>3</v>
      </c>
      <c r="O6" s="15">
        <v>5</v>
      </c>
      <c r="P6" s="15" t="s">
        <v>415</v>
      </c>
      <c r="Q6" s="23" t="s">
        <v>416</v>
      </c>
      <c r="R6" s="25">
        <f>ROUND((K6*Parametros!$B$4+L6*Parametros!$B$5+M6*Parametros!$B$6+N6*Parametros!$B$7+O6*Parametros!$B$8)/SUM(Parametros!$B$4:$B$8),2)</f>
        <v>4.3</v>
      </c>
      <c r="S6" s="26">
        <f>IFERROR(INDEX(Parametros!$F$33:$F$42,MATCH(D6,Parametros!$A$33:$A$42,0)),1)</f>
        <v>1.0669999999999999</v>
      </c>
      <c r="T6" s="27">
        <f>IFERROR(INDEX(Parametros!$B$21:$B$26,MATCH(I6,Parametros!$A$21:$A$26,0)),0)</f>
        <v>0.3</v>
      </c>
      <c r="U6" s="28">
        <f t="shared" si="1"/>
        <v>4.8899999999999997</v>
      </c>
      <c r="V6" s="9">
        <f>IF(U6&gt;=Parametros!$B$14,4,IF(U6&gt;=Parametros!$B$13,3,IF(U6&gt;=Parametros!$B$12,2,1)))</f>
        <v>4</v>
      </c>
      <c r="W6" s="5">
        <f>MAX(V6,IF(K6=5,Parametros!$B$17,0),IF(P6="Sim",Parametros!$B$18,0))</f>
        <v>4</v>
      </c>
      <c r="X6" s="5" t="str">
        <f t="shared" si="2"/>
        <v>Urgente</v>
      </c>
      <c r="Y6" s="29">
        <f t="shared" si="3"/>
        <v>4048.4999939999998</v>
      </c>
      <c r="Z6" s="4" t="s">
        <v>110</v>
      </c>
    </row>
    <row r="7" spans="1:26" ht="28.05" customHeight="1" x14ac:dyDescent="0.3">
      <c r="A7" s="5">
        <f t="shared" si="0"/>
        <v>3</v>
      </c>
      <c r="B7" s="23" t="s">
        <v>418</v>
      </c>
      <c r="C7" s="17" t="s">
        <v>111</v>
      </c>
      <c r="D7" s="4" t="s">
        <v>54</v>
      </c>
      <c r="E7" s="4" t="s">
        <v>63</v>
      </c>
      <c r="F7" s="4" t="s">
        <v>63</v>
      </c>
      <c r="G7" s="4" t="s">
        <v>112</v>
      </c>
      <c r="H7" s="4" t="s">
        <v>108</v>
      </c>
      <c r="I7" s="24" t="s">
        <v>109</v>
      </c>
      <c r="J7" s="15">
        <v>3</v>
      </c>
      <c r="K7" s="15">
        <v>5</v>
      </c>
      <c r="L7" s="15">
        <v>4</v>
      </c>
      <c r="M7" s="15">
        <v>3</v>
      </c>
      <c r="N7" s="15">
        <v>4</v>
      </c>
      <c r="O7" s="15">
        <v>5</v>
      </c>
      <c r="P7" s="15" t="s">
        <v>415</v>
      </c>
      <c r="Q7" s="23" t="s">
        <v>416</v>
      </c>
      <c r="R7" s="25">
        <f>ROUND((K7*Parametros!$B$4+L7*Parametros!$B$5+M7*Parametros!$B$6+N7*Parametros!$B$7+O7*Parametros!$B$8)/SUM(Parametros!$B$4:$B$8),2)</f>
        <v>4.25</v>
      </c>
      <c r="S7" s="26">
        <f>IFERROR(INDEX(Parametros!$F$33:$F$42,MATCH(D7,Parametros!$A$33:$A$42,0)),1)</f>
        <v>1.034</v>
      </c>
      <c r="T7" s="27">
        <f>IFERROR(INDEX(Parametros!$B$21:$B$26,MATCH(I7,Parametros!$A$21:$A$26,0)),0)</f>
        <v>0.3</v>
      </c>
      <c r="U7" s="28">
        <f t="shared" si="1"/>
        <v>4.6900000000000004</v>
      </c>
      <c r="V7" s="9">
        <f>IF(U7&gt;=Parametros!$B$14,4,IF(U7&gt;=Parametros!$B$13,3,IF(U7&gt;=Parametros!$B$12,2,1)))</f>
        <v>4</v>
      </c>
      <c r="W7" s="5">
        <f>MAX(V7,IF(K7=5,Parametros!$B$17,0),IF(P7="Sim",Parametros!$B$18,0))</f>
        <v>4</v>
      </c>
      <c r="X7" s="5" t="str">
        <f t="shared" si="2"/>
        <v>Urgente</v>
      </c>
      <c r="Y7" s="29">
        <f t="shared" si="3"/>
        <v>4046.5999929999998</v>
      </c>
      <c r="Z7" s="4" t="s">
        <v>113</v>
      </c>
    </row>
    <row r="8" spans="1:26" ht="28.05" customHeight="1" x14ac:dyDescent="0.3">
      <c r="A8" s="5">
        <f t="shared" si="0"/>
        <v>4</v>
      </c>
      <c r="B8" s="23" t="s">
        <v>419</v>
      </c>
      <c r="C8" s="17" t="s">
        <v>173</v>
      </c>
      <c r="D8" s="4" t="s">
        <v>54</v>
      </c>
      <c r="E8" s="4" t="s">
        <v>72</v>
      </c>
      <c r="F8" s="4" t="s">
        <v>72</v>
      </c>
      <c r="G8" s="4" t="s">
        <v>171</v>
      </c>
      <c r="H8" s="4" t="s">
        <v>172</v>
      </c>
      <c r="I8" s="24" t="s">
        <v>109</v>
      </c>
      <c r="J8" s="15">
        <v>3</v>
      </c>
      <c r="K8" s="15">
        <v>5</v>
      </c>
      <c r="L8" s="15">
        <v>4</v>
      </c>
      <c r="M8" s="15">
        <v>4</v>
      </c>
      <c r="N8" s="15">
        <v>4</v>
      </c>
      <c r="O8" s="15">
        <v>3</v>
      </c>
      <c r="P8" s="15" t="s">
        <v>415</v>
      </c>
      <c r="Q8" s="23" t="s">
        <v>416</v>
      </c>
      <c r="R8" s="25">
        <f>ROUND((K8*Parametros!$B$4+L8*Parametros!$B$5+M8*Parametros!$B$6+N8*Parametros!$B$7+O8*Parametros!$B$8)/SUM(Parametros!$B$4:$B$8),2)</f>
        <v>4.1500000000000004</v>
      </c>
      <c r="S8" s="26">
        <f>IFERROR(INDEX(Parametros!$F$33:$F$42,MATCH(D8,Parametros!$A$33:$A$42,0)),1)</f>
        <v>1.034</v>
      </c>
      <c r="T8" s="27">
        <f>IFERROR(INDEX(Parametros!$B$21:$B$26,MATCH(I8,Parametros!$A$21:$A$26,0)),0)</f>
        <v>0.3</v>
      </c>
      <c r="U8" s="28">
        <f t="shared" si="1"/>
        <v>4.59</v>
      </c>
      <c r="V8" s="9">
        <f>IF(U8&gt;=Parametros!$B$14,4,IF(U8&gt;=Parametros!$B$13,3,IF(U8&gt;=Parametros!$B$12,2,1)))</f>
        <v>4</v>
      </c>
      <c r="W8" s="5">
        <f>MAX(V8,IF(K8=5,Parametros!$B$17,0),IF(P8="Sim",Parametros!$B$18,0))</f>
        <v>4</v>
      </c>
      <c r="X8" s="5" t="str">
        <f t="shared" si="2"/>
        <v>Urgente</v>
      </c>
      <c r="Y8" s="29">
        <f t="shared" si="3"/>
        <v>4045.5999919999999</v>
      </c>
      <c r="Z8" s="4" t="s">
        <v>174</v>
      </c>
    </row>
    <row r="9" spans="1:26" ht="28.05" customHeight="1" x14ac:dyDescent="0.3">
      <c r="A9" s="5">
        <f t="shared" si="0"/>
        <v>5</v>
      </c>
      <c r="B9" s="23" t="s">
        <v>420</v>
      </c>
      <c r="C9" s="17" t="s">
        <v>114</v>
      </c>
      <c r="D9" s="4" t="s">
        <v>54</v>
      </c>
      <c r="E9" s="4" t="s">
        <v>63</v>
      </c>
      <c r="F9" s="4" t="s">
        <v>63</v>
      </c>
      <c r="G9" s="4" t="s">
        <v>112</v>
      </c>
      <c r="H9" s="4" t="s">
        <v>108</v>
      </c>
      <c r="I9" s="24" t="s">
        <v>109</v>
      </c>
      <c r="J9" s="15">
        <v>3</v>
      </c>
      <c r="K9" s="15">
        <v>4</v>
      </c>
      <c r="L9" s="15">
        <v>4</v>
      </c>
      <c r="M9" s="15">
        <v>4</v>
      </c>
      <c r="N9" s="15">
        <v>4</v>
      </c>
      <c r="O9" s="15">
        <v>4</v>
      </c>
      <c r="P9" s="15" t="s">
        <v>415</v>
      </c>
      <c r="Q9" s="23" t="s">
        <v>416</v>
      </c>
      <c r="R9" s="25">
        <f>ROUND((K9*Parametros!$B$4+L9*Parametros!$B$5+M9*Parametros!$B$6+N9*Parametros!$B$7+O9*Parametros!$B$8)/SUM(Parametros!$B$4:$B$8),2)</f>
        <v>4</v>
      </c>
      <c r="S9" s="26">
        <f>IFERROR(INDEX(Parametros!$F$33:$F$42,MATCH(D9,Parametros!$A$33:$A$42,0)),1)</f>
        <v>1.034</v>
      </c>
      <c r="T9" s="27">
        <f>IFERROR(INDEX(Parametros!$B$21:$B$26,MATCH(I9,Parametros!$A$21:$A$26,0)),0)</f>
        <v>0.3</v>
      </c>
      <c r="U9" s="28">
        <f t="shared" si="1"/>
        <v>4.4400000000000004</v>
      </c>
      <c r="V9" s="9">
        <f>IF(U9&gt;=Parametros!$B$14,4,IF(U9&gt;=Parametros!$B$13,3,IF(U9&gt;=Parametros!$B$12,2,1)))</f>
        <v>4</v>
      </c>
      <c r="W9" s="5">
        <f>MAX(V9,IF(K9=5,Parametros!$B$17,0),IF(P9="Sim",Parametros!$B$18,0))</f>
        <v>4</v>
      </c>
      <c r="X9" s="5" t="str">
        <f t="shared" si="2"/>
        <v>Urgente</v>
      </c>
      <c r="Y9" s="29">
        <f t="shared" si="3"/>
        <v>4044.099991</v>
      </c>
      <c r="Z9" s="4" t="s">
        <v>115</v>
      </c>
    </row>
    <row r="10" spans="1:26" ht="28.05" customHeight="1" x14ac:dyDescent="0.3">
      <c r="A10" s="5">
        <f t="shared" si="0"/>
        <v>6</v>
      </c>
      <c r="B10" s="23" t="s">
        <v>421</v>
      </c>
      <c r="C10" s="17" t="s">
        <v>116</v>
      </c>
      <c r="D10" s="4" t="s">
        <v>53</v>
      </c>
      <c r="E10" s="4" t="s">
        <v>74</v>
      </c>
      <c r="F10" s="4" t="s">
        <v>74</v>
      </c>
      <c r="G10" s="4" t="s">
        <v>107</v>
      </c>
      <c r="H10" s="4" t="s">
        <v>108</v>
      </c>
      <c r="I10" s="24" t="s">
        <v>109</v>
      </c>
      <c r="J10" s="15">
        <v>3</v>
      </c>
      <c r="K10" s="15">
        <v>5</v>
      </c>
      <c r="L10" s="15">
        <v>4</v>
      </c>
      <c r="M10" s="15">
        <v>2</v>
      </c>
      <c r="N10" s="15">
        <v>4</v>
      </c>
      <c r="O10" s="15">
        <v>4</v>
      </c>
      <c r="P10" s="15" t="s">
        <v>415</v>
      </c>
      <c r="Q10" s="23" t="s">
        <v>416</v>
      </c>
      <c r="R10" s="25">
        <f>ROUND((K10*Parametros!$B$4+L10*Parametros!$B$5+M10*Parametros!$B$6+N10*Parametros!$B$7+O10*Parametros!$B$8)/SUM(Parametros!$B$4:$B$8),2)</f>
        <v>3.9</v>
      </c>
      <c r="S10" s="26">
        <f>IFERROR(INDEX(Parametros!$F$33:$F$42,MATCH(D10,Parametros!$A$33:$A$42,0)),1)</f>
        <v>1.05</v>
      </c>
      <c r="T10" s="27">
        <f>IFERROR(INDEX(Parametros!$B$21:$B$26,MATCH(I10,Parametros!$A$21:$A$26,0)),0)</f>
        <v>0.3</v>
      </c>
      <c r="U10" s="28">
        <f t="shared" si="1"/>
        <v>4.4000000000000004</v>
      </c>
      <c r="V10" s="9">
        <f>IF(U10&gt;=Parametros!$B$14,4,IF(U10&gt;=Parametros!$B$13,3,IF(U10&gt;=Parametros!$B$12,2,1)))</f>
        <v>4</v>
      </c>
      <c r="W10" s="5">
        <f>MAX(V10,IF(K10=5,Parametros!$B$17,0),IF(P10="Sim",Parametros!$B$18,0))</f>
        <v>4</v>
      </c>
      <c r="X10" s="5" t="str">
        <f t="shared" si="2"/>
        <v>Urgente</v>
      </c>
      <c r="Y10" s="29">
        <f t="shared" si="3"/>
        <v>4043.6999899999996</v>
      </c>
      <c r="Z10" s="4" t="s">
        <v>117</v>
      </c>
    </row>
    <row r="11" spans="1:26" ht="28.05" customHeight="1" x14ac:dyDescent="0.3">
      <c r="A11" s="5">
        <f t="shared" si="0"/>
        <v>7</v>
      </c>
      <c r="B11" s="23" t="s">
        <v>422</v>
      </c>
      <c r="C11" s="17" t="s">
        <v>175</v>
      </c>
      <c r="D11" s="4" t="s">
        <v>52</v>
      </c>
      <c r="E11" s="4" t="s">
        <v>66</v>
      </c>
      <c r="F11" s="4" t="s">
        <v>66</v>
      </c>
      <c r="G11" s="4" t="s">
        <v>171</v>
      </c>
      <c r="H11" s="4" t="s">
        <v>172</v>
      </c>
      <c r="I11" s="24" t="s">
        <v>109</v>
      </c>
      <c r="J11" s="15">
        <v>5</v>
      </c>
      <c r="K11" s="15">
        <v>5</v>
      </c>
      <c r="L11" s="15">
        <v>4</v>
      </c>
      <c r="M11" s="15">
        <v>2</v>
      </c>
      <c r="N11" s="15">
        <v>4</v>
      </c>
      <c r="O11" s="15">
        <v>4</v>
      </c>
      <c r="P11" s="15" t="s">
        <v>415</v>
      </c>
      <c r="Q11" s="23" t="s">
        <v>416</v>
      </c>
      <c r="R11" s="25">
        <f>ROUND((K11*Parametros!$B$4+L11*Parametros!$B$5+M11*Parametros!$B$6+N11*Parametros!$B$7+O11*Parametros!$B$8)/SUM(Parametros!$B$4:$B$8),2)</f>
        <v>3.9</v>
      </c>
      <c r="S11" s="26">
        <f>IFERROR(INDEX(Parametros!$F$33:$F$42,MATCH(D11,Parametros!$A$33:$A$42,0)),1)</f>
        <v>1.05</v>
      </c>
      <c r="T11" s="27">
        <f>IFERROR(INDEX(Parametros!$B$21:$B$26,MATCH(I11,Parametros!$A$21:$A$26,0)),0)</f>
        <v>0.3</v>
      </c>
      <c r="U11" s="28">
        <f t="shared" si="1"/>
        <v>4.4000000000000004</v>
      </c>
      <c r="V11" s="9">
        <f>IF(U11&gt;=Parametros!$B$14,4,IF(U11&gt;=Parametros!$B$13,3,IF(U11&gt;=Parametros!$B$12,2,1)))</f>
        <v>4</v>
      </c>
      <c r="W11" s="5">
        <f>MAX(V11,IF(K11=5,Parametros!$B$17,0),IF(P11="Sim",Parametros!$B$18,0))</f>
        <v>4</v>
      </c>
      <c r="X11" s="5" t="str">
        <f t="shared" si="2"/>
        <v>Urgente</v>
      </c>
      <c r="Y11" s="29">
        <f t="shared" si="3"/>
        <v>4043.4999889999999</v>
      </c>
      <c r="Z11" s="4" t="s">
        <v>117</v>
      </c>
    </row>
    <row r="12" spans="1:26" ht="28.05" customHeight="1" x14ac:dyDescent="0.3">
      <c r="A12" s="5">
        <f t="shared" si="0"/>
        <v>8</v>
      </c>
      <c r="B12" s="23" t="s">
        <v>423</v>
      </c>
      <c r="C12" s="17" t="s">
        <v>118</v>
      </c>
      <c r="D12" s="4" t="s">
        <v>50</v>
      </c>
      <c r="E12" s="4" t="s">
        <v>70</v>
      </c>
      <c r="F12" s="4" t="s">
        <v>70</v>
      </c>
      <c r="G12" s="4" t="s">
        <v>119</v>
      </c>
      <c r="H12" s="4" t="s">
        <v>108</v>
      </c>
      <c r="I12" s="24" t="s">
        <v>109</v>
      </c>
      <c r="J12" s="15">
        <v>3</v>
      </c>
      <c r="K12" s="15">
        <v>4</v>
      </c>
      <c r="L12" s="15">
        <v>5</v>
      </c>
      <c r="M12" s="15">
        <v>4</v>
      </c>
      <c r="N12" s="15">
        <v>2</v>
      </c>
      <c r="O12" s="15">
        <v>3</v>
      </c>
      <c r="P12" s="15" t="s">
        <v>415</v>
      </c>
      <c r="Q12" s="23" t="s">
        <v>416</v>
      </c>
      <c r="R12" s="25">
        <f>ROUND((K12*Parametros!$B$4+L12*Parametros!$B$5+M12*Parametros!$B$6+N12*Parametros!$B$7+O12*Parametros!$B$8)/SUM(Parametros!$B$4:$B$8),2)</f>
        <v>3.75</v>
      </c>
      <c r="S12" s="26">
        <f>IFERROR(INDEX(Parametros!$F$33:$F$42,MATCH(D12,Parametros!$A$33:$A$42,0)),1)</f>
        <v>1.0840000000000001</v>
      </c>
      <c r="T12" s="27">
        <f>IFERROR(INDEX(Parametros!$B$21:$B$26,MATCH(I12,Parametros!$A$21:$A$26,0)),0)</f>
        <v>0.3</v>
      </c>
      <c r="U12" s="28">
        <f t="shared" si="1"/>
        <v>4.37</v>
      </c>
      <c r="V12" s="9">
        <f>IF(U12&gt;=Parametros!$B$14,4,IF(U12&gt;=Parametros!$B$13,3,IF(U12&gt;=Parametros!$B$12,2,1)))</f>
        <v>4</v>
      </c>
      <c r="W12" s="5">
        <f>MAX(V12,IF(K12=5,Parametros!$B$17,0),IF(P12="Sim",Parametros!$B$18,0))</f>
        <v>4</v>
      </c>
      <c r="X12" s="5" t="str">
        <f t="shared" si="2"/>
        <v>Urgente</v>
      </c>
      <c r="Y12" s="29">
        <f t="shared" si="3"/>
        <v>4043.3999879999997</v>
      </c>
      <c r="Z12" s="4" t="s">
        <v>120</v>
      </c>
    </row>
    <row r="13" spans="1:26" ht="28.05" customHeight="1" x14ac:dyDescent="0.3">
      <c r="A13" s="5">
        <f t="shared" si="0"/>
        <v>9</v>
      </c>
      <c r="B13" s="23" t="s">
        <v>424</v>
      </c>
      <c r="C13" s="17" t="s">
        <v>121</v>
      </c>
      <c r="D13" s="4" t="s">
        <v>52</v>
      </c>
      <c r="E13" s="4" t="s">
        <v>66</v>
      </c>
      <c r="F13" s="4" t="s">
        <v>66</v>
      </c>
      <c r="G13" s="4" t="s">
        <v>107</v>
      </c>
      <c r="H13" s="4" t="s">
        <v>108</v>
      </c>
      <c r="I13" s="24" t="s">
        <v>122</v>
      </c>
      <c r="J13" s="15">
        <v>4</v>
      </c>
      <c r="K13" s="15">
        <v>4</v>
      </c>
      <c r="L13" s="15">
        <v>5</v>
      </c>
      <c r="M13" s="15">
        <v>3</v>
      </c>
      <c r="N13" s="15">
        <v>4</v>
      </c>
      <c r="O13" s="15">
        <v>5</v>
      </c>
      <c r="P13" s="15" t="s">
        <v>415</v>
      </c>
      <c r="Q13" s="23" t="s">
        <v>416</v>
      </c>
      <c r="R13" s="25">
        <f>ROUND((K13*Parametros!$B$4+L13*Parametros!$B$5+M13*Parametros!$B$6+N13*Parametros!$B$7+O13*Parametros!$B$8)/SUM(Parametros!$B$4:$B$8),2)</f>
        <v>4.1500000000000004</v>
      </c>
      <c r="S13" s="26">
        <f>IFERROR(INDEX(Parametros!$F$33:$F$42,MATCH(D13,Parametros!$A$33:$A$42,0)),1)</f>
        <v>1.05</v>
      </c>
      <c r="T13" s="27">
        <f>IFERROR(INDEX(Parametros!$B$21:$B$26,MATCH(I13,Parametros!$A$21:$A$26,0)),0)</f>
        <v>0</v>
      </c>
      <c r="U13" s="28">
        <f t="shared" si="1"/>
        <v>4.3600000000000003</v>
      </c>
      <c r="V13" s="9">
        <f>IF(U13&gt;=Parametros!$B$14,4,IF(U13&gt;=Parametros!$B$13,3,IF(U13&gt;=Parametros!$B$12,2,1)))</f>
        <v>4</v>
      </c>
      <c r="W13" s="5">
        <f>MAX(V13,IF(K13=5,Parametros!$B$17,0),IF(P13="Sim",Parametros!$B$18,0))</f>
        <v>4</v>
      </c>
      <c r="X13" s="5" t="str">
        <f t="shared" si="2"/>
        <v>Urgente</v>
      </c>
      <c r="Y13" s="29">
        <f t="shared" si="3"/>
        <v>4043.199987</v>
      </c>
      <c r="Z13" s="4" t="s">
        <v>123</v>
      </c>
    </row>
    <row r="14" spans="1:26" ht="28.05" customHeight="1" x14ac:dyDescent="0.3">
      <c r="A14" s="5">
        <f t="shared" si="0"/>
        <v>10</v>
      </c>
      <c r="B14" s="23" t="s">
        <v>425</v>
      </c>
      <c r="C14" s="17" t="s">
        <v>124</v>
      </c>
      <c r="D14" s="4" t="s">
        <v>50</v>
      </c>
      <c r="E14" s="4" t="s">
        <v>65</v>
      </c>
      <c r="F14" s="4" t="s">
        <v>65</v>
      </c>
      <c r="G14" s="4" t="s">
        <v>107</v>
      </c>
      <c r="H14" s="4" t="s">
        <v>108</v>
      </c>
      <c r="I14" s="24" t="s">
        <v>122</v>
      </c>
      <c r="J14" s="15">
        <v>3</v>
      </c>
      <c r="K14" s="15">
        <v>4</v>
      </c>
      <c r="L14" s="15">
        <v>3</v>
      </c>
      <c r="M14" s="15">
        <v>5</v>
      </c>
      <c r="N14" s="15">
        <v>5</v>
      </c>
      <c r="O14" s="15">
        <v>3</v>
      </c>
      <c r="P14" s="15" t="s">
        <v>415</v>
      </c>
      <c r="Q14" s="23" t="s">
        <v>416</v>
      </c>
      <c r="R14" s="25">
        <f>ROUND((K14*Parametros!$B$4+L14*Parametros!$B$5+M14*Parametros!$B$6+N14*Parametros!$B$7+O14*Parametros!$B$8)/SUM(Parametros!$B$4:$B$8),2)</f>
        <v>4</v>
      </c>
      <c r="S14" s="26">
        <f>IFERROR(INDEX(Parametros!$F$33:$F$42,MATCH(D14,Parametros!$A$33:$A$42,0)),1)</f>
        <v>1.0840000000000001</v>
      </c>
      <c r="T14" s="27">
        <f>IFERROR(INDEX(Parametros!$B$21:$B$26,MATCH(I14,Parametros!$A$21:$A$26,0)),0)</f>
        <v>0</v>
      </c>
      <c r="U14" s="28">
        <f t="shared" si="1"/>
        <v>4.34</v>
      </c>
      <c r="V14" s="9">
        <f>IF(U14&gt;=Parametros!$B$14,4,IF(U14&gt;=Parametros!$B$13,3,IF(U14&gt;=Parametros!$B$12,2,1)))</f>
        <v>4</v>
      </c>
      <c r="W14" s="5">
        <f>MAX(V14,IF(K14=5,Parametros!$B$17,0),IF(P14="Sim",Parametros!$B$18,0))</f>
        <v>4</v>
      </c>
      <c r="X14" s="5" t="str">
        <f t="shared" si="2"/>
        <v>Urgente</v>
      </c>
      <c r="Y14" s="29">
        <f t="shared" si="3"/>
        <v>4043.0999859999997</v>
      </c>
      <c r="Z14" s="4" t="s">
        <v>125</v>
      </c>
    </row>
    <row r="15" spans="1:26" ht="28.05" customHeight="1" x14ac:dyDescent="0.3">
      <c r="A15" s="5">
        <f t="shared" si="0"/>
        <v>11</v>
      </c>
      <c r="B15" s="23" t="s">
        <v>426</v>
      </c>
      <c r="C15" s="17" t="s">
        <v>126</v>
      </c>
      <c r="D15" s="4" t="s">
        <v>50</v>
      </c>
      <c r="E15" s="4" t="s">
        <v>69</v>
      </c>
      <c r="F15" s="4" t="s">
        <v>427</v>
      </c>
      <c r="G15" s="4" t="s">
        <v>107</v>
      </c>
      <c r="H15" s="4" t="s">
        <v>108</v>
      </c>
      <c r="I15" s="24" t="s">
        <v>109</v>
      </c>
      <c r="J15" s="15">
        <v>2</v>
      </c>
      <c r="K15" s="15">
        <v>4</v>
      </c>
      <c r="L15" s="15">
        <v>4</v>
      </c>
      <c r="M15" s="15">
        <v>4</v>
      </c>
      <c r="N15" s="15">
        <v>4</v>
      </c>
      <c r="O15" s="15">
        <v>2</v>
      </c>
      <c r="P15" s="15" t="s">
        <v>415</v>
      </c>
      <c r="Q15" s="23" t="s">
        <v>416</v>
      </c>
      <c r="R15" s="25">
        <f>ROUND((K15*Parametros!$B$4+L15*Parametros!$B$5+M15*Parametros!$B$6+N15*Parametros!$B$7+O15*Parametros!$B$8)/SUM(Parametros!$B$4:$B$8),2)</f>
        <v>3.7</v>
      </c>
      <c r="S15" s="26">
        <f>IFERROR(INDEX(Parametros!$F$33:$F$42,MATCH(D15,Parametros!$A$33:$A$42,0)),1)</f>
        <v>1.0840000000000001</v>
      </c>
      <c r="T15" s="27">
        <f>IFERROR(INDEX(Parametros!$B$21:$B$26,MATCH(I15,Parametros!$A$21:$A$26,0)),0)</f>
        <v>0.3</v>
      </c>
      <c r="U15" s="28">
        <f t="shared" si="1"/>
        <v>4.3099999999999996</v>
      </c>
      <c r="V15" s="9">
        <f>IF(U15&gt;=Parametros!$B$14,4,IF(U15&gt;=Parametros!$B$13,3,IF(U15&gt;=Parametros!$B$12,2,1)))</f>
        <v>4</v>
      </c>
      <c r="W15" s="5">
        <f>MAX(V15,IF(K15=5,Parametros!$B$17,0),IF(P15="Sim",Parametros!$B$18,0))</f>
        <v>4</v>
      </c>
      <c r="X15" s="5" t="str">
        <f t="shared" si="2"/>
        <v>Urgente</v>
      </c>
      <c r="Y15" s="29">
        <f t="shared" si="3"/>
        <v>4042.899985</v>
      </c>
      <c r="Z15" s="4" t="s">
        <v>127</v>
      </c>
    </row>
    <row r="16" spans="1:26" ht="28.05" customHeight="1" x14ac:dyDescent="0.3">
      <c r="A16" s="5">
        <f t="shared" si="0"/>
        <v>12</v>
      </c>
      <c r="B16" s="23" t="s">
        <v>428</v>
      </c>
      <c r="C16" s="17" t="s">
        <v>128</v>
      </c>
      <c r="D16" s="4" t="s">
        <v>50</v>
      </c>
      <c r="E16" s="4" t="s">
        <v>68</v>
      </c>
      <c r="F16" s="4" t="s">
        <v>68</v>
      </c>
      <c r="G16" s="4" t="s">
        <v>112</v>
      </c>
      <c r="H16" s="4" t="s">
        <v>108</v>
      </c>
      <c r="I16" s="24" t="s">
        <v>109</v>
      </c>
      <c r="J16" s="15">
        <v>3</v>
      </c>
      <c r="K16" s="15">
        <v>4</v>
      </c>
      <c r="L16" s="15">
        <v>5</v>
      </c>
      <c r="M16" s="15">
        <v>3</v>
      </c>
      <c r="N16" s="15">
        <v>3</v>
      </c>
      <c r="O16" s="15">
        <v>3</v>
      </c>
      <c r="P16" s="15" t="s">
        <v>415</v>
      </c>
      <c r="Q16" s="23" t="s">
        <v>416</v>
      </c>
      <c r="R16" s="25">
        <f>ROUND((K16*Parametros!$B$4+L16*Parametros!$B$5+M16*Parametros!$B$6+N16*Parametros!$B$7+O16*Parametros!$B$8)/SUM(Parametros!$B$4:$B$8),2)</f>
        <v>3.7</v>
      </c>
      <c r="S16" s="26">
        <f>IFERROR(INDEX(Parametros!$F$33:$F$42,MATCH(D16,Parametros!$A$33:$A$42,0)),1)</f>
        <v>1.0840000000000001</v>
      </c>
      <c r="T16" s="27">
        <f>IFERROR(INDEX(Parametros!$B$21:$B$26,MATCH(I16,Parametros!$A$21:$A$26,0)),0)</f>
        <v>0.3</v>
      </c>
      <c r="U16" s="28">
        <f t="shared" si="1"/>
        <v>4.3099999999999996</v>
      </c>
      <c r="V16" s="9">
        <f>IF(U16&gt;=Parametros!$B$14,4,IF(U16&gt;=Parametros!$B$13,3,IF(U16&gt;=Parametros!$B$12,2,1)))</f>
        <v>4</v>
      </c>
      <c r="W16" s="5">
        <f>MAX(V16,IF(K16=5,Parametros!$B$17,0),IF(P16="Sim",Parametros!$B$18,0))</f>
        <v>4</v>
      </c>
      <c r="X16" s="5" t="str">
        <f t="shared" si="2"/>
        <v>Urgente</v>
      </c>
      <c r="Y16" s="29">
        <f t="shared" si="3"/>
        <v>4042.7999839999998</v>
      </c>
      <c r="Z16" s="4" t="s">
        <v>129</v>
      </c>
    </row>
    <row r="17" spans="1:26" ht="28.05" customHeight="1" x14ac:dyDescent="0.3">
      <c r="A17" s="5">
        <f t="shared" si="0"/>
        <v>13</v>
      </c>
      <c r="B17" s="23" t="s">
        <v>429</v>
      </c>
      <c r="C17" s="17" t="s">
        <v>130</v>
      </c>
      <c r="D17" s="4" t="s">
        <v>54</v>
      </c>
      <c r="E17" s="4" t="s">
        <v>63</v>
      </c>
      <c r="F17" s="4" t="s">
        <v>63</v>
      </c>
      <c r="G17" s="4" t="s">
        <v>112</v>
      </c>
      <c r="H17" s="4" t="s">
        <v>108</v>
      </c>
      <c r="I17" s="24" t="s">
        <v>131</v>
      </c>
      <c r="J17" s="15">
        <v>5</v>
      </c>
      <c r="K17" s="15">
        <v>4</v>
      </c>
      <c r="L17" s="15">
        <v>4</v>
      </c>
      <c r="M17" s="15">
        <v>4</v>
      </c>
      <c r="N17" s="15">
        <v>4</v>
      </c>
      <c r="O17" s="15">
        <v>5</v>
      </c>
      <c r="P17" s="15" t="s">
        <v>415</v>
      </c>
      <c r="Q17" s="23" t="s">
        <v>416</v>
      </c>
      <c r="R17" s="25">
        <f>ROUND((K17*Parametros!$B$4+L17*Parametros!$B$5+M17*Parametros!$B$6+N17*Parametros!$B$7+O17*Parametros!$B$8)/SUM(Parametros!$B$4:$B$8),2)</f>
        <v>4.1500000000000004</v>
      </c>
      <c r="S17" s="26">
        <f>IFERROR(INDEX(Parametros!$F$33:$F$42,MATCH(D17,Parametros!$A$33:$A$42,0)),1)</f>
        <v>1.034</v>
      </c>
      <c r="T17" s="27">
        <f>IFERROR(INDEX(Parametros!$B$21:$B$26,MATCH(I17,Parametros!$A$21:$A$26,0)),0)</f>
        <v>0</v>
      </c>
      <c r="U17" s="28">
        <f t="shared" si="1"/>
        <v>4.29</v>
      </c>
      <c r="V17" s="9">
        <f>IF(U17&gt;=Parametros!$B$14,4,IF(U17&gt;=Parametros!$B$13,3,IF(U17&gt;=Parametros!$B$12,2,1)))</f>
        <v>4</v>
      </c>
      <c r="W17" s="5">
        <f>MAX(V17,IF(K17=5,Parametros!$B$17,0),IF(P17="Sim",Parametros!$B$18,0))</f>
        <v>4</v>
      </c>
      <c r="X17" s="5" t="str">
        <f t="shared" si="2"/>
        <v>Urgente</v>
      </c>
      <c r="Y17" s="29">
        <f t="shared" si="3"/>
        <v>4042.3999830000002</v>
      </c>
      <c r="Z17" s="4" t="s">
        <v>132</v>
      </c>
    </row>
    <row r="18" spans="1:26" ht="28.05" customHeight="1" x14ac:dyDescent="0.3">
      <c r="A18" s="5">
        <f t="shared" si="0"/>
        <v>14</v>
      </c>
      <c r="B18" s="23" t="s">
        <v>430</v>
      </c>
      <c r="C18" s="17" t="s">
        <v>133</v>
      </c>
      <c r="D18" s="4" t="s">
        <v>54</v>
      </c>
      <c r="E18" s="4" t="s">
        <v>64</v>
      </c>
      <c r="F18" s="4" t="s">
        <v>64</v>
      </c>
      <c r="G18" s="4" t="s">
        <v>134</v>
      </c>
      <c r="H18" s="4" t="s">
        <v>108</v>
      </c>
      <c r="I18" s="24" t="s">
        <v>109</v>
      </c>
      <c r="J18" s="15">
        <v>3</v>
      </c>
      <c r="K18" s="15">
        <v>5</v>
      </c>
      <c r="L18" s="15">
        <v>4</v>
      </c>
      <c r="M18" s="15">
        <v>3</v>
      </c>
      <c r="N18" s="15">
        <v>3</v>
      </c>
      <c r="O18" s="15">
        <v>3</v>
      </c>
      <c r="P18" s="15" t="s">
        <v>415</v>
      </c>
      <c r="Q18" s="23" t="s">
        <v>416</v>
      </c>
      <c r="R18" s="25">
        <f>ROUND((K18*Parametros!$B$4+L18*Parametros!$B$5+M18*Parametros!$B$6+N18*Parametros!$B$7+O18*Parametros!$B$8)/SUM(Parametros!$B$4:$B$8),2)</f>
        <v>3.8</v>
      </c>
      <c r="S18" s="26">
        <f>IFERROR(INDEX(Parametros!$F$33:$F$42,MATCH(D18,Parametros!$A$33:$A$42,0)),1)</f>
        <v>1.034</v>
      </c>
      <c r="T18" s="27">
        <f>IFERROR(INDEX(Parametros!$B$21:$B$26,MATCH(I18,Parametros!$A$21:$A$26,0)),0)</f>
        <v>0.3</v>
      </c>
      <c r="U18" s="28">
        <f t="shared" si="1"/>
        <v>4.2300000000000004</v>
      </c>
      <c r="V18" s="9">
        <f>IF(U18&gt;=Parametros!$B$14,4,IF(U18&gt;=Parametros!$B$13,3,IF(U18&gt;=Parametros!$B$12,2,1)))</f>
        <v>4</v>
      </c>
      <c r="W18" s="5">
        <f>MAX(V18,IF(K18=5,Parametros!$B$17,0),IF(P18="Sim",Parametros!$B$18,0))</f>
        <v>4</v>
      </c>
      <c r="X18" s="5" t="str">
        <f t="shared" si="2"/>
        <v>Urgente</v>
      </c>
      <c r="Y18" s="29">
        <f t="shared" si="3"/>
        <v>4041.9999819999998</v>
      </c>
      <c r="Z18" s="4" t="s">
        <v>135</v>
      </c>
    </row>
    <row r="19" spans="1:26" ht="28.05" customHeight="1" x14ac:dyDescent="0.3">
      <c r="A19" s="5">
        <f t="shared" si="0"/>
        <v>15</v>
      </c>
      <c r="B19" s="23" t="s">
        <v>431</v>
      </c>
      <c r="C19" s="17" t="s">
        <v>136</v>
      </c>
      <c r="D19" s="4" t="s">
        <v>54</v>
      </c>
      <c r="E19" s="4" t="s">
        <v>65</v>
      </c>
      <c r="F19" s="4" t="s">
        <v>65</v>
      </c>
      <c r="G19" s="4" t="s">
        <v>112</v>
      </c>
      <c r="H19" s="4" t="s">
        <v>108</v>
      </c>
      <c r="I19" s="24" t="s">
        <v>109</v>
      </c>
      <c r="J19" s="15">
        <v>3</v>
      </c>
      <c r="K19" s="15">
        <v>5</v>
      </c>
      <c r="L19" s="15">
        <v>4</v>
      </c>
      <c r="M19" s="15">
        <v>3</v>
      </c>
      <c r="N19" s="15">
        <v>3</v>
      </c>
      <c r="O19" s="15">
        <v>3</v>
      </c>
      <c r="P19" s="15" t="s">
        <v>415</v>
      </c>
      <c r="Q19" s="23" t="s">
        <v>416</v>
      </c>
      <c r="R19" s="25">
        <f>ROUND((K19*Parametros!$B$4+L19*Parametros!$B$5+M19*Parametros!$B$6+N19*Parametros!$B$7+O19*Parametros!$B$8)/SUM(Parametros!$B$4:$B$8),2)</f>
        <v>3.8</v>
      </c>
      <c r="S19" s="26">
        <f>IFERROR(INDEX(Parametros!$F$33:$F$42,MATCH(D19,Parametros!$A$33:$A$42,0)),1)</f>
        <v>1.034</v>
      </c>
      <c r="T19" s="27">
        <f>IFERROR(INDEX(Parametros!$B$21:$B$26,MATCH(I19,Parametros!$A$21:$A$26,0)),0)</f>
        <v>0.3</v>
      </c>
      <c r="U19" s="28">
        <f t="shared" si="1"/>
        <v>4.2300000000000004</v>
      </c>
      <c r="V19" s="9">
        <f>IF(U19&gt;=Parametros!$B$14,4,IF(U19&gt;=Parametros!$B$13,3,IF(U19&gt;=Parametros!$B$12,2,1)))</f>
        <v>4</v>
      </c>
      <c r="W19" s="5">
        <f>MAX(V19,IF(K19=5,Parametros!$B$17,0),IF(P19="Sim",Parametros!$B$18,0))</f>
        <v>4</v>
      </c>
      <c r="X19" s="5" t="str">
        <f t="shared" si="2"/>
        <v>Urgente</v>
      </c>
      <c r="Y19" s="29">
        <f t="shared" si="3"/>
        <v>4041.9999809999999</v>
      </c>
      <c r="Z19" s="4" t="s">
        <v>135</v>
      </c>
    </row>
    <row r="20" spans="1:26" ht="28.05" customHeight="1" x14ac:dyDescent="0.3">
      <c r="A20" s="5">
        <f t="shared" si="0"/>
        <v>16</v>
      </c>
      <c r="B20" s="23" t="s">
        <v>432</v>
      </c>
      <c r="C20" s="17" t="s">
        <v>176</v>
      </c>
      <c r="D20" s="4" t="s">
        <v>53</v>
      </c>
      <c r="E20" s="4" t="s">
        <v>77</v>
      </c>
      <c r="F20" s="4" t="s">
        <v>77</v>
      </c>
      <c r="G20" s="4" t="s">
        <v>171</v>
      </c>
      <c r="H20" s="4" t="s">
        <v>172</v>
      </c>
      <c r="I20" s="24" t="s">
        <v>109</v>
      </c>
      <c r="J20" s="15">
        <v>4</v>
      </c>
      <c r="K20" s="15">
        <v>5</v>
      </c>
      <c r="L20" s="15">
        <v>5</v>
      </c>
      <c r="M20" s="15">
        <v>1</v>
      </c>
      <c r="N20" s="15">
        <v>3</v>
      </c>
      <c r="O20" s="15">
        <v>4</v>
      </c>
      <c r="P20" s="15" t="s">
        <v>415</v>
      </c>
      <c r="Q20" s="23" t="s">
        <v>416</v>
      </c>
      <c r="R20" s="25">
        <f>ROUND((K20*Parametros!$B$4+L20*Parametros!$B$5+M20*Parametros!$B$6+N20*Parametros!$B$7+O20*Parametros!$B$8)/SUM(Parametros!$B$4:$B$8),2)</f>
        <v>3.75</v>
      </c>
      <c r="S20" s="26">
        <f>IFERROR(INDEX(Parametros!$F$33:$F$42,MATCH(D20,Parametros!$A$33:$A$42,0)),1)</f>
        <v>1.05</v>
      </c>
      <c r="T20" s="27">
        <f>IFERROR(INDEX(Parametros!$B$21:$B$26,MATCH(I20,Parametros!$A$21:$A$26,0)),0)</f>
        <v>0.3</v>
      </c>
      <c r="U20" s="28">
        <f t="shared" si="1"/>
        <v>4.24</v>
      </c>
      <c r="V20" s="9">
        <f>IF(U20&gt;=Parametros!$B$14,4,IF(U20&gt;=Parametros!$B$13,3,IF(U20&gt;=Parametros!$B$12,2,1)))</f>
        <v>4</v>
      </c>
      <c r="W20" s="5">
        <f>MAX(V20,IF(K20=5,Parametros!$B$17,0),IF(P20="Sim",Parametros!$B$18,0))</f>
        <v>4</v>
      </c>
      <c r="X20" s="5" t="str">
        <f t="shared" si="2"/>
        <v>Urgente</v>
      </c>
      <c r="Y20" s="29">
        <f t="shared" si="3"/>
        <v>4041.9999800000001</v>
      </c>
      <c r="Z20" s="4" t="s">
        <v>177</v>
      </c>
    </row>
    <row r="21" spans="1:26" ht="28.05" customHeight="1" x14ac:dyDescent="0.3">
      <c r="A21" s="5">
        <f t="shared" si="0"/>
        <v>17</v>
      </c>
      <c r="B21" s="23" t="s">
        <v>433</v>
      </c>
      <c r="C21" s="17" t="s">
        <v>137</v>
      </c>
      <c r="D21" s="4" t="s">
        <v>54</v>
      </c>
      <c r="E21" s="4" t="s">
        <v>63</v>
      </c>
      <c r="F21" s="4" t="s">
        <v>63</v>
      </c>
      <c r="G21" s="4" t="s">
        <v>107</v>
      </c>
      <c r="H21" s="4" t="s">
        <v>108</v>
      </c>
      <c r="I21" s="24" t="s">
        <v>109</v>
      </c>
      <c r="J21" s="15">
        <v>2</v>
      </c>
      <c r="K21" s="15">
        <v>5</v>
      </c>
      <c r="L21" s="15">
        <v>4</v>
      </c>
      <c r="M21" s="15">
        <v>2</v>
      </c>
      <c r="N21" s="15">
        <v>3</v>
      </c>
      <c r="O21" s="15">
        <v>4</v>
      </c>
      <c r="P21" s="15" t="s">
        <v>415</v>
      </c>
      <c r="Q21" s="23" t="s">
        <v>416</v>
      </c>
      <c r="R21" s="25">
        <f>ROUND((K21*Parametros!$B$4+L21*Parametros!$B$5+M21*Parametros!$B$6+N21*Parametros!$B$7+O21*Parametros!$B$8)/SUM(Parametros!$B$4:$B$8),2)</f>
        <v>3.75</v>
      </c>
      <c r="S21" s="26">
        <f>IFERROR(INDEX(Parametros!$F$33:$F$42,MATCH(D21,Parametros!$A$33:$A$42,0)),1)</f>
        <v>1.034</v>
      </c>
      <c r="T21" s="27">
        <f>IFERROR(INDEX(Parametros!$B$21:$B$26,MATCH(I21,Parametros!$A$21:$A$26,0)),0)</f>
        <v>0.3</v>
      </c>
      <c r="U21" s="28">
        <f t="shared" si="1"/>
        <v>4.18</v>
      </c>
      <c r="V21" s="9">
        <f>IF(U21&gt;=Parametros!$B$14,4,IF(U21&gt;=Parametros!$B$13,3,IF(U21&gt;=Parametros!$B$12,2,1)))</f>
        <v>4</v>
      </c>
      <c r="W21" s="5">
        <f>MAX(V21,IF(K21=5,Parametros!$B$17,0),IF(P21="Sim",Parametros!$B$18,0))</f>
        <v>4</v>
      </c>
      <c r="X21" s="5" t="str">
        <f t="shared" si="2"/>
        <v>Urgente</v>
      </c>
      <c r="Y21" s="29">
        <f t="shared" si="3"/>
        <v>4041.5999790000005</v>
      </c>
      <c r="Z21" s="4" t="s">
        <v>138</v>
      </c>
    </row>
    <row r="22" spans="1:26" ht="28.05" customHeight="1" x14ac:dyDescent="0.3">
      <c r="A22" s="5">
        <f t="shared" si="0"/>
        <v>18</v>
      </c>
      <c r="B22" s="23" t="s">
        <v>434</v>
      </c>
      <c r="C22" s="17" t="s">
        <v>139</v>
      </c>
      <c r="D22" s="4" t="s">
        <v>50</v>
      </c>
      <c r="E22" s="4" t="s">
        <v>65</v>
      </c>
      <c r="F22" s="4" t="s">
        <v>65</v>
      </c>
      <c r="G22" s="4" t="s">
        <v>107</v>
      </c>
      <c r="H22" s="4" t="s">
        <v>108</v>
      </c>
      <c r="I22" s="24" t="s">
        <v>122</v>
      </c>
      <c r="J22" s="15">
        <v>3</v>
      </c>
      <c r="K22" s="15">
        <v>4</v>
      </c>
      <c r="L22" s="15">
        <v>4</v>
      </c>
      <c r="M22" s="15">
        <v>4</v>
      </c>
      <c r="N22" s="15">
        <v>4</v>
      </c>
      <c r="O22" s="15">
        <v>3</v>
      </c>
      <c r="P22" s="15" t="s">
        <v>415</v>
      </c>
      <c r="Q22" s="23" t="s">
        <v>416</v>
      </c>
      <c r="R22" s="25">
        <f>ROUND((K22*Parametros!$B$4+L22*Parametros!$B$5+M22*Parametros!$B$6+N22*Parametros!$B$7+O22*Parametros!$B$8)/SUM(Parametros!$B$4:$B$8),2)</f>
        <v>3.85</v>
      </c>
      <c r="S22" s="26">
        <f>IFERROR(INDEX(Parametros!$F$33:$F$42,MATCH(D22,Parametros!$A$33:$A$42,0)),1)</f>
        <v>1.0840000000000001</v>
      </c>
      <c r="T22" s="27">
        <f>IFERROR(INDEX(Parametros!$B$21:$B$26,MATCH(I22,Parametros!$A$21:$A$26,0)),0)</f>
        <v>0</v>
      </c>
      <c r="U22" s="28">
        <f t="shared" si="1"/>
        <v>4.17</v>
      </c>
      <c r="V22" s="9">
        <f>IF(U22&gt;=Parametros!$B$14,4,IF(U22&gt;=Parametros!$B$13,3,IF(U22&gt;=Parametros!$B$12,2,1)))</f>
        <v>4</v>
      </c>
      <c r="W22" s="5">
        <f>MAX(V22,IF(K22=5,Parametros!$B$17,0),IF(P22="Sim",Parametros!$B$18,0))</f>
        <v>4</v>
      </c>
      <c r="X22" s="5" t="str">
        <f t="shared" si="2"/>
        <v>Urgente</v>
      </c>
      <c r="Y22" s="29">
        <f t="shared" si="3"/>
        <v>4041.3999779999995</v>
      </c>
      <c r="Z22" s="4" t="s">
        <v>140</v>
      </c>
    </row>
    <row r="23" spans="1:26" ht="28.05" customHeight="1" x14ac:dyDescent="0.3">
      <c r="A23" s="5">
        <f t="shared" si="0"/>
        <v>19</v>
      </c>
      <c r="B23" s="23" t="s">
        <v>435</v>
      </c>
      <c r="C23" s="17" t="s">
        <v>141</v>
      </c>
      <c r="D23" s="4" t="s">
        <v>50</v>
      </c>
      <c r="E23" s="4" t="s">
        <v>67</v>
      </c>
      <c r="F23" s="4" t="s">
        <v>67</v>
      </c>
      <c r="G23" s="4" t="s">
        <v>112</v>
      </c>
      <c r="H23" s="4" t="s">
        <v>108</v>
      </c>
      <c r="I23" s="24" t="s">
        <v>122</v>
      </c>
      <c r="J23" s="15">
        <v>4</v>
      </c>
      <c r="K23" s="15">
        <v>4</v>
      </c>
      <c r="L23" s="15">
        <v>5</v>
      </c>
      <c r="M23" s="15">
        <v>3</v>
      </c>
      <c r="N23" s="15">
        <v>3</v>
      </c>
      <c r="O23" s="15">
        <v>4</v>
      </c>
      <c r="P23" s="15" t="s">
        <v>415</v>
      </c>
      <c r="Q23" s="23" t="s">
        <v>416</v>
      </c>
      <c r="R23" s="25">
        <f>ROUND((K23*Parametros!$B$4+L23*Parametros!$B$5+M23*Parametros!$B$6+N23*Parametros!$B$7+O23*Parametros!$B$8)/SUM(Parametros!$B$4:$B$8),2)</f>
        <v>3.85</v>
      </c>
      <c r="S23" s="26">
        <f>IFERROR(INDEX(Parametros!$F$33:$F$42,MATCH(D23,Parametros!$A$33:$A$42,0)),1)</f>
        <v>1.0840000000000001</v>
      </c>
      <c r="T23" s="27">
        <f>IFERROR(INDEX(Parametros!$B$21:$B$26,MATCH(I23,Parametros!$A$21:$A$26,0)),0)</f>
        <v>0</v>
      </c>
      <c r="U23" s="28">
        <f t="shared" si="1"/>
        <v>4.17</v>
      </c>
      <c r="V23" s="9">
        <f>IF(U23&gt;=Parametros!$B$14,4,IF(U23&gt;=Parametros!$B$13,3,IF(U23&gt;=Parametros!$B$12,2,1)))</f>
        <v>4</v>
      </c>
      <c r="W23" s="5">
        <f>MAX(V23,IF(K23=5,Parametros!$B$17,0),IF(P23="Sim",Parametros!$B$18,0))</f>
        <v>4</v>
      </c>
      <c r="X23" s="5" t="str">
        <f t="shared" si="2"/>
        <v>Urgente</v>
      </c>
      <c r="Y23" s="29">
        <f t="shared" si="3"/>
        <v>4041.2999769999997</v>
      </c>
      <c r="Z23" s="4" t="s">
        <v>142</v>
      </c>
    </row>
    <row r="24" spans="1:26" ht="28.05" customHeight="1" x14ac:dyDescent="0.3">
      <c r="A24" s="5">
        <f t="shared" si="0"/>
        <v>20</v>
      </c>
      <c r="B24" s="23" t="s">
        <v>436</v>
      </c>
      <c r="C24" s="17" t="s">
        <v>178</v>
      </c>
      <c r="D24" s="4" t="s">
        <v>53</v>
      </c>
      <c r="E24" s="4" t="s">
        <v>76</v>
      </c>
      <c r="F24" s="4" t="s">
        <v>76</v>
      </c>
      <c r="G24" s="4" t="s">
        <v>171</v>
      </c>
      <c r="H24" s="4" t="s">
        <v>172</v>
      </c>
      <c r="I24" s="24" t="s">
        <v>109</v>
      </c>
      <c r="J24" s="15">
        <v>2</v>
      </c>
      <c r="K24" s="15">
        <v>4</v>
      </c>
      <c r="L24" s="15">
        <v>4</v>
      </c>
      <c r="M24" s="15">
        <v>3</v>
      </c>
      <c r="N24" s="15">
        <v>4</v>
      </c>
      <c r="O24" s="15">
        <v>3</v>
      </c>
      <c r="P24" s="15" t="s">
        <v>415</v>
      </c>
      <c r="Q24" s="23" t="s">
        <v>416</v>
      </c>
      <c r="R24" s="25">
        <f>ROUND((K24*Parametros!$B$4+L24*Parametros!$B$5+M24*Parametros!$B$6+N24*Parametros!$B$7+O24*Parametros!$B$8)/SUM(Parametros!$B$4:$B$8),2)</f>
        <v>3.65</v>
      </c>
      <c r="S24" s="26">
        <f>IFERROR(INDEX(Parametros!$F$33:$F$42,MATCH(D24,Parametros!$A$33:$A$42,0)),1)</f>
        <v>1.05</v>
      </c>
      <c r="T24" s="27">
        <f>IFERROR(INDEX(Parametros!$B$21:$B$26,MATCH(I24,Parametros!$A$21:$A$26,0)),0)</f>
        <v>0.3</v>
      </c>
      <c r="U24" s="28">
        <f t="shared" si="1"/>
        <v>4.13</v>
      </c>
      <c r="V24" s="9">
        <f>IF(U24&gt;=Parametros!$B$14,4,IF(U24&gt;=Parametros!$B$13,3,IF(U24&gt;=Parametros!$B$12,2,1)))</f>
        <v>4</v>
      </c>
      <c r="W24" s="5">
        <f>MAX(V24,IF(K24=5,Parametros!$B$17,0),IF(P24="Sim",Parametros!$B$18,0))</f>
        <v>4</v>
      </c>
      <c r="X24" s="5" t="str">
        <f t="shared" si="2"/>
        <v>Urgente</v>
      </c>
      <c r="Y24" s="29">
        <f t="shared" si="3"/>
        <v>4041.0999760000004</v>
      </c>
      <c r="Z24" s="4" t="s">
        <v>179</v>
      </c>
    </row>
    <row r="25" spans="1:26" ht="28.05" customHeight="1" x14ac:dyDescent="0.3">
      <c r="A25" s="5">
        <f t="shared" si="0"/>
        <v>21</v>
      </c>
      <c r="B25" s="23" t="s">
        <v>437</v>
      </c>
      <c r="C25" s="17" t="s">
        <v>180</v>
      </c>
      <c r="D25" s="4" t="s">
        <v>54</v>
      </c>
      <c r="E25" s="4" t="s">
        <v>72</v>
      </c>
      <c r="F25" s="4" t="s">
        <v>72</v>
      </c>
      <c r="G25" s="4" t="s">
        <v>171</v>
      </c>
      <c r="H25" s="4" t="s">
        <v>172</v>
      </c>
      <c r="I25" s="24" t="s">
        <v>122</v>
      </c>
      <c r="J25" s="15">
        <v>3</v>
      </c>
      <c r="K25" s="15">
        <v>4</v>
      </c>
      <c r="L25" s="15">
        <v>5</v>
      </c>
      <c r="M25" s="15">
        <v>3</v>
      </c>
      <c r="N25" s="15">
        <v>4</v>
      </c>
      <c r="O25" s="15">
        <v>4</v>
      </c>
      <c r="P25" s="15" t="s">
        <v>415</v>
      </c>
      <c r="Q25" s="23" t="s">
        <v>416</v>
      </c>
      <c r="R25" s="25">
        <f>ROUND((K25*Parametros!$B$4+L25*Parametros!$B$5+M25*Parametros!$B$6+N25*Parametros!$B$7+O25*Parametros!$B$8)/SUM(Parametros!$B$4:$B$8),2)</f>
        <v>4</v>
      </c>
      <c r="S25" s="26">
        <f>IFERROR(INDEX(Parametros!$F$33:$F$42,MATCH(D25,Parametros!$A$33:$A$42,0)),1)</f>
        <v>1.034</v>
      </c>
      <c r="T25" s="27">
        <f>IFERROR(INDEX(Parametros!$B$21:$B$26,MATCH(I25,Parametros!$A$21:$A$26,0)),0)</f>
        <v>0</v>
      </c>
      <c r="U25" s="28">
        <f t="shared" si="1"/>
        <v>4.1399999999999997</v>
      </c>
      <c r="V25" s="9">
        <f>IF(U25&gt;=Parametros!$B$14,4,IF(U25&gt;=Parametros!$B$13,3,IF(U25&gt;=Parametros!$B$12,2,1)))</f>
        <v>4</v>
      </c>
      <c r="W25" s="5">
        <f>MAX(V25,IF(K25=5,Parametros!$B$17,0),IF(P25="Sim",Parametros!$B$18,0))</f>
        <v>4</v>
      </c>
      <c r="X25" s="5" t="str">
        <f t="shared" si="2"/>
        <v>Urgente</v>
      </c>
      <c r="Y25" s="29">
        <f t="shared" si="3"/>
        <v>4041.0999750000001</v>
      </c>
      <c r="Z25" s="4" t="s">
        <v>181</v>
      </c>
    </row>
    <row r="26" spans="1:26" ht="28.05" customHeight="1" x14ac:dyDescent="0.3">
      <c r="A26" s="5">
        <f t="shared" si="0"/>
        <v>22</v>
      </c>
      <c r="B26" s="23" t="s">
        <v>438</v>
      </c>
      <c r="C26" s="17" t="s">
        <v>143</v>
      </c>
      <c r="D26" s="4" t="s">
        <v>51</v>
      </c>
      <c r="E26" s="4" t="s">
        <v>66</v>
      </c>
      <c r="F26" s="4" t="s">
        <v>66</v>
      </c>
      <c r="G26" s="4" t="s">
        <v>134</v>
      </c>
      <c r="H26" s="4" t="s">
        <v>108</v>
      </c>
      <c r="I26" s="24" t="s">
        <v>109</v>
      </c>
      <c r="J26" s="15">
        <v>3</v>
      </c>
      <c r="K26" s="15">
        <v>4</v>
      </c>
      <c r="L26" s="15">
        <v>4</v>
      </c>
      <c r="M26" s="15">
        <v>2</v>
      </c>
      <c r="N26" s="15">
        <v>4</v>
      </c>
      <c r="O26" s="15">
        <v>4</v>
      </c>
      <c r="P26" s="15" t="s">
        <v>415</v>
      </c>
      <c r="Q26" s="23" t="s">
        <v>416</v>
      </c>
      <c r="R26" s="25">
        <f>ROUND((K26*Parametros!$B$4+L26*Parametros!$B$5+M26*Parametros!$B$6+N26*Parametros!$B$7+O26*Parametros!$B$8)/SUM(Parametros!$B$4:$B$8),2)</f>
        <v>3.6</v>
      </c>
      <c r="S26" s="26">
        <f>IFERROR(INDEX(Parametros!$F$33:$F$42,MATCH(D26,Parametros!$A$33:$A$42,0)),1)</f>
        <v>1.0669999999999999</v>
      </c>
      <c r="T26" s="27">
        <f>IFERROR(INDEX(Parametros!$B$21:$B$26,MATCH(I26,Parametros!$A$21:$A$26,0)),0)</f>
        <v>0.3</v>
      </c>
      <c r="U26" s="28">
        <f t="shared" si="1"/>
        <v>4.1399999999999997</v>
      </c>
      <c r="V26" s="9">
        <f>IF(U26&gt;=Parametros!$B$14,4,IF(U26&gt;=Parametros!$B$13,3,IF(U26&gt;=Parametros!$B$12,2,1)))</f>
        <v>4</v>
      </c>
      <c r="W26" s="5">
        <f>MAX(V26,IF(K26=5,Parametros!$B$17,0),IF(P26="Sim",Parametros!$B$18,0))</f>
        <v>4</v>
      </c>
      <c r="X26" s="5" t="str">
        <f t="shared" si="2"/>
        <v>Urgente</v>
      </c>
      <c r="Y26" s="29">
        <f t="shared" si="3"/>
        <v>4041.0999739999997</v>
      </c>
      <c r="Z26" s="4" t="s">
        <v>144</v>
      </c>
    </row>
    <row r="27" spans="1:26" ht="28.05" customHeight="1" x14ac:dyDescent="0.3">
      <c r="A27" s="5">
        <f t="shared" si="0"/>
        <v>23</v>
      </c>
      <c r="B27" s="23" t="s">
        <v>439</v>
      </c>
      <c r="C27" s="17" t="s">
        <v>182</v>
      </c>
      <c r="D27" s="4" t="s">
        <v>50</v>
      </c>
      <c r="E27" s="4" t="s">
        <v>65</v>
      </c>
      <c r="F27" s="4" t="s">
        <v>65</v>
      </c>
      <c r="G27" s="4" t="s">
        <v>171</v>
      </c>
      <c r="H27" s="4" t="s">
        <v>172</v>
      </c>
      <c r="I27" s="24" t="s">
        <v>109</v>
      </c>
      <c r="J27" s="15">
        <v>2</v>
      </c>
      <c r="K27" s="15">
        <v>4</v>
      </c>
      <c r="L27" s="15">
        <v>4</v>
      </c>
      <c r="M27" s="15">
        <v>3</v>
      </c>
      <c r="N27" s="15">
        <v>3</v>
      </c>
      <c r="O27" s="15">
        <v>3</v>
      </c>
      <c r="P27" s="15" t="s">
        <v>415</v>
      </c>
      <c r="Q27" s="23" t="s">
        <v>416</v>
      </c>
      <c r="R27" s="25">
        <f>ROUND((K27*Parametros!$B$4+L27*Parametros!$B$5+M27*Parametros!$B$6+N27*Parametros!$B$7+O27*Parametros!$B$8)/SUM(Parametros!$B$4:$B$8),2)</f>
        <v>3.5</v>
      </c>
      <c r="S27" s="26">
        <f>IFERROR(INDEX(Parametros!$F$33:$F$42,MATCH(D27,Parametros!$A$33:$A$42,0)),1)</f>
        <v>1.0840000000000001</v>
      </c>
      <c r="T27" s="27">
        <f>IFERROR(INDEX(Parametros!$B$21:$B$26,MATCH(I27,Parametros!$A$21:$A$26,0)),0)</f>
        <v>0.3</v>
      </c>
      <c r="U27" s="28">
        <f t="shared" si="1"/>
        <v>4.09</v>
      </c>
      <c r="V27" s="9">
        <f>IF(U27&gt;=Parametros!$B$14,4,IF(U27&gt;=Parametros!$B$13,3,IF(U27&gt;=Parametros!$B$12,2,1)))</f>
        <v>4</v>
      </c>
      <c r="W27" s="5">
        <f>MAX(V27,IF(K27=5,Parametros!$B$17,0),IF(P27="Sim",Parametros!$B$18,0))</f>
        <v>4</v>
      </c>
      <c r="X27" s="5" t="str">
        <f t="shared" si="2"/>
        <v>Urgente</v>
      </c>
      <c r="Y27" s="29">
        <f t="shared" si="3"/>
        <v>4040.6999730000002</v>
      </c>
      <c r="Z27" s="4" t="s">
        <v>164</v>
      </c>
    </row>
    <row r="28" spans="1:26" ht="28.05" customHeight="1" x14ac:dyDescent="0.3">
      <c r="A28" s="5">
        <f t="shared" si="0"/>
        <v>24</v>
      </c>
      <c r="B28" s="23" t="s">
        <v>440</v>
      </c>
      <c r="C28" s="17" t="s">
        <v>145</v>
      </c>
      <c r="D28" s="4" t="s">
        <v>53</v>
      </c>
      <c r="E28" s="4" t="s">
        <v>64</v>
      </c>
      <c r="F28" s="4" t="s">
        <v>64</v>
      </c>
      <c r="G28" s="4" t="s">
        <v>134</v>
      </c>
      <c r="H28" s="4" t="s">
        <v>108</v>
      </c>
      <c r="I28" s="24" t="s">
        <v>109</v>
      </c>
      <c r="J28" s="15">
        <v>2</v>
      </c>
      <c r="K28" s="15">
        <v>5</v>
      </c>
      <c r="L28" s="15">
        <v>5</v>
      </c>
      <c r="M28" s="15">
        <v>1</v>
      </c>
      <c r="N28" s="15">
        <v>3</v>
      </c>
      <c r="O28" s="15">
        <v>3</v>
      </c>
      <c r="P28" s="15" t="s">
        <v>415</v>
      </c>
      <c r="Q28" s="23" t="s">
        <v>416</v>
      </c>
      <c r="R28" s="25">
        <f>ROUND((K28*Parametros!$B$4+L28*Parametros!$B$5+M28*Parametros!$B$6+N28*Parametros!$B$7+O28*Parametros!$B$8)/SUM(Parametros!$B$4:$B$8),2)</f>
        <v>3.6</v>
      </c>
      <c r="S28" s="26">
        <f>IFERROR(INDEX(Parametros!$F$33:$F$42,MATCH(D28,Parametros!$A$33:$A$42,0)),1)</f>
        <v>1.05</v>
      </c>
      <c r="T28" s="27">
        <f>IFERROR(INDEX(Parametros!$B$21:$B$26,MATCH(I28,Parametros!$A$21:$A$26,0)),0)</f>
        <v>0.3</v>
      </c>
      <c r="U28" s="28">
        <f t="shared" si="1"/>
        <v>4.08</v>
      </c>
      <c r="V28" s="9">
        <f>IF(U28&gt;=Parametros!$B$14,4,IF(U28&gt;=Parametros!$B$13,3,IF(U28&gt;=Parametros!$B$12,2,1)))</f>
        <v>4</v>
      </c>
      <c r="W28" s="5">
        <f>MAX(V28,IF(K28=5,Parametros!$B$17,0),IF(P28="Sim",Parametros!$B$18,0))</f>
        <v>4</v>
      </c>
      <c r="X28" s="5" t="str">
        <f t="shared" si="2"/>
        <v>Urgente</v>
      </c>
      <c r="Y28" s="29">
        <f t="shared" si="3"/>
        <v>4040.5999720000004</v>
      </c>
      <c r="Z28" s="4" t="s">
        <v>146</v>
      </c>
    </row>
    <row r="29" spans="1:26" ht="28.05" customHeight="1" x14ac:dyDescent="0.3">
      <c r="A29" s="5">
        <f t="shared" si="0"/>
        <v>25</v>
      </c>
      <c r="B29" s="23" t="s">
        <v>441</v>
      </c>
      <c r="C29" s="17" t="s">
        <v>183</v>
      </c>
      <c r="D29" s="4" t="s">
        <v>53</v>
      </c>
      <c r="E29" s="4" t="s">
        <v>77</v>
      </c>
      <c r="F29" s="4" t="s">
        <v>77</v>
      </c>
      <c r="G29" s="4" t="s">
        <v>184</v>
      </c>
      <c r="H29" s="4" t="s">
        <v>185</v>
      </c>
      <c r="I29" s="24" t="s">
        <v>122</v>
      </c>
      <c r="J29" s="15">
        <v>4</v>
      </c>
      <c r="K29" s="15">
        <v>5</v>
      </c>
      <c r="L29" s="15">
        <v>5</v>
      </c>
      <c r="M29" s="15">
        <v>1</v>
      </c>
      <c r="N29" s="15">
        <v>3</v>
      </c>
      <c r="O29" s="15">
        <v>5</v>
      </c>
      <c r="P29" s="15" t="s">
        <v>415</v>
      </c>
      <c r="Q29" s="23" t="s">
        <v>416</v>
      </c>
      <c r="R29" s="25">
        <f>ROUND((K29*Parametros!$B$4+L29*Parametros!$B$5+M29*Parametros!$B$6+N29*Parametros!$B$7+O29*Parametros!$B$8)/SUM(Parametros!$B$4:$B$8),2)</f>
        <v>3.9</v>
      </c>
      <c r="S29" s="26">
        <f>IFERROR(INDEX(Parametros!$F$33:$F$42,MATCH(D29,Parametros!$A$33:$A$42,0)),1)</f>
        <v>1.05</v>
      </c>
      <c r="T29" s="27">
        <f>IFERROR(INDEX(Parametros!$B$21:$B$26,MATCH(I29,Parametros!$A$21:$A$26,0)),0)</f>
        <v>0</v>
      </c>
      <c r="U29" s="28">
        <f t="shared" si="1"/>
        <v>4.0999999999999996</v>
      </c>
      <c r="V29" s="9">
        <f>IF(U29&gt;=Parametros!$B$14,4,IF(U29&gt;=Parametros!$B$13,3,IF(U29&gt;=Parametros!$B$12,2,1)))</f>
        <v>4</v>
      </c>
      <c r="W29" s="5">
        <f>MAX(V29,IF(K29=5,Parametros!$B$17,0),IF(P29="Sim",Parametros!$B$18,0))</f>
        <v>4</v>
      </c>
      <c r="X29" s="5" t="str">
        <f t="shared" si="2"/>
        <v>Urgente</v>
      </c>
      <c r="Y29" s="29">
        <f t="shared" si="3"/>
        <v>4040.5999710000001</v>
      </c>
      <c r="Z29" s="4" t="s">
        <v>186</v>
      </c>
    </row>
    <row r="30" spans="1:26" ht="28.05" customHeight="1" x14ac:dyDescent="0.3">
      <c r="A30" s="5">
        <f t="shared" si="0"/>
        <v>26</v>
      </c>
      <c r="B30" s="23" t="s">
        <v>442</v>
      </c>
      <c r="C30" s="17" t="s">
        <v>147</v>
      </c>
      <c r="D30" s="4" t="s">
        <v>56</v>
      </c>
      <c r="E30" s="4" t="s">
        <v>71</v>
      </c>
      <c r="F30" s="4" t="s">
        <v>71</v>
      </c>
      <c r="G30" s="4" t="s">
        <v>112</v>
      </c>
      <c r="H30" s="4" t="s">
        <v>108</v>
      </c>
      <c r="I30" s="24" t="s">
        <v>109</v>
      </c>
      <c r="J30" s="15">
        <v>3</v>
      </c>
      <c r="K30" s="15">
        <v>5</v>
      </c>
      <c r="L30" s="15">
        <v>4</v>
      </c>
      <c r="M30" s="15">
        <v>1</v>
      </c>
      <c r="N30" s="15">
        <v>3</v>
      </c>
      <c r="O30" s="15">
        <v>5</v>
      </c>
      <c r="P30" s="15" t="s">
        <v>415</v>
      </c>
      <c r="Q30" s="23" t="s">
        <v>416</v>
      </c>
      <c r="R30" s="25">
        <f>ROUND((K30*Parametros!$B$4+L30*Parametros!$B$5+M30*Parametros!$B$6+N30*Parametros!$B$7+O30*Parametros!$B$8)/SUM(Parametros!$B$4:$B$8),2)</f>
        <v>3.7</v>
      </c>
      <c r="S30" s="26">
        <f>IFERROR(INDEX(Parametros!$F$33:$F$42,MATCH(D30,Parametros!$A$33:$A$42,0)),1)</f>
        <v>1.0169999999999999</v>
      </c>
      <c r="T30" s="27">
        <f>IFERROR(INDEX(Parametros!$B$21:$B$26,MATCH(I30,Parametros!$A$21:$A$26,0)),0)</f>
        <v>0.3</v>
      </c>
      <c r="U30" s="28">
        <f t="shared" si="1"/>
        <v>4.0599999999999996</v>
      </c>
      <c r="V30" s="9">
        <f>IF(U30&gt;=Parametros!$B$14,4,IF(U30&gt;=Parametros!$B$13,3,IF(U30&gt;=Parametros!$B$12,2,1)))</f>
        <v>4</v>
      </c>
      <c r="W30" s="5">
        <f>MAX(V30,IF(K30=5,Parametros!$B$17,0),IF(P30="Sim",Parametros!$B$18,0))</f>
        <v>4</v>
      </c>
      <c r="X30" s="5" t="str">
        <f t="shared" si="2"/>
        <v>Urgente</v>
      </c>
      <c r="Y30" s="29">
        <f t="shared" si="3"/>
        <v>4040.2999699999996</v>
      </c>
      <c r="Z30" s="4" t="s">
        <v>148</v>
      </c>
    </row>
    <row r="31" spans="1:26" ht="28.05" customHeight="1" x14ac:dyDescent="0.3">
      <c r="A31" s="5">
        <f t="shared" si="0"/>
        <v>27</v>
      </c>
      <c r="B31" s="23" t="s">
        <v>443</v>
      </c>
      <c r="C31" s="17" t="s">
        <v>149</v>
      </c>
      <c r="D31" s="4" t="s">
        <v>50</v>
      </c>
      <c r="E31" s="4" t="s">
        <v>65</v>
      </c>
      <c r="F31" s="4" t="s">
        <v>65</v>
      </c>
      <c r="G31" s="4" t="s">
        <v>107</v>
      </c>
      <c r="H31" s="4" t="s">
        <v>108</v>
      </c>
      <c r="I31" s="24" t="s">
        <v>122</v>
      </c>
      <c r="J31" s="15">
        <v>4</v>
      </c>
      <c r="K31" s="15">
        <v>4</v>
      </c>
      <c r="L31" s="15">
        <v>3</v>
      </c>
      <c r="M31" s="15">
        <v>3</v>
      </c>
      <c r="N31" s="15">
        <v>5</v>
      </c>
      <c r="O31" s="15">
        <v>4</v>
      </c>
      <c r="P31" s="15" t="s">
        <v>415</v>
      </c>
      <c r="Q31" s="23" t="s">
        <v>416</v>
      </c>
      <c r="R31" s="25">
        <f>ROUND((K31*Parametros!$B$4+L31*Parametros!$B$5+M31*Parametros!$B$6+N31*Parametros!$B$7+O31*Parametros!$B$8)/SUM(Parametros!$B$4:$B$8),2)</f>
        <v>3.75</v>
      </c>
      <c r="S31" s="26">
        <f>IFERROR(INDEX(Parametros!$F$33:$F$42,MATCH(D31,Parametros!$A$33:$A$42,0)),1)</f>
        <v>1.0840000000000001</v>
      </c>
      <c r="T31" s="27">
        <f>IFERROR(INDEX(Parametros!$B$21:$B$26,MATCH(I31,Parametros!$A$21:$A$26,0)),0)</f>
        <v>0</v>
      </c>
      <c r="U31" s="28">
        <f t="shared" si="1"/>
        <v>4.07</v>
      </c>
      <c r="V31" s="9">
        <f>IF(U31&gt;=Parametros!$B$14,4,IF(U31&gt;=Parametros!$B$13,3,IF(U31&gt;=Parametros!$B$12,2,1)))</f>
        <v>4</v>
      </c>
      <c r="W31" s="5">
        <f>MAX(V31,IF(K31=5,Parametros!$B$17,0),IF(P31="Sim",Parametros!$B$18,0))</f>
        <v>4</v>
      </c>
      <c r="X31" s="5" t="str">
        <f t="shared" si="2"/>
        <v>Urgente</v>
      </c>
      <c r="Y31" s="29">
        <f t="shared" si="3"/>
        <v>4040.2999689999997</v>
      </c>
      <c r="Z31" s="4" t="s">
        <v>150</v>
      </c>
    </row>
    <row r="32" spans="1:26" ht="28.05" customHeight="1" x14ac:dyDescent="0.3">
      <c r="A32" s="5">
        <f t="shared" si="0"/>
        <v>28</v>
      </c>
      <c r="B32" s="23" t="s">
        <v>444</v>
      </c>
      <c r="C32" s="17" t="s">
        <v>151</v>
      </c>
      <c r="D32" s="4" t="s">
        <v>50</v>
      </c>
      <c r="E32" s="4" t="s">
        <v>65</v>
      </c>
      <c r="F32" s="4" t="s">
        <v>65</v>
      </c>
      <c r="G32" s="4" t="s">
        <v>107</v>
      </c>
      <c r="H32" s="4" t="s">
        <v>108</v>
      </c>
      <c r="I32" s="24" t="s">
        <v>152</v>
      </c>
      <c r="J32" s="15">
        <v>4</v>
      </c>
      <c r="K32" s="15">
        <v>4</v>
      </c>
      <c r="L32" s="15">
        <v>3</v>
      </c>
      <c r="M32" s="15">
        <v>3</v>
      </c>
      <c r="N32" s="15">
        <v>5</v>
      </c>
      <c r="O32" s="15">
        <v>4</v>
      </c>
      <c r="P32" s="15" t="s">
        <v>415</v>
      </c>
      <c r="Q32" s="23" t="s">
        <v>416</v>
      </c>
      <c r="R32" s="25">
        <f>ROUND((K32*Parametros!$B$4+L32*Parametros!$B$5+M32*Parametros!$B$6+N32*Parametros!$B$7+O32*Parametros!$B$8)/SUM(Parametros!$B$4:$B$8),2)</f>
        <v>3.75</v>
      </c>
      <c r="S32" s="26">
        <f>IFERROR(INDEX(Parametros!$F$33:$F$42,MATCH(D32,Parametros!$A$33:$A$42,0)),1)</f>
        <v>1.0840000000000001</v>
      </c>
      <c r="T32" s="27">
        <f>IFERROR(INDEX(Parametros!$B$21:$B$26,MATCH(I32,Parametros!$A$21:$A$26,0)),0)</f>
        <v>0</v>
      </c>
      <c r="U32" s="28">
        <f t="shared" si="1"/>
        <v>4.07</v>
      </c>
      <c r="V32" s="9">
        <f>IF(U32&gt;=Parametros!$B$14,4,IF(U32&gt;=Parametros!$B$13,3,IF(U32&gt;=Parametros!$B$12,2,1)))</f>
        <v>4</v>
      </c>
      <c r="W32" s="5">
        <f>MAX(V32,IF(K32=5,Parametros!$B$17,0),IF(P32="Sim",Parametros!$B$18,0))</f>
        <v>4</v>
      </c>
      <c r="X32" s="5" t="str">
        <f t="shared" si="2"/>
        <v>Urgente</v>
      </c>
      <c r="Y32" s="29">
        <f t="shared" si="3"/>
        <v>4040.2999679999998</v>
      </c>
      <c r="Z32" s="4" t="s">
        <v>150</v>
      </c>
    </row>
    <row r="33" spans="1:26" ht="28.05" customHeight="1" x14ac:dyDescent="0.3">
      <c r="A33" s="5">
        <f t="shared" si="0"/>
        <v>29</v>
      </c>
      <c r="B33" s="23" t="s">
        <v>445</v>
      </c>
      <c r="C33" s="17" t="s">
        <v>187</v>
      </c>
      <c r="D33" s="4" t="s">
        <v>50</v>
      </c>
      <c r="E33" s="4" t="s">
        <v>65</v>
      </c>
      <c r="F33" s="4" t="s">
        <v>65</v>
      </c>
      <c r="G33" s="4" t="s">
        <v>171</v>
      </c>
      <c r="H33" s="4" t="s">
        <v>172</v>
      </c>
      <c r="I33" s="24" t="s">
        <v>152</v>
      </c>
      <c r="J33" s="15">
        <v>4</v>
      </c>
      <c r="K33" s="15">
        <v>4</v>
      </c>
      <c r="L33" s="15">
        <v>3</v>
      </c>
      <c r="M33" s="15">
        <v>3</v>
      </c>
      <c r="N33" s="15">
        <v>5</v>
      </c>
      <c r="O33" s="15">
        <v>4</v>
      </c>
      <c r="P33" s="15" t="s">
        <v>415</v>
      </c>
      <c r="Q33" s="23" t="s">
        <v>416</v>
      </c>
      <c r="R33" s="25">
        <f>ROUND((K33*Parametros!$B$4+L33*Parametros!$B$5+M33*Parametros!$B$6+N33*Parametros!$B$7+O33*Parametros!$B$8)/SUM(Parametros!$B$4:$B$8),2)</f>
        <v>3.75</v>
      </c>
      <c r="S33" s="26">
        <f>IFERROR(INDEX(Parametros!$F$33:$F$42,MATCH(D33,Parametros!$A$33:$A$42,0)),1)</f>
        <v>1.0840000000000001</v>
      </c>
      <c r="T33" s="27">
        <f>IFERROR(INDEX(Parametros!$B$21:$B$26,MATCH(I33,Parametros!$A$21:$A$26,0)),0)</f>
        <v>0</v>
      </c>
      <c r="U33" s="28">
        <f t="shared" si="1"/>
        <v>4.07</v>
      </c>
      <c r="V33" s="9">
        <f>IF(U33&gt;=Parametros!$B$14,4,IF(U33&gt;=Parametros!$B$13,3,IF(U33&gt;=Parametros!$B$12,2,1)))</f>
        <v>4</v>
      </c>
      <c r="W33" s="5">
        <f>MAX(V33,IF(K33=5,Parametros!$B$17,0),IF(P33="Sim",Parametros!$B$18,0))</f>
        <v>4</v>
      </c>
      <c r="X33" s="5" t="str">
        <f t="shared" si="2"/>
        <v>Urgente</v>
      </c>
      <c r="Y33" s="29">
        <f t="shared" si="3"/>
        <v>4040.2999669999999</v>
      </c>
      <c r="Z33" s="4" t="s">
        <v>150</v>
      </c>
    </row>
    <row r="34" spans="1:26" ht="28.05" customHeight="1" x14ac:dyDescent="0.3">
      <c r="A34" s="5">
        <f t="shared" si="0"/>
        <v>30</v>
      </c>
      <c r="B34" s="23" t="s">
        <v>446</v>
      </c>
      <c r="C34" s="17" t="s">
        <v>188</v>
      </c>
      <c r="D34" s="4" t="s">
        <v>51</v>
      </c>
      <c r="E34" s="4" t="s">
        <v>77</v>
      </c>
      <c r="F34" s="4" t="s">
        <v>77</v>
      </c>
      <c r="G34" s="4" t="s">
        <v>171</v>
      </c>
      <c r="H34" s="4" t="s">
        <v>172</v>
      </c>
      <c r="I34" s="24" t="s">
        <v>122</v>
      </c>
      <c r="J34" s="15">
        <v>3</v>
      </c>
      <c r="K34" s="15">
        <v>4</v>
      </c>
      <c r="L34" s="15">
        <v>5</v>
      </c>
      <c r="M34" s="15">
        <v>2</v>
      </c>
      <c r="N34" s="15">
        <v>5</v>
      </c>
      <c r="O34" s="15">
        <v>3</v>
      </c>
      <c r="P34" s="15" t="s">
        <v>415</v>
      </c>
      <c r="Q34" s="23" t="s">
        <v>416</v>
      </c>
      <c r="R34" s="25">
        <f>ROUND((K34*Parametros!$B$4+L34*Parametros!$B$5+M34*Parametros!$B$6+N34*Parametros!$B$7+O34*Parametros!$B$8)/SUM(Parametros!$B$4:$B$8),2)</f>
        <v>3.8</v>
      </c>
      <c r="S34" s="26">
        <f>IFERROR(INDEX(Parametros!$F$33:$F$42,MATCH(D34,Parametros!$A$33:$A$42,0)),1)</f>
        <v>1.0669999999999999</v>
      </c>
      <c r="T34" s="27">
        <f>IFERROR(INDEX(Parametros!$B$21:$B$26,MATCH(I34,Parametros!$A$21:$A$26,0)),0)</f>
        <v>0</v>
      </c>
      <c r="U34" s="28">
        <f t="shared" si="1"/>
        <v>4.05</v>
      </c>
      <c r="V34" s="9">
        <f>IF(U34&gt;=Parametros!$B$14,4,IF(U34&gt;=Parametros!$B$13,3,IF(U34&gt;=Parametros!$B$12,2,1)))</f>
        <v>4</v>
      </c>
      <c r="W34" s="5">
        <f>MAX(V34,IF(K34=5,Parametros!$B$17,0),IF(P34="Sim",Parametros!$B$18,0))</f>
        <v>4</v>
      </c>
      <c r="X34" s="5" t="str">
        <f t="shared" si="2"/>
        <v>Urgente</v>
      </c>
      <c r="Y34" s="29">
        <f t="shared" si="3"/>
        <v>4040.1999659999997</v>
      </c>
      <c r="Z34" s="4" t="s">
        <v>189</v>
      </c>
    </row>
    <row r="35" spans="1:26" ht="28.05" customHeight="1" x14ac:dyDescent="0.3">
      <c r="A35" s="5">
        <f t="shared" si="0"/>
        <v>31</v>
      </c>
      <c r="B35" s="23" t="s">
        <v>447</v>
      </c>
      <c r="C35" s="17" t="s">
        <v>190</v>
      </c>
      <c r="D35" s="4" t="s">
        <v>51</v>
      </c>
      <c r="E35" s="4" t="s">
        <v>69</v>
      </c>
      <c r="F35" s="4" t="s">
        <v>69</v>
      </c>
      <c r="G35" s="4" t="s">
        <v>171</v>
      </c>
      <c r="H35" s="4" t="s">
        <v>172</v>
      </c>
      <c r="I35" s="24" t="s">
        <v>122</v>
      </c>
      <c r="J35" s="15">
        <v>3</v>
      </c>
      <c r="K35" s="15">
        <v>4</v>
      </c>
      <c r="L35" s="15">
        <v>5</v>
      </c>
      <c r="M35" s="15">
        <v>2</v>
      </c>
      <c r="N35" s="15">
        <v>5</v>
      </c>
      <c r="O35" s="15">
        <v>3</v>
      </c>
      <c r="P35" s="15" t="s">
        <v>415</v>
      </c>
      <c r="Q35" s="23" t="s">
        <v>416</v>
      </c>
      <c r="R35" s="25">
        <f>ROUND((K35*Parametros!$B$4+L35*Parametros!$B$5+M35*Parametros!$B$6+N35*Parametros!$B$7+O35*Parametros!$B$8)/SUM(Parametros!$B$4:$B$8),2)</f>
        <v>3.8</v>
      </c>
      <c r="S35" s="26">
        <f>IFERROR(INDEX(Parametros!$F$33:$F$42,MATCH(D35,Parametros!$A$33:$A$42,0)),1)</f>
        <v>1.0669999999999999</v>
      </c>
      <c r="T35" s="27">
        <f>IFERROR(INDEX(Parametros!$B$21:$B$26,MATCH(I35,Parametros!$A$21:$A$26,0)),0)</f>
        <v>0</v>
      </c>
      <c r="U35" s="28">
        <f t="shared" si="1"/>
        <v>4.05</v>
      </c>
      <c r="V35" s="9">
        <f>IF(U35&gt;=Parametros!$B$14,4,IF(U35&gt;=Parametros!$B$13,3,IF(U35&gt;=Parametros!$B$12,2,1)))</f>
        <v>4</v>
      </c>
      <c r="W35" s="5">
        <f>MAX(V35,IF(K35=5,Parametros!$B$17,0),IF(P35="Sim",Parametros!$B$18,0))</f>
        <v>4</v>
      </c>
      <c r="X35" s="5" t="str">
        <f t="shared" si="2"/>
        <v>Urgente</v>
      </c>
      <c r="Y35" s="29">
        <f t="shared" si="3"/>
        <v>4040.1999649999998</v>
      </c>
      <c r="Z35" s="4" t="s">
        <v>189</v>
      </c>
    </row>
    <row r="36" spans="1:26" ht="28.05" customHeight="1" x14ac:dyDescent="0.3">
      <c r="A36" s="5">
        <f t="shared" si="0"/>
        <v>32</v>
      </c>
      <c r="B36" s="23" t="s">
        <v>448</v>
      </c>
      <c r="C36" s="17" t="s">
        <v>191</v>
      </c>
      <c r="D36" s="4" t="s">
        <v>51</v>
      </c>
      <c r="E36" s="4" t="s">
        <v>69</v>
      </c>
      <c r="F36" s="4" t="s">
        <v>69</v>
      </c>
      <c r="G36" s="4" t="s">
        <v>171</v>
      </c>
      <c r="H36" s="4" t="s">
        <v>172</v>
      </c>
      <c r="I36" s="24" t="s">
        <v>122</v>
      </c>
      <c r="J36" s="15">
        <v>3</v>
      </c>
      <c r="K36" s="15">
        <v>4</v>
      </c>
      <c r="L36" s="15">
        <v>5</v>
      </c>
      <c r="M36" s="15">
        <v>2</v>
      </c>
      <c r="N36" s="15">
        <v>5</v>
      </c>
      <c r="O36" s="15">
        <v>3</v>
      </c>
      <c r="P36" s="15" t="s">
        <v>415</v>
      </c>
      <c r="Q36" s="23" t="s">
        <v>416</v>
      </c>
      <c r="R36" s="25">
        <f>ROUND((K36*Parametros!$B$4+L36*Parametros!$B$5+M36*Parametros!$B$6+N36*Parametros!$B$7+O36*Parametros!$B$8)/SUM(Parametros!$B$4:$B$8),2)</f>
        <v>3.8</v>
      </c>
      <c r="S36" s="26">
        <f>IFERROR(INDEX(Parametros!$F$33:$F$42,MATCH(D36,Parametros!$A$33:$A$42,0)),1)</f>
        <v>1.0669999999999999</v>
      </c>
      <c r="T36" s="27">
        <f>IFERROR(INDEX(Parametros!$B$21:$B$26,MATCH(I36,Parametros!$A$21:$A$26,0)),0)</f>
        <v>0</v>
      </c>
      <c r="U36" s="28">
        <f t="shared" si="1"/>
        <v>4.05</v>
      </c>
      <c r="V36" s="9">
        <f>IF(U36&gt;=Parametros!$B$14,4,IF(U36&gt;=Parametros!$B$13,3,IF(U36&gt;=Parametros!$B$12,2,1)))</f>
        <v>4</v>
      </c>
      <c r="W36" s="5">
        <f>MAX(V36,IF(K36=5,Parametros!$B$17,0),IF(P36="Sim",Parametros!$B$18,0))</f>
        <v>4</v>
      </c>
      <c r="X36" s="5" t="str">
        <f t="shared" si="2"/>
        <v>Urgente</v>
      </c>
      <c r="Y36" s="29">
        <f t="shared" si="3"/>
        <v>4040.1999639999999</v>
      </c>
      <c r="Z36" s="4" t="s">
        <v>189</v>
      </c>
    </row>
    <row r="37" spans="1:26" ht="28.05" customHeight="1" x14ac:dyDescent="0.3">
      <c r="A37" s="5">
        <f t="shared" si="0"/>
        <v>33</v>
      </c>
      <c r="B37" s="23" t="s">
        <v>449</v>
      </c>
      <c r="C37" s="17" t="s">
        <v>192</v>
      </c>
      <c r="D37" s="4" t="s">
        <v>51</v>
      </c>
      <c r="E37" s="4" t="s">
        <v>69</v>
      </c>
      <c r="F37" s="4" t="s">
        <v>69</v>
      </c>
      <c r="G37" s="4" t="s">
        <v>171</v>
      </c>
      <c r="H37" s="4" t="s">
        <v>172</v>
      </c>
      <c r="I37" s="24" t="s">
        <v>122</v>
      </c>
      <c r="J37" s="15">
        <v>3</v>
      </c>
      <c r="K37" s="15">
        <v>4</v>
      </c>
      <c r="L37" s="15">
        <v>5</v>
      </c>
      <c r="M37" s="15">
        <v>2</v>
      </c>
      <c r="N37" s="15">
        <v>5</v>
      </c>
      <c r="O37" s="15">
        <v>3</v>
      </c>
      <c r="P37" s="15" t="s">
        <v>415</v>
      </c>
      <c r="Q37" s="23" t="s">
        <v>416</v>
      </c>
      <c r="R37" s="25">
        <f>ROUND((K37*Parametros!$B$4+L37*Parametros!$B$5+M37*Parametros!$B$6+N37*Parametros!$B$7+O37*Parametros!$B$8)/SUM(Parametros!$B$4:$B$8),2)</f>
        <v>3.8</v>
      </c>
      <c r="S37" s="26">
        <f>IFERROR(INDEX(Parametros!$F$33:$F$42,MATCH(D37,Parametros!$A$33:$A$42,0)),1)</f>
        <v>1.0669999999999999</v>
      </c>
      <c r="T37" s="27">
        <f>IFERROR(INDEX(Parametros!$B$21:$B$26,MATCH(I37,Parametros!$A$21:$A$26,0)),0)</f>
        <v>0</v>
      </c>
      <c r="U37" s="28">
        <f t="shared" si="1"/>
        <v>4.05</v>
      </c>
      <c r="V37" s="9">
        <f>IF(U37&gt;=Parametros!$B$14,4,IF(U37&gt;=Parametros!$B$13,3,IF(U37&gt;=Parametros!$B$12,2,1)))</f>
        <v>4</v>
      </c>
      <c r="W37" s="5">
        <f>MAX(V37,IF(K37=5,Parametros!$B$17,0),IF(P37="Sim",Parametros!$B$18,0))</f>
        <v>4</v>
      </c>
      <c r="X37" s="5" t="str">
        <f t="shared" si="2"/>
        <v>Urgente</v>
      </c>
      <c r="Y37" s="29">
        <f t="shared" si="3"/>
        <v>4040.199963</v>
      </c>
      <c r="Z37" s="4" t="s">
        <v>189</v>
      </c>
    </row>
    <row r="38" spans="1:26" ht="28.05" customHeight="1" x14ac:dyDescent="0.3">
      <c r="A38" s="5">
        <f t="shared" si="0"/>
        <v>34</v>
      </c>
      <c r="B38" s="23" t="s">
        <v>450</v>
      </c>
      <c r="C38" s="17" t="s">
        <v>193</v>
      </c>
      <c r="D38" s="4" t="s">
        <v>51</v>
      </c>
      <c r="E38" s="4" t="s">
        <v>194</v>
      </c>
      <c r="F38" s="4" t="s">
        <v>194</v>
      </c>
      <c r="G38" s="4" t="s">
        <v>171</v>
      </c>
      <c r="H38" s="4" t="s">
        <v>172</v>
      </c>
      <c r="I38" s="24" t="s">
        <v>122</v>
      </c>
      <c r="J38" s="15">
        <v>3</v>
      </c>
      <c r="K38" s="15">
        <v>4</v>
      </c>
      <c r="L38" s="15">
        <v>5</v>
      </c>
      <c r="M38" s="15">
        <v>2</v>
      </c>
      <c r="N38" s="15">
        <v>5</v>
      </c>
      <c r="O38" s="15">
        <v>3</v>
      </c>
      <c r="P38" s="15" t="s">
        <v>415</v>
      </c>
      <c r="Q38" s="23" t="s">
        <v>416</v>
      </c>
      <c r="R38" s="25">
        <f>ROUND((K38*Parametros!$B$4+L38*Parametros!$B$5+M38*Parametros!$B$6+N38*Parametros!$B$7+O38*Parametros!$B$8)/SUM(Parametros!$B$4:$B$8),2)</f>
        <v>3.8</v>
      </c>
      <c r="S38" s="26">
        <f>IFERROR(INDEX(Parametros!$F$33:$F$42,MATCH(D38,Parametros!$A$33:$A$42,0)),1)</f>
        <v>1.0669999999999999</v>
      </c>
      <c r="T38" s="27">
        <f>IFERROR(INDEX(Parametros!$B$21:$B$26,MATCH(I38,Parametros!$A$21:$A$26,0)),0)</f>
        <v>0</v>
      </c>
      <c r="U38" s="28">
        <f t="shared" si="1"/>
        <v>4.05</v>
      </c>
      <c r="V38" s="9">
        <f>IF(U38&gt;=Parametros!$B$14,4,IF(U38&gt;=Parametros!$B$13,3,IF(U38&gt;=Parametros!$B$12,2,1)))</f>
        <v>4</v>
      </c>
      <c r="W38" s="5">
        <f>MAX(V38,IF(K38=5,Parametros!$B$17,0),IF(P38="Sim",Parametros!$B$18,0))</f>
        <v>4</v>
      </c>
      <c r="X38" s="5" t="str">
        <f t="shared" si="2"/>
        <v>Urgente</v>
      </c>
      <c r="Y38" s="29">
        <f t="shared" si="3"/>
        <v>4040.1999619999997</v>
      </c>
      <c r="Z38" s="4" t="s">
        <v>189</v>
      </c>
    </row>
    <row r="39" spans="1:26" ht="28.05" customHeight="1" x14ac:dyDescent="0.3">
      <c r="A39" s="5">
        <f t="shared" si="0"/>
        <v>35</v>
      </c>
      <c r="B39" s="23" t="s">
        <v>451</v>
      </c>
      <c r="C39" s="17" t="s">
        <v>195</v>
      </c>
      <c r="D39" s="4" t="s">
        <v>51</v>
      </c>
      <c r="E39" s="4" t="s">
        <v>194</v>
      </c>
      <c r="F39" s="4" t="s">
        <v>194</v>
      </c>
      <c r="G39" s="4" t="s">
        <v>171</v>
      </c>
      <c r="H39" s="4" t="s">
        <v>172</v>
      </c>
      <c r="I39" s="24" t="s">
        <v>122</v>
      </c>
      <c r="J39" s="15">
        <v>3</v>
      </c>
      <c r="K39" s="15">
        <v>4</v>
      </c>
      <c r="L39" s="15">
        <v>5</v>
      </c>
      <c r="M39" s="15">
        <v>2</v>
      </c>
      <c r="N39" s="15">
        <v>5</v>
      </c>
      <c r="O39" s="15">
        <v>3</v>
      </c>
      <c r="P39" s="15" t="s">
        <v>415</v>
      </c>
      <c r="Q39" s="23" t="s">
        <v>416</v>
      </c>
      <c r="R39" s="25">
        <f>ROUND((K39*Parametros!$B$4+L39*Parametros!$B$5+M39*Parametros!$B$6+N39*Parametros!$B$7+O39*Parametros!$B$8)/SUM(Parametros!$B$4:$B$8),2)</f>
        <v>3.8</v>
      </c>
      <c r="S39" s="26">
        <f>IFERROR(INDEX(Parametros!$F$33:$F$42,MATCH(D39,Parametros!$A$33:$A$42,0)),1)</f>
        <v>1.0669999999999999</v>
      </c>
      <c r="T39" s="27">
        <f>IFERROR(INDEX(Parametros!$B$21:$B$26,MATCH(I39,Parametros!$A$21:$A$26,0)),0)</f>
        <v>0</v>
      </c>
      <c r="U39" s="28">
        <f t="shared" si="1"/>
        <v>4.05</v>
      </c>
      <c r="V39" s="9">
        <f>IF(U39&gt;=Parametros!$B$14,4,IF(U39&gt;=Parametros!$B$13,3,IF(U39&gt;=Parametros!$B$12,2,1)))</f>
        <v>4</v>
      </c>
      <c r="W39" s="5">
        <f>MAX(V39,IF(K39=5,Parametros!$B$17,0),IF(P39="Sim",Parametros!$B$18,0))</f>
        <v>4</v>
      </c>
      <c r="X39" s="5" t="str">
        <f t="shared" si="2"/>
        <v>Urgente</v>
      </c>
      <c r="Y39" s="29">
        <f t="shared" si="3"/>
        <v>4040.1999609999998</v>
      </c>
      <c r="Z39" s="4" t="s">
        <v>189</v>
      </c>
    </row>
    <row r="40" spans="1:26" ht="28.05" customHeight="1" x14ac:dyDescent="0.3">
      <c r="A40" s="5">
        <f t="shared" si="0"/>
        <v>36</v>
      </c>
      <c r="B40" s="23" t="s">
        <v>452</v>
      </c>
      <c r="C40" s="17" t="s">
        <v>196</v>
      </c>
      <c r="D40" s="4" t="s">
        <v>51</v>
      </c>
      <c r="E40" s="4" t="s">
        <v>69</v>
      </c>
      <c r="F40" s="4" t="s">
        <v>69</v>
      </c>
      <c r="G40" s="4" t="s">
        <v>171</v>
      </c>
      <c r="H40" s="4" t="s">
        <v>172</v>
      </c>
      <c r="I40" s="24" t="s">
        <v>152</v>
      </c>
      <c r="J40" s="15">
        <v>3</v>
      </c>
      <c r="K40" s="15">
        <v>4</v>
      </c>
      <c r="L40" s="15">
        <v>5</v>
      </c>
      <c r="M40" s="15">
        <v>2</v>
      </c>
      <c r="N40" s="15">
        <v>5</v>
      </c>
      <c r="O40" s="15">
        <v>3</v>
      </c>
      <c r="P40" s="15" t="s">
        <v>415</v>
      </c>
      <c r="Q40" s="23" t="s">
        <v>416</v>
      </c>
      <c r="R40" s="25">
        <f>ROUND((K40*Parametros!$B$4+L40*Parametros!$B$5+M40*Parametros!$B$6+N40*Parametros!$B$7+O40*Parametros!$B$8)/SUM(Parametros!$B$4:$B$8),2)</f>
        <v>3.8</v>
      </c>
      <c r="S40" s="26">
        <f>IFERROR(INDEX(Parametros!$F$33:$F$42,MATCH(D40,Parametros!$A$33:$A$42,0)),1)</f>
        <v>1.0669999999999999</v>
      </c>
      <c r="T40" s="27">
        <f>IFERROR(INDEX(Parametros!$B$21:$B$26,MATCH(I40,Parametros!$A$21:$A$26,0)),0)</f>
        <v>0</v>
      </c>
      <c r="U40" s="28">
        <f t="shared" si="1"/>
        <v>4.05</v>
      </c>
      <c r="V40" s="9">
        <f>IF(U40&gt;=Parametros!$B$14,4,IF(U40&gt;=Parametros!$B$13,3,IF(U40&gt;=Parametros!$B$12,2,1)))</f>
        <v>4</v>
      </c>
      <c r="W40" s="5">
        <f>MAX(V40,IF(K40=5,Parametros!$B$17,0),IF(P40="Sim",Parametros!$B$18,0))</f>
        <v>4</v>
      </c>
      <c r="X40" s="5" t="str">
        <f t="shared" si="2"/>
        <v>Urgente</v>
      </c>
      <c r="Y40" s="29">
        <f t="shared" si="3"/>
        <v>4040.1999599999999</v>
      </c>
      <c r="Z40" s="4" t="s">
        <v>189</v>
      </c>
    </row>
    <row r="41" spans="1:26" ht="28.05" customHeight="1" x14ac:dyDescent="0.3">
      <c r="A41" s="5">
        <f t="shared" si="0"/>
        <v>37</v>
      </c>
      <c r="B41" s="23" t="s">
        <v>453</v>
      </c>
      <c r="C41" s="17" t="s">
        <v>153</v>
      </c>
      <c r="D41" s="4" t="s">
        <v>52</v>
      </c>
      <c r="E41" s="4" t="s">
        <v>63</v>
      </c>
      <c r="F41" s="4" t="s">
        <v>63</v>
      </c>
      <c r="G41" s="4" t="s">
        <v>112</v>
      </c>
      <c r="H41" s="4" t="s">
        <v>108</v>
      </c>
      <c r="I41" s="24" t="s">
        <v>109</v>
      </c>
      <c r="J41" s="15">
        <v>2</v>
      </c>
      <c r="K41" s="15">
        <v>5</v>
      </c>
      <c r="L41" s="15">
        <v>4</v>
      </c>
      <c r="M41" s="15">
        <v>1</v>
      </c>
      <c r="N41" s="15">
        <v>4</v>
      </c>
      <c r="O41" s="15">
        <v>3</v>
      </c>
      <c r="P41" s="15" t="s">
        <v>415</v>
      </c>
      <c r="Q41" s="23" t="s">
        <v>416</v>
      </c>
      <c r="R41" s="25">
        <f>ROUND((K41*Parametros!$B$4+L41*Parametros!$B$5+M41*Parametros!$B$6+N41*Parametros!$B$7+O41*Parametros!$B$8)/SUM(Parametros!$B$4:$B$8),2)</f>
        <v>3.55</v>
      </c>
      <c r="S41" s="26">
        <f>IFERROR(INDEX(Parametros!$F$33:$F$42,MATCH(D41,Parametros!$A$33:$A$42,0)),1)</f>
        <v>1.05</v>
      </c>
      <c r="T41" s="27">
        <f>IFERROR(INDEX(Parametros!$B$21:$B$26,MATCH(I41,Parametros!$A$21:$A$26,0)),0)</f>
        <v>0.3</v>
      </c>
      <c r="U41" s="28">
        <f t="shared" si="1"/>
        <v>4.03</v>
      </c>
      <c r="V41" s="9">
        <f>IF(U41&gt;=Parametros!$B$14,4,IF(U41&gt;=Parametros!$B$13,3,IF(U41&gt;=Parametros!$B$12,2,1)))</f>
        <v>4</v>
      </c>
      <c r="W41" s="5">
        <f>MAX(V41,IF(K41=5,Parametros!$B$17,0),IF(P41="Sim",Parametros!$B$18,0))</f>
        <v>4</v>
      </c>
      <c r="X41" s="5" t="str">
        <f t="shared" si="2"/>
        <v>Urgente</v>
      </c>
      <c r="Y41" s="29">
        <f t="shared" si="3"/>
        <v>4040.0999590000006</v>
      </c>
      <c r="Z41" s="4" t="s">
        <v>154</v>
      </c>
    </row>
    <row r="42" spans="1:26" ht="28.05" customHeight="1" x14ac:dyDescent="0.3">
      <c r="A42" s="5">
        <f t="shared" si="0"/>
        <v>38</v>
      </c>
      <c r="B42" s="23" t="s">
        <v>454</v>
      </c>
      <c r="C42" s="17" t="s">
        <v>155</v>
      </c>
      <c r="D42" s="4" t="s">
        <v>54</v>
      </c>
      <c r="E42" s="4" t="s">
        <v>63</v>
      </c>
      <c r="F42" s="4" t="s">
        <v>63</v>
      </c>
      <c r="G42" s="4" t="s">
        <v>112</v>
      </c>
      <c r="H42" s="4" t="s">
        <v>108</v>
      </c>
      <c r="I42" s="24" t="s">
        <v>109</v>
      </c>
      <c r="J42" s="15">
        <v>2</v>
      </c>
      <c r="K42" s="15">
        <v>4</v>
      </c>
      <c r="L42" s="15">
        <v>4</v>
      </c>
      <c r="M42" s="15">
        <v>2</v>
      </c>
      <c r="N42" s="15">
        <v>4</v>
      </c>
      <c r="O42" s="15">
        <v>4</v>
      </c>
      <c r="P42" s="15" t="s">
        <v>415</v>
      </c>
      <c r="Q42" s="23" t="s">
        <v>416</v>
      </c>
      <c r="R42" s="25">
        <f>ROUND((K42*Parametros!$B$4+L42*Parametros!$B$5+M42*Parametros!$B$6+N42*Parametros!$B$7+O42*Parametros!$B$8)/SUM(Parametros!$B$4:$B$8),2)</f>
        <v>3.6</v>
      </c>
      <c r="S42" s="26">
        <f>IFERROR(INDEX(Parametros!$F$33:$F$42,MATCH(D42,Parametros!$A$33:$A$42,0)),1)</f>
        <v>1.034</v>
      </c>
      <c r="T42" s="27">
        <f>IFERROR(INDEX(Parametros!$B$21:$B$26,MATCH(I42,Parametros!$A$21:$A$26,0)),0)</f>
        <v>0.3</v>
      </c>
      <c r="U42" s="28">
        <f t="shared" si="1"/>
        <v>4.0199999999999996</v>
      </c>
      <c r="V42" s="9">
        <f>IF(U42&gt;=Parametros!$B$14,4,IF(U42&gt;=Parametros!$B$13,3,IF(U42&gt;=Parametros!$B$12,2,1)))</f>
        <v>4</v>
      </c>
      <c r="W42" s="5">
        <f>MAX(V42,IF(K42=5,Parametros!$B$17,0),IF(P42="Sim",Parametros!$B$18,0))</f>
        <v>4</v>
      </c>
      <c r="X42" s="5" t="str">
        <f t="shared" si="2"/>
        <v>Urgente</v>
      </c>
      <c r="Y42" s="29">
        <f t="shared" si="3"/>
        <v>4039.9999579999999</v>
      </c>
      <c r="Z42" s="4" t="s">
        <v>144</v>
      </c>
    </row>
    <row r="43" spans="1:26" ht="28.05" customHeight="1" x14ac:dyDescent="0.3">
      <c r="A43" s="5">
        <f t="shared" si="0"/>
        <v>39</v>
      </c>
      <c r="B43" s="23" t="s">
        <v>455</v>
      </c>
      <c r="C43" s="17" t="s">
        <v>197</v>
      </c>
      <c r="D43" s="4" t="s">
        <v>54</v>
      </c>
      <c r="E43" s="4" t="s">
        <v>64</v>
      </c>
      <c r="F43" s="4" t="s">
        <v>64</v>
      </c>
      <c r="G43" s="4" t="s">
        <v>171</v>
      </c>
      <c r="H43" s="4" t="s">
        <v>172</v>
      </c>
      <c r="I43" s="24" t="s">
        <v>109</v>
      </c>
      <c r="J43" s="15">
        <v>2</v>
      </c>
      <c r="K43" s="15">
        <v>5</v>
      </c>
      <c r="L43" s="15">
        <v>4</v>
      </c>
      <c r="M43" s="15">
        <v>2</v>
      </c>
      <c r="N43" s="15">
        <v>3</v>
      </c>
      <c r="O43" s="15">
        <v>3</v>
      </c>
      <c r="P43" s="15" t="s">
        <v>415</v>
      </c>
      <c r="Q43" s="23" t="s">
        <v>416</v>
      </c>
      <c r="R43" s="25">
        <f>ROUND((K43*Parametros!$B$4+L43*Parametros!$B$5+M43*Parametros!$B$6+N43*Parametros!$B$7+O43*Parametros!$B$8)/SUM(Parametros!$B$4:$B$8),2)</f>
        <v>3.6</v>
      </c>
      <c r="S43" s="26">
        <f>IFERROR(INDEX(Parametros!$F$33:$F$42,MATCH(D43,Parametros!$A$33:$A$42,0)),1)</f>
        <v>1.034</v>
      </c>
      <c r="T43" s="27">
        <f>IFERROR(INDEX(Parametros!$B$21:$B$26,MATCH(I43,Parametros!$A$21:$A$26,0)),0)</f>
        <v>0.3</v>
      </c>
      <c r="U43" s="28">
        <f t="shared" si="1"/>
        <v>4.0199999999999996</v>
      </c>
      <c r="V43" s="9">
        <f>IF(U43&gt;=Parametros!$B$14,4,IF(U43&gt;=Parametros!$B$13,3,IF(U43&gt;=Parametros!$B$12,2,1)))</f>
        <v>4</v>
      </c>
      <c r="W43" s="5">
        <f>MAX(V43,IF(K43=5,Parametros!$B$17,0),IF(P43="Sim",Parametros!$B$18,0))</f>
        <v>4</v>
      </c>
      <c r="X43" s="5" t="str">
        <f t="shared" si="2"/>
        <v>Urgente</v>
      </c>
      <c r="Y43" s="29">
        <f t="shared" si="3"/>
        <v>4039.999957</v>
      </c>
      <c r="Z43" s="4" t="s">
        <v>135</v>
      </c>
    </row>
    <row r="44" spans="1:26" ht="28.05" customHeight="1" x14ac:dyDescent="0.3">
      <c r="A44" s="5">
        <f t="shared" si="0"/>
        <v>40</v>
      </c>
      <c r="B44" s="23" t="s">
        <v>456</v>
      </c>
      <c r="C44" s="17" t="s">
        <v>198</v>
      </c>
      <c r="D44" s="4" t="s">
        <v>51</v>
      </c>
      <c r="E44" s="4" t="s">
        <v>66</v>
      </c>
      <c r="F44" s="4" t="s">
        <v>66</v>
      </c>
      <c r="G44" s="4" t="s">
        <v>184</v>
      </c>
      <c r="H44" s="4" t="s">
        <v>185</v>
      </c>
      <c r="I44" s="24" t="s">
        <v>109</v>
      </c>
      <c r="J44" s="15">
        <v>3</v>
      </c>
      <c r="K44" s="15">
        <v>4</v>
      </c>
      <c r="L44" s="15">
        <v>4</v>
      </c>
      <c r="M44" s="15">
        <v>3</v>
      </c>
      <c r="N44" s="15">
        <v>2</v>
      </c>
      <c r="O44" s="15">
        <v>4</v>
      </c>
      <c r="P44" s="15" t="s">
        <v>415</v>
      </c>
      <c r="Q44" s="23" t="s">
        <v>416</v>
      </c>
      <c r="R44" s="25">
        <f>ROUND((K44*Parametros!$B$4+L44*Parametros!$B$5+M44*Parametros!$B$6+N44*Parametros!$B$7+O44*Parametros!$B$8)/SUM(Parametros!$B$4:$B$8),2)</f>
        <v>3.5</v>
      </c>
      <c r="S44" s="26">
        <f>IFERROR(INDEX(Parametros!$F$33:$F$42,MATCH(D44,Parametros!$A$33:$A$42,0)),1)</f>
        <v>1.0669999999999999</v>
      </c>
      <c r="T44" s="27">
        <f>IFERROR(INDEX(Parametros!$B$21:$B$26,MATCH(I44,Parametros!$A$21:$A$26,0)),0)</f>
        <v>0.3</v>
      </c>
      <c r="U44" s="28">
        <f t="shared" si="1"/>
        <v>4.03</v>
      </c>
      <c r="V44" s="9">
        <f>IF(U44&gt;=Parametros!$B$14,4,IF(U44&gt;=Parametros!$B$13,3,IF(U44&gt;=Parametros!$B$12,2,1)))</f>
        <v>4</v>
      </c>
      <c r="W44" s="5">
        <f>MAX(V44,IF(K44=5,Parametros!$B$17,0),IF(P44="Sim",Parametros!$B$18,0))</f>
        <v>4</v>
      </c>
      <c r="X44" s="5" t="str">
        <f t="shared" si="2"/>
        <v>Urgente</v>
      </c>
      <c r="Y44" s="29">
        <f t="shared" si="3"/>
        <v>4039.9999560000001</v>
      </c>
      <c r="Z44" s="4" t="s">
        <v>160</v>
      </c>
    </row>
    <row r="45" spans="1:26" ht="28.05" customHeight="1" x14ac:dyDescent="0.3">
      <c r="A45" s="5">
        <f t="shared" si="0"/>
        <v>41</v>
      </c>
      <c r="B45" s="23" t="s">
        <v>457</v>
      </c>
      <c r="C45" s="17" t="s">
        <v>156</v>
      </c>
      <c r="D45" s="4" t="s">
        <v>54</v>
      </c>
      <c r="E45" s="4" t="s">
        <v>64</v>
      </c>
      <c r="F45" s="4" t="s">
        <v>64</v>
      </c>
      <c r="G45" s="4" t="s">
        <v>134</v>
      </c>
      <c r="H45" s="4" t="s">
        <v>108</v>
      </c>
      <c r="I45" s="24" t="s">
        <v>109</v>
      </c>
      <c r="J45" s="15">
        <v>3</v>
      </c>
      <c r="K45" s="15">
        <v>5</v>
      </c>
      <c r="L45" s="15">
        <v>4</v>
      </c>
      <c r="M45" s="15">
        <v>2</v>
      </c>
      <c r="N45" s="15">
        <v>3</v>
      </c>
      <c r="O45" s="15">
        <v>3</v>
      </c>
      <c r="P45" s="15" t="s">
        <v>415</v>
      </c>
      <c r="Q45" s="23" t="s">
        <v>416</v>
      </c>
      <c r="R45" s="25">
        <f>ROUND((K45*Parametros!$B$4+L45*Parametros!$B$5+M45*Parametros!$B$6+N45*Parametros!$B$7+O45*Parametros!$B$8)/SUM(Parametros!$B$4:$B$8),2)</f>
        <v>3.6</v>
      </c>
      <c r="S45" s="26">
        <f>IFERROR(INDEX(Parametros!$F$33:$F$42,MATCH(D45,Parametros!$A$33:$A$42,0)),1)</f>
        <v>1.034</v>
      </c>
      <c r="T45" s="27">
        <f>IFERROR(INDEX(Parametros!$B$21:$B$26,MATCH(I45,Parametros!$A$21:$A$26,0)),0)</f>
        <v>0.3</v>
      </c>
      <c r="U45" s="28">
        <f t="shared" si="1"/>
        <v>4.0199999999999996</v>
      </c>
      <c r="V45" s="9">
        <f>IF(U45&gt;=Parametros!$B$14,4,IF(U45&gt;=Parametros!$B$13,3,IF(U45&gt;=Parametros!$B$12,2,1)))</f>
        <v>4</v>
      </c>
      <c r="W45" s="5">
        <f>MAX(V45,IF(K45=5,Parametros!$B$17,0),IF(P45="Sim",Parametros!$B$18,0))</f>
        <v>4</v>
      </c>
      <c r="X45" s="5" t="str">
        <f t="shared" si="2"/>
        <v>Urgente</v>
      </c>
      <c r="Y45" s="29">
        <f t="shared" si="3"/>
        <v>4039.8999549999999</v>
      </c>
      <c r="Z45" s="4" t="s">
        <v>135</v>
      </c>
    </row>
    <row r="46" spans="1:26" ht="28.05" customHeight="1" x14ac:dyDescent="0.3">
      <c r="A46" s="5">
        <f t="shared" si="0"/>
        <v>42</v>
      </c>
      <c r="B46" s="23" t="s">
        <v>458</v>
      </c>
      <c r="C46" s="17" t="s">
        <v>199</v>
      </c>
      <c r="D46" s="4" t="s">
        <v>50</v>
      </c>
      <c r="E46" s="4" t="s">
        <v>65</v>
      </c>
      <c r="F46" s="4" t="s">
        <v>65</v>
      </c>
      <c r="G46" s="4" t="s">
        <v>171</v>
      </c>
      <c r="H46" s="4" t="s">
        <v>172</v>
      </c>
      <c r="I46" s="24" t="s">
        <v>109</v>
      </c>
      <c r="J46" s="15">
        <v>3</v>
      </c>
      <c r="K46" s="15">
        <v>4</v>
      </c>
      <c r="L46" s="15">
        <v>2</v>
      </c>
      <c r="M46" s="15">
        <v>3</v>
      </c>
      <c r="N46" s="15">
        <v>5</v>
      </c>
      <c r="O46" s="15">
        <v>3</v>
      </c>
      <c r="P46" s="15" t="s">
        <v>415</v>
      </c>
      <c r="Q46" s="23" t="s">
        <v>416</v>
      </c>
      <c r="R46" s="25">
        <f>ROUND((K46*Parametros!$B$4+L46*Parametros!$B$5+M46*Parametros!$B$6+N46*Parametros!$B$7+O46*Parametros!$B$8)/SUM(Parametros!$B$4:$B$8),2)</f>
        <v>3.4</v>
      </c>
      <c r="S46" s="26">
        <f>IFERROR(INDEX(Parametros!$F$33:$F$42,MATCH(D46,Parametros!$A$33:$A$42,0)),1)</f>
        <v>1.0840000000000001</v>
      </c>
      <c r="T46" s="27">
        <f>IFERROR(INDEX(Parametros!$B$21:$B$26,MATCH(I46,Parametros!$A$21:$A$26,0)),0)</f>
        <v>0.3</v>
      </c>
      <c r="U46" s="28">
        <f t="shared" si="1"/>
        <v>3.99</v>
      </c>
      <c r="V46" s="9">
        <f>IF(U46&gt;=Parametros!$B$14,4,IF(U46&gt;=Parametros!$B$13,3,IF(U46&gt;=Parametros!$B$12,2,1)))</f>
        <v>4</v>
      </c>
      <c r="W46" s="5">
        <f>MAX(V46,IF(K46=5,Parametros!$B$17,0),IF(P46="Sim",Parametros!$B$18,0))</f>
        <v>4</v>
      </c>
      <c r="X46" s="5" t="str">
        <f t="shared" si="2"/>
        <v>Urgente</v>
      </c>
      <c r="Y46" s="29">
        <f t="shared" si="3"/>
        <v>4039.5999539999998</v>
      </c>
      <c r="Z46" s="4" t="s">
        <v>200</v>
      </c>
    </row>
    <row r="47" spans="1:26" ht="28.05" customHeight="1" x14ac:dyDescent="0.3">
      <c r="A47" s="5">
        <f t="shared" si="0"/>
        <v>43</v>
      </c>
      <c r="B47" s="23" t="s">
        <v>459</v>
      </c>
      <c r="C47" s="17" t="s">
        <v>201</v>
      </c>
      <c r="D47" s="4" t="s">
        <v>54</v>
      </c>
      <c r="E47" s="4" t="s">
        <v>64</v>
      </c>
      <c r="F47" s="4" t="s">
        <v>64</v>
      </c>
      <c r="G47" s="4" t="s">
        <v>171</v>
      </c>
      <c r="H47" s="4" t="s">
        <v>172</v>
      </c>
      <c r="I47" s="24" t="s">
        <v>109</v>
      </c>
      <c r="J47" s="15">
        <v>2</v>
      </c>
      <c r="K47" s="15">
        <v>5</v>
      </c>
      <c r="L47" s="15">
        <v>4</v>
      </c>
      <c r="M47" s="15">
        <v>1</v>
      </c>
      <c r="N47" s="15">
        <v>5</v>
      </c>
      <c r="O47" s="15">
        <v>2</v>
      </c>
      <c r="P47" s="15" t="s">
        <v>415</v>
      </c>
      <c r="Q47" s="23" t="s">
        <v>416</v>
      </c>
      <c r="R47" s="25">
        <f>ROUND((K47*Parametros!$B$4+L47*Parametros!$B$5+M47*Parametros!$B$6+N47*Parametros!$B$7+O47*Parametros!$B$8)/SUM(Parametros!$B$4:$B$8),2)</f>
        <v>3.55</v>
      </c>
      <c r="S47" s="26">
        <f>IFERROR(INDEX(Parametros!$F$33:$F$42,MATCH(D47,Parametros!$A$33:$A$42,0)),1)</f>
        <v>1.034</v>
      </c>
      <c r="T47" s="27">
        <f>IFERROR(INDEX(Parametros!$B$21:$B$26,MATCH(I47,Parametros!$A$21:$A$26,0)),0)</f>
        <v>0.3</v>
      </c>
      <c r="U47" s="28">
        <f t="shared" si="1"/>
        <v>3.97</v>
      </c>
      <c r="V47" s="9">
        <f>IF(U47&gt;=Parametros!$B$14,4,IF(U47&gt;=Parametros!$B$13,3,IF(U47&gt;=Parametros!$B$12,2,1)))</f>
        <v>4</v>
      </c>
      <c r="W47" s="5">
        <f>MAX(V47,IF(K47=5,Parametros!$B$17,0),IF(P47="Sim",Parametros!$B$18,0))</f>
        <v>4</v>
      </c>
      <c r="X47" s="5" t="str">
        <f t="shared" si="2"/>
        <v>Urgente</v>
      </c>
      <c r="Y47" s="29">
        <f t="shared" si="3"/>
        <v>4039.499953</v>
      </c>
      <c r="Z47" s="4" t="s">
        <v>202</v>
      </c>
    </row>
    <row r="48" spans="1:26" ht="28.05" customHeight="1" x14ac:dyDescent="0.3">
      <c r="A48" s="5">
        <f t="shared" si="0"/>
        <v>44</v>
      </c>
      <c r="B48" s="23" t="s">
        <v>460</v>
      </c>
      <c r="C48" s="17" t="s">
        <v>157</v>
      </c>
      <c r="D48" s="4" t="s">
        <v>52</v>
      </c>
      <c r="E48" s="4" t="s">
        <v>63</v>
      </c>
      <c r="F48" s="4" t="s">
        <v>63</v>
      </c>
      <c r="G48" s="4" t="s">
        <v>112</v>
      </c>
      <c r="H48" s="4" t="s">
        <v>108</v>
      </c>
      <c r="I48" s="24" t="s">
        <v>122</v>
      </c>
      <c r="J48" s="15">
        <v>4</v>
      </c>
      <c r="K48" s="15">
        <v>4</v>
      </c>
      <c r="L48" s="15">
        <v>4</v>
      </c>
      <c r="M48" s="15">
        <v>3</v>
      </c>
      <c r="N48" s="15">
        <v>4</v>
      </c>
      <c r="O48" s="15">
        <v>4</v>
      </c>
      <c r="P48" s="15" t="s">
        <v>415</v>
      </c>
      <c r="Q48" s="23" t="s">
        <v>416</v>
      </c>
      <c r="R48" s="25">
        <f>ROUND((K48*Parametros!$B$4+L48*Parametros!$B$5+M48*Parametros!$B$6+N48*Parametros!$B$7+O48*Parametros!$B$8)/SUM(Parametros!$B$4:$B$8),2)</f>
        <v>3.8</v>
      </c>
      <c r="S48" s="26">
        <f>IFERROR(INDEX(Parametros!$F$33:$F$42,MATCH(D48,Parametros!$A$33:$A$42,0)),1)</f>
        <v>1.05</v>
      </c>
      <c r="T48" s="27">
        <f>IFERROR(INDEX(Parametros!$B$21:$B$26,MATCH(I48,Parametros!$A$21:$A$26,0)),0)</f>
        <v>0</v>
      </c>
      <c r="U48" s="28">
        <f t="shared" si="1"/>
        <v>3.99</v>
      </c>
      <c r="V48" s="9">
        <f>IF(U48&gt;=Parametros!$B$14,4,IF(U48&gt;=Parametros!$B$13,3,IF(U48&gt;=Parametros!$B$12,2,1)))</f>
        <v>4</v>
      </c>
      <c r="W48" s="5">
        <f>MAX(V48,IF(K48=5,Parametros!$B$17,0),IF(P48="Sim",Parametros!$B$18,0))</f>
        <v>4</v>
      </c>
      <c r="X48" s="5" t="str">
        <f t="shared" si="2"/>
        <v>Urgente</v>
      </c>
      <c r="Y48" s="29">
        <f t="shared" si="3"/>
        <v>4039.4999520000001</v>
      </c>
      <c r="Z48" s="4" t="s">
        <v>158</v>
      </c>
    </row>
    <row r="49" spans="1:26" ht="28.05" customHeight="1" x14ac:dyDescent="0.3">
      <c r="A49" s="5">
        <f t="shared" si="0"/>
        <v>45</v>
      </c>
      <c r="B49" s="23" t="s">
        <v>461</v>
      </c>
      <c r="C49" s="17" t="s">
        <v>159</v>
      </c>
      <c r="D49" s="4" t="s">
        <v>51</v>
      </c>
      <c r="E49" s="4" t="s">
        <v>64</v>
      </c>
      <c r="F49" s="4" t="s">
        <v>64</v>
      </c>
      <c r="G49" s="4" t="s">
        <v>119</v>
      </c>
      <c r="H49" s="4" t="s">
        <v>108</v>
      </c>
      <c r="I49" s="24" t="s">
        <v>109</v>
      </c>
      <c r="J49" s="15">
        <v>4</v>
      </c>
      <c r="K49" s="15">
        <v>4</v>
      </c>
      <c r="L49" s="15">
        <v>4</v>
      </c>
      <c r="M49" s="15">
        <v>2</v>
      </c>
      <c r="N49" s="15">
        <v>3</v>
      </c>
      <c r="O49" s="15">
        <v>4</v>
      </c>
      <c r="P49" s="15" t="s">
        <v>415</v>
      </c>
      <c r="Q49" s="23" t="s">
        <v>416</v>
      </c>
      <c r="R49" s="25">
        <f>ROUND((K49*Parametros!$B$4+L49*Parametros!$B$5+M49*Parametros!$B$6+N49*Parametros!$B$7+O49*Parametros!$B$8)/SUM(Parametros!$B$4:$B$8),2)</f>
        <v>3.45</v>
      </c>
      <c r="S49" s="26">
        <f>IFERROR(INDEX(Parametros!$F$33:$F$42,MATCH(D49,Parametros!$A$33:$A$42,0)),1)</f>
        <v>1.0669999999999999</v>
      </c>
      <c r="T49" s="27">
        <f>IFERROR(INDEX(Parametros!$B$21:$B$26,MATCH(I49,Parametros!$A$21:$A$26,0)),0)</f>
        <v>0.3</v>
      </c>
      <c r="U49" s="28">
        <f t="shared" si="1"/>
        <v>3.98</v>
      </c>
      <c r="V49" s="9">
        <f>IF(U49&gt;=Parametros!$B$14,4,IF(U49&gt;=Parametros!$B$13,3,IF(U49&gt;=Parametros!$B$12,2,1)))</f>
        <v>4</v>
      </c>
      <c r="W49" s="5">
        <f>MAX(V49,IF(K49=5,Parametros!$B$17,0),IF(P49="Sim",Parametros!$B$18,0))</f>
        <v>4</v>
      </c>
      <c r="X49" s="5" t="str">
        <f t="shared" si="2"/>
        <v>Urgente</v>
      </c>
      <c r="Y49" s="29">
        <f t="shared" si="3"/>
        <v>4039.3999509999999</v>
      </c>
      <c r="Z49" s="4" t="s">
        <v>160</v>
      </c>
    </row>
    <row r="50" spans="1:26" ht="28.05" customHeight="1" x14ac:dyDescent="0.3">
      <c r="A50" s="5">
        <f t="shared" si="0"/>
        <v>46</v>
      </c>
      <c r="B50" s="23" t="s">
        <v>462</v>
      </c>
      <c r="C50" s="17" t="s">
        <v>161</v>
      </c>
      <c r="D50" s="4" t="s">
        <v>55</v>
      </c>
      <c r="E50" s="4" t="s">
        <v>67</v>
      </c>
      <c r="F50" s="4" t="s">
        <v>67</v>
      </c>
      <c r="G50" s="4" t="s">
        <v>112</v>
      </c>
      <c r="H50" s="4" t="s">
        <v>108</v>
      </c>
      <c r="I50" s="24" t="s">
        <v>109</v>
      </c>
      <c r="J50" s="15">
        <v>4</v>
      </c>
      <c r="K50" s="15">
        <v>5</v>
      </c>
      <c r="L50" s="15">
        <v>4</v>
      </c>
      <c r="M50" s="15">
        <v>1</v>
      </c>
      <c r="N50" s="15">
        <v>4</v>
      </c>
      <c r="O50" s="15">
        <v>3</v>
      </c>
      <c r="P50" s="15" t="s">
        <v>415</v>
      </c>
      <c r="Q50" s="23" t="s">
        <v>416</v>
      </c>
      <c r="R50" s="25">
        <f>ROUND((K50*Parametros!$B$4+L50*Parametros!$B$5+M50*Parametros!$B$6+N50*Parametros!$B$7+O50*Parametros!$B$8)/SUM(Parametros!$B$4:$B$8),2)</f>
        <v>3.55</v>
      </c>
      <c r="S50" s="26">
        <f>IFERROR(INDEX(Parametros!$F$33:$F$42,MATCH(D50,Parametros!$A$33:$A$42,0)),1)</f>
        <v>1.034</v>
      </c>
      <c r="T50" s="27">
        <f>IFERROR(INDEX(Parametros!$B$21:$B$26,MATCH(I50,Parametros!$A$21:$A$26,0)),0)</f>
        <v>0.3</v>
      </c>
      <c r="U50" s="28">
        <f t="shared" si="1"/>
        <v>3.97</v>
      </c>
      <c r="V50" s="9">
        <f>IF(U50&gt;=Parametros!$B$14,4,IF(U50&gt;=Parametros!$B$13,3,IF(U50&gt;=Parametros!$B$12,2,1)))</f>
        <v>4</v>
      </c>
      <c r="W50" s="5">
        <f>MAX(V50,IF(K50=5,Parametros!$B$17,0),IF(P50="Sim",Parametros!$B$18,0))</f>
        <v>4</v>
      </c>
      <c r="X50" s="5" t="str">
        <f t="shared" si="2"/>
        <v>Urgente</v>
      </c>
      <c r="Y50" s="29">
        <f t="shared" si="3"/>
        <v>4039.2999499999996</v>
      </c>
      <c r="Z50" s="4" t="s">
        <v>154</v>
      </c>
    </row>
    <row r="51" spans="1:26" ht="28.05" customHeight="1" x14ac:dyDescent="0.3">
      <c r="A51" s="5">
        <f t="shared" si="0"/>
        <v>47</v>
      </c>
      <c r="B51" s="23" t="s">
        <v>463</v>
      </c>
      <c r="C51" s="17" t="s">
        <v>203</v>
      </c>
      <c r="D51" s="4" t="s">
        <v>51</v>
      </c>
      <c r="E51" s="4" t="s">
        <v>77</v>
      </c>
      <c r="F51" s="4" t="s">
        <v>77</v>
      </c>
      <c r="G51" s="4" t="s">
        <v>171</v>
      </c>
      <c r="H51" s="4" t="s">
        <v>172</v>
      </c>
      <c r="I51" s="24" t="s">
        <v>152</v>
      </c>
      <c r="J51" s="15">
        <v>3</v>
      </c>
      <c r="K51" s="15">
        <v>4</v>
      </c>
      <c r="L51" s="15">
        <v>5</v>
      </c>
      <c r="M51" s="15">
        <v>3</v>
      </c>
      <c r="N51" s="15">
        <v>2</v>
      </c>
      <c r="O51" s="15">
        <v>4</v>
      </c>
      <c r="P51" s="15" t="s">
        <v>415</v>
      </c>
      <c r="Q51" s="23" t="s">
        <v>416</v>
      </c>
      <c r="R51" s="25">
        <f>ROUND((K51*Parametros!$B$4+L51*Parametros!$B$5+M51*Parametros!$B$6+N51*Parametros!$B$7+O51*Parametros!$B$8)/SUM(Parametros!$B$4:$B$8),2)</f>
        <v>3.7</v>
      </c>
      <c r="S51" s="26">
        <f>IFERROR(INDEX(Parametros!$F$33:$F$42,MATCH(D51,Parametros!$A$33:$A$42,0)),1)</f>
        <v>1.0669999999999999</v>
      </c>
      <c r="T51" s="27">
        <f>IFERROR(INDEX(Parametros!$B$21:$B$26,MATCH(I51,Parametros!$A$21:$A$26,0)),0)</f>
        <v>0</v>
      </c>
      <c r="U51" s="28">
        <f t="shared" si="1"/>
        <v>3.95</v>
      </c>
      <c r="V51" s="9">
        <f>IF(U51&gt;=Parametros!$B$14,4,IF(U51&gt;=Parametros!$B$13,3,IF(U51&gt;=Parametros!$B$12,2,1)))</f>
        <v>4</v>
      </c>
      <c r="W51" s="5">
        <f>MAX(V51,IF(K51=5,Parametros!$B$17,0),IF(P51="Sim",Parametros!$B$18,0))</f>
        <v>4</v>
      </c>
      <c r="X51" s="5" t="str">
        <f t="shared" si="2"/>
        <v>Urgente</v>
      </c>
      <c r="Y51" s="29">
        <f t="shared" si="3"/>
        <v>4039.1999489999998</v>
      </c>
      <c r="Z51" s="4" t="s">
        <v>142</v>
      </c>
    </row>
    <row r="52" spans="1:26" ht="28.05" customHeight="1" x14ac:dyDescent="0.3">
      <c r="A52" s="5">
        <f t="shared" si="0"/>
        <v>48</v>
      </c>
      <c r="B52" s="23" t="s">
        <v>464</v>
      </c>
      <c r="C52" s="17" t="s">
        <v>162</v>
      </c>
      <c r="D52" s="4" t="s">
        <v>54</v>
      </c>
      <c r="E52" s="4" t="s">
        <v>72</v>
      </c>
      <c r="F52" s="4" t="s">
        <v>72</v>
      </c>
      <c r="G52" s="4" t="s">
        <v>112</v>
      </c>
      <c r="H52" s="4" t="s">
        <v>108</v>
      </c>
      <c r="I52" s="24" t="s">
        <v>152</v>
      </c>
      <c r="J52" s="15">
        <v>3</v>
      </c>
      <c r="K52" s="15">
        <v>4</v>
      </c>
      <c r="L52" s="15">
        <v>4</v>
      </c>
      <c r="M52" s="15">
        <v>3</v>
      </c>
      <c r="N52" s="15">
        <v>4</v>
      </c>
      <c r="O52" s="15">
        <v>4</v>
      </c>
      <c r="P52" s="15" t="s">
        <v>415</v>
      </c>
      <c r="Q52" s="23" t="s">
        <v>416</v>
      </c>
      <c r="R52" s="25">
        <f>ROUND((K52*Parametros!$B$4+L52*Parametros!$B$5+M52*Parametros!$B$6+N52*Parametros!$B$7+O52*Parametros!$B$8)/SUM(Parametros!$B$4:$B$8),2)</f>
        <v>3.8</v>
      </c>
      <c r="S52" s="26">
        <f>IFERROR(INDEX(Parametros!$F$33:$F$42,MATCH(D52,Parametros!$A$33:$A$42,0)),1)</f>
        <v>1.034</v>
      </c>
      <c r="T52" s="27">
        <f>IFERROR(INDEX(Parametros!$B$21:$B$26,MATCH(I52,Parametros!$A$21:$A$26,0)),0)</f>
        <v>0</v>
      </c>
      <c r="U52" s="28">
        <f t="shared" si="1"/>
        <v>3.93</v>
      </c>
      <c r="V52" s="9">
        <f>IF(U52&gt;=Parametros!$B$14,4,IF(U52&gt;=Parametros!$B$13,3,IF(U52&gt;=Parametros!$B$12,2,1)))</f>
        <v>4</v>
      </c>
      <c r="W52" s="5">
        <f>MAX(V52,IF(K52=5,Parametros!$B$17,0),IF(P52="Sim",Parametros!$B$18,0))</f>
        <v>4</v>
      </c>
      <c r="X52" s="5" t="str">
        <f t="shared" si="2"/>
        <v>Urgente</v>
      </c>
      <c r="Y52" s="29">
        <f t="shared" si="3"/>
        <v>4038.9999480000001</v>
      </c>
      <c r="Z52" s="4" t="s">
        <v>158</v>
      </c>
    </row>
    <row r="53" spans="1:26" ht="28.05" customHeight="1" x14ac:dyDescent="0.3">
      <c r="A53" s="5">
        <f t="shared" si="0"/>
        <v>49</v>
      </c>
      <c r="B53" s="23" t="s">
        <v>465</v>
      </c>
      <c r="C53" s="17" t="s">
        <v>204</v>
      </c>
      <c r="D53" s="4" t="s">
        <v>49</v>
      </c>
      <c r="E53" s="4" t="s">
        <v>81</v>
      </c>
      <c r="F53" s="4" t="s">
        <v>81</v>
      </c>
      <c r="G53" s="4" t="s">
        <v>171</v>
      </c>
      <c r="H53" s="4" t="s">
        <v>172</v>
      </c>
      <c r="I53" s="24" t="s">
        <v>152</v>
      </c>
      <c r="J53" s="15">
        <v>1</v>
      </c>
      <c r="K53" s="15">
        <v>3</v>
      </c>
      <c r="L53" s="15">
        <v>3</v>
      </c>
      <c r="M53" s="15">
        <v>5</v>
      </c>
      <c r="N53" s="15">
        <v>4</v>
      </c>
      <c r="O53" s="15">
        <v>3</v>
      </c>
      <c r="P53" s="15" t="s">
        <v>415</v>
      </c>
      <c r="Q53" s="23" t="s">
        <v>416</v>
      </c>
      <c r="R53" s="25">
        <f>ROUND((K53*Parametros!$B$4+L53*Parametros!$B$5+M53*Parametros!$B$6+N53*Parametros!$B$7+O53*Parametros!$B$8)/SUM(Parametros!$B$4:$B$8),2)</f>
        <v>3.55</v>
      </c>
      <c r="S53" s="26">
        <f>IFERROR(INDEX(Parametros!$F$33:$F$42,MATCH(D53,Parametros!$A$33:$A$42,0)),1)</f>
        <v>1.1000000000000001</v>
      </c>
      <c r="T53" s="27">
        <f>IFERROR(INDEX(Parametros!$B$21:$B$26,MATCH(I53,Parametros!$A$21:$A$26,0)),0)</f>
        <v>0</v>
      </c>
      <c r="U53" s="28">
        <f t="shared" si="1"/>
        <v>3.91</v>
      </c>
      <c r="V53" s="9">
        <f>IF(U53&gt;=Parametros!$B$14,4,IF(U53&gt;=Parametros!$B$13,3,IF(U53&gt;=Parametros!$B$12,2,1)))</f>
        <v>4</v>
      </c>
      <c r="W53" s="5">
        <f>MAX(V53,IF(K53=5,Parametros!$B$17,0),IF(P53="Sim",Parametros!$B$18,0))</f>
        <v>4</v>
      </c>
      <c r="X53" s="5" t="str">
        <f t="shared" si="2"/>
        <v>Urgente</v>
      </c>
      <c r="Y53" s="29">
        <f t="shared" si="3"/>
        <v>4038.9999469999998</v>
      </c>
      <c r="Z53" s="4" t="s">
        <v>166</v>
      </c>
    </row>
    <row r="54" spans="1:26" ht="28.05" customHeight="1" x14ac:dyDescent="0.3">
      <c r="A54" s="5">
        <f t="shared" si="0"/>
        <v>50</v>
      </c>
      <c r="B54" s="23" t="s">
        <v>466</v>
      </c>
      <c r="C54" s="17" t="s">
        <v>205</v>
      </c>
      <c r="D54" s="4" t="s">
        <v>54</v>
      </c>
      <c r="E54" s="4" t="s">
        <v>72</v>
      </c>
      <c r="F54" s="4" t="s">
        <v>72</v>
      </c>
      <c r="G54" s="4" t="s">
        <v>171</v>
      </c>
      <c r="H54" s="4" t="s">
        <v>172</v>
      </c>
      <c r="I54" s="24" t="s">
        <v>122</v>
      </c>
      <c r="J54" s="15">
        <v>4</v>
      </c>
      <c r="K54" s="15">
        <v>4</v>
      </c>
      <c r="L54" s="15">
        <v>4</v>
      </c>
      <c r="M54" s="15">
        <v>3</v>
      </c>
      <c r="N54" s="15">
        <v>4</v>
      </c>
      <c r="O54" s="15">
        <v>4</v>
      </c>
      <c r="P54" s="15" t="s">
        <v>415</v>
      </c>
      <c r="Q54" s="23" t="s">
        <v>416</v>
      </c>
      <c r="R54" s="25">
        <f>ROUND((K54*Parametros!$B$4+L54*Parametros!$B$5+M54*Parametros!$B$6+N54*Parametros!$B$7+O54*Parametros!$B$8)/SUM(Parametros!$B$4:$B$8),2)</f>
        <v>3.8</v>
      </c>
      <c r="S54" s="26">
        <f>IFERROR(INDEX(Parametros!$F$33:$F$42,MATCH(D54,Parametros!$A$33:$A$42,0)),1)</f>
        <v>1.034</v>
      </c>
      <c r="T54" s="27">
        <f>IFERROR(INDEX(Parametros!$B$21:$B$26,MATCH(I54,Parametros!$A$21:$A$26,0)),0)</f>
        <v>0</v>
      </c>
      <c r="U54" s="28">
        <f t="shared" si="1"/>
        <v>3.93</v>
      </c>
      <c r="V54" s="9">
        <f>IF(U54&gt;=Parametros!$B$14,4,IF(U54&gt;=Parametros!$B$13,3,IF(U54&gt;=Parametros!$B$12,2,1)))</f>
        <v>4</v>
      </c>
      <c r="W54" s="5">
        <f>MAX(V54,IF(K54=5,Parametros!$B$17,0),IF(P54="Sim",Parametros!$B$18,0))</f>
        <v>4</v>
      </c>
      <c r="X54" s="5" t="str">
        <f t="shared" si="2"/>
        <v>Urgente</v>
      </c>
      <c r="Y54" s="29">
        <f t="shared" si="3"/>
        <v>4038.899946</v>
      </c>
      <c r="Z54" s="4" t="s">
        <v>158</v>
      </c>
    </row>
    <row r="55" spans="1:26" ht="28.05" customHeight="1" x14ac:dyDescent="0.3">
      <c r="A55" s="5">
        <f t="shared" si="0"/>
        <v>51</v>
      </c>
      <c r="B55" s="23" t="s">
        <v>467</v>
      </c>
      <c r="C55" s="17" t="s">
        <v>163</v>
      </c>
      <c r="D55" s="4" t="s">
        <v>54</v>
      </c>
      <c r="E55" s="4" t="s">
        <v>64</v>
      </c>
      <c r="F55" s="4" t="s">
        <v>64</v>
      </c>
      <c r="G55" s="4" t="s">
        <v>134</v>
      </c>
      <c r="H55" s="4" t="s">
        <v>108</v>
      </c>
      <c r="I55" s="24" t="s">
        <v>109</v>
      </c>
      <c r="J55" s="15">
        <v>3</v>
      </c>
      <c r="K55" s="15">
        <v>4</v>
      </c>
      <c r="L55" s="15">
        <v>4</v>
      </c>
      <c r="M55" s="15">
        <v>3</v>
      </c>
      <c r="N55" s="15">
        <v>3</v>
      </c>
      <c r="O55" s="15">
        <v>3</v>
      </c>
      <c r="P55" s="15" t="s">
        <v>415</v>
      </c>
      <c r="Q55" s="23" t="s">
        <v>416</v>
      </c>
      <c r="R55" s="25">
        <f>ROUND((K55*Parametros!$B$4+L55*Parametros!$B$5+M55*Parametros!$B$6+N55*Parametros!$B$7+O55*Parametros!$B$8)/SUM(Parametros!$B$4:$B$8),2)</f>
        <v>3.5</v>
      </c>
      <c r="S55" s="26">
        <f>IFERROR(INDEX(Parametros!$F$33:$F$42,MATCH(D55,Parametros!$A$33:$A$42,0)),1)</f>
        <v>1.034</v>
      </c>
      <c r="T55" s="27">
        <f>IFERROR(INDEX(Parametros!$B$21:$B$26,MATCH(I55,Parametros!$A$21:$A$26,0)),0)</f>
        <v>0.3</v>
      </c>
      <c r="U55" s="28">
        <f t="shared" si="1"/>
        <v>3.92</v>
      </c>
      <c r="V55" s="9">
        <f>IF(U55&gt;=Parametros!$B$14,4,IF(U55&gt;=Parametros!$B$13,3,IF(U55&gt;=Parametros!$B$12,2,1)))</f>
        <v>4</v>
      </c>
      <c r="W55" s="5">
        <f>MAX(V55,IF(K55=5,Parametros!$B$17,0),IF(P55="Sim",Parametros!$B$18,0))</f>
        <v>4</v>
      </c>
      <c r="X55" s="5" t="str">
        <f t="shared" si="2"/>
        <v>Urgente</v>
      </c>
      <c r="Y55" s="29">
        <f t="shared" si="3"/>
        <v>4038.8999449999997</v>
      </c>
      <c r="Z55" s="4" t="s">
        <v>164</v>
      </c>
    </row>
    <row r="56" spans="1:26" ht="28.05" customHeight="1" x14ac:dyDescent="0.3">
      <c r="A56" s="5">
        <f t="shared" si="0"/>
        <v>52</v>
      </c>
      <c r="B56" s="23" t="s">
        <v>468</v>
      </c>
      <c r="C56" s="17" t="s">
        <v>165</v>
      </c>
      <c r="D56" s="4" t="s">
        <v>48</v>
      </c>
      <c r="E56" s="4" t="s">
        <v>73</v>
      </c>
      <c r="F56" s="4" t="s">
        <v>73</v>
      </c>
      <c r="G56" s="4" t="s">
        <v>107</v>
      </c>
      <c r="H56" s="4" t="s">
        <v>108</v>
      </c>
      <c r="I56" s="24" t="s">
        <v>122</v>
      </c>
      <c r="J56" s="15">
        <v>3</v>
      </c>
      <c r="K56" s="15">
        <v>3</v>
      </c>
      <c r="L56" s="15">
        <v>3</v>
      </c>
      <c r="M56" s="15">
        <v>5</v>
      </c>
      <c r="N56" s="15">
        <v>4</v>
      </c>
      <c r="O56" s="15">
        <v>3</v>
      </c>
      <c r="P56" s="15" t="s">
        <v>469</v>
      </c>
      <c r="Q56" s="23" t="s">
        <v>416</v>
      </c>
      <c r="R56" s="25">
        <f>ROUND((K56*Parametros!$B$4+L56*Parametros!$B$5+M56*Parametros!$B$6+N56*Parametros!$B$7+O56*Parametros!$B$8)/SUM(Parametros!$B$4:$B$8),2)</f>
        <v>3.55</v>
      </c>
      <c r="S56" s="26">
        <f>IFERROR(INDEX(Parametros!$F$33:$F$42,MATCH(D56,Parametros!$A$33:$A$42,0)),1)</f>
        <v>1.1000000000000001</v>
      </c>
      <c r="T56" s="27">
        <f>IFERROR(INDEX(Parametros!$B$21:$B$26,MATCH(I56,Parametros!$A$21:$A$26,0)),0)</f>
        <v>0</v>
      </c>
      <c r="U56" s="28">
        <f t="shared" si="1"/>
        <v>3.91</v>
      </c>
      <c r="V56" s="9">
        <f>IF(U56&gt;=Parametros!$B$14,4,IF(U56&gt;=Parametros!$B$13,3,IF(U56&gt;=Parametros!$B$12,2,1)))</f>
        <v>4</v>
      </c>
      <c r="W56" s="5">
        <f>MAX(V56,IF(K56=5,Parametros!$B$17,0),IF(P56="Sim",Parametros!$B$18,0))</f>
        <v>4</v>
      </c>
      <c r="X56" s="5" t="str">
        <f t="shared" si="2"/>
        <v>Urgente</v>
      </c>
      <c r="Y56" s="29">
        <f t="shared" si="3"/>
        <v>4038.7999439999999</v>
      </c>
      <c r="Z56" s="4" t="s">
        <v>166</v>
      </c>
    </row>
    <row r="57" spans="1:26" ht="28.05" customHeight="1" x14ac:dyDescent="0.3">
      <c r="A57" s="5">
        <f t="shared" si="0"/>
        <v>53</v>
      </c>
      <c r="B57" s="23" t="s">
        <v>470</v>
      </c>
      <c r="C57" s="17" t="s">
        <v>167</v>
      </c>
      <c r="D57" s="4" t="s">
        <v>52</v>
      </c>
      <c r="E57" s="4" t="s">
        <v>66</v>
      </c>
      <c r="F57" s="4" t="s">
        <v>66</v>
      </c>
      <c r="G57" s="4" t="s">
        <v>119</v>
      </c>
      <c r="H57" s="4" t="s">
        <v>108</v>
      </c>
      <c r="I57" s="24" t="s">
        <v>109</v>
      </c>
      <c r="J57" s="15">
        <v>4</v>
      </c>
      <c r="K57" s="15">
        <v>4</v>
      </c>
      <c r="L57" s="15">
        <v>4</v>
      </c>
      <c r="M57" s="15">
        <v>2</v>
      </c>
      <c r="N57" s="15">
        <v>3</v>
      </c>
      <c r="O57" s="15">
        <v>4</v>
      </c>
      <c r="P57" s="15" t="s">
        <v>415</v>
      </c>
      <c r="Q57" s="23" t="s">
        <v>416</v>
      </c>
      <c r="R57" s="25">
        <f>ROUND((K57*Parametros!$B$4+L57*Parametros!$B$5+M57*Parametros!$B$6+N57*Parametros!$B$7+O57*Parametros!$B$8)/SUM(Parametros!$B$4:$B$8),2)</f>
        <v>3.45</v>
      </c>
      <c r="S57" s="26">
        <f>IFERROR(INDEX(Parametros!$F$33:$F$42,MATCH(D57,Parametros!$A$33:$A$42,0)),1)</f>
        <v>1.05</v>
      </c>
      <c r="T57" s="27">
        <f>IFERROR(INDEX(Parametros!$B$21:$B$26,MATCH(I57,Parametros!$A$21:$A$26,0)),0)</f>
        <v>0.3</v>
      </c>
      <c r="U57" s="28">
        <f t="shared" si="1"/>
        <v>3.92</v>
      </c>
      <c r="V57" s="9">
        <f>IF(U57&gt;=Parametros!$B$14,4,IF(U57&gt;=Parametros!$B$13,3,IF(U57&gt;=Parametros!$B$12,2,1)))</f>
        <v>4</v>
      </c>
      <c r="W57" s="5">
        <f>MAX(V57,IF(K57=5,Parametros!$B$17,0),IF(P57="Sim",Parametros!$B$18,0))</f>
        <v>4</v>
      </c>
      <c r="X57" s="5" t="str">
        <f t="shared" si="2"/>
        <v>Urgente</v>
      </c>
      <c r="Y57" s="29">
        <f t="shared" si="3"/>
        <v>4038.7999429999995</v>
      </c>
      <c r="Z57" s="4" t="s">
        <v>160</v>
      </c>
    </row>
    <row r="58" spans="1:26" ht="28.05" customHeight="1" x14ac:dyDescent="0.3">
      <c r="A58" s="5">
        <f t="shared" si="0"/>
        <v>54</v>
      </c>
      <c r="B58" s="23" t="s">
        <v>471</v>
      </c>
      <c r="C58" s="17" t="s">
        <v>206</v>
      </c>
      <c r="D58" s="4" t="s">
        <v>48</v>
      </c>
      <c r="E58" s="4" t="s">
        <v>73</v>
      </c>
      <c r="F58" s="4" t="s">
        <v>73</v>
      </c>
      <c r="G58" s="4" t="s">
        <v>171</v>
      </c>
      <c r="H58" s="4" t="s">
        <v>172</v>
      </c>
      <c r="I58" s="24" t="s">
        <v>152</v>
      </c>
      <c r="J58" s="15">
        <v>3</v>
      </c>
      <c r="K58" s="15">
        <v>3</v>
      </c>
      <c r="L58" s="15">
        <v>3</v>
      </c>
      <c r="M58" s="15">
        <v>5</v>
      </c>
      <c r="N58" s="15">
        <v>4</v>
      </c>
      <c r="O58" s="15">
        <v>3</v>
      </c>
      <c r="P58" s="15" t="s">
        <v>469</v>
      </c>
      <c r="Q58" s="23" t="s">
        <v>416</v>
      </c>
      <c r="R58" s="25">
        <f>ROUND((K58*Parametros!$B$4+L58*Parametros!$B$5+M58*Parametros!$B$6+N58*Parametros!$B$7+O58*Parametros!$B$8)/SUM(Parametros!$B$4:$B$8),2)</f>
        <v>3.55</v>
      </c>
      <c r="S58" s="26">
        <f>IFERROR(INDEX(Parametros!$F$33:$F$42,MATCH(D58,Parametros!$A$33:$A$42,0)),1)</f>
        <v>1.1000000000000001</v>
      </c>
      <c r="T58" s="27">
        <f>IFERROR(INDEX(Parametros!$B$21:$B$26,MATCH(I58,Parametros!$A$21:$A$26,0)),0)</f>
        <v>0</v>
      </c>
      <c r="U58" s="28">
        <f t="shared" si="1"/>
        <v>3.91</v>
      </c>
      <c r="V58" s="9">
        <f>IF(U58&gt;=Parametros!$B$14,4,IF(U58&gt;=Parametros!$B$13,3,IF(U58&gt;=Parametros!$B$12,2,1)))</f>
        <v>4</v>
      </c>
      <c r="W58" s="5">
        <f>MAX(V58,IF(K58=5,Parametros!$B$17,0),IF(P58="Sim",Parametros!$B$18,0))</f>
        <v>4</v>
      </c>
      <c r="X58" s="5" t="str">
        <f t="shared" si="2"/>
        <v>Urgente</v>
      </c>
      <c r="Y58" s="29">
        <f t="shared" si="3"/>
        <v>4038.7999419999996</v>
      </c>
      <c r="Z58" s="4" t="s">
        <v>166</v>
      </c>
    </row>
    <row r="59" spans="1:26" ht="28.05" customHeight="1" x14ac:dyDescent="0.3">
      <c r="A59" s="5">
        <f t="shared" si="0"/>
        <v>55</v>
      </c>
      <c r="B59" s="23" t="s">
        <v>472</v>
      </c>
      <c r="C59" s="17" t="s">
        <v>161</v>
      </c>
      <c r="D59" s="4" t="s">
        <v>56</v>
      </c>
      <c r="E59" s="4" t="s">
        <v>67</v>
      </c>
      <c r="F59" s="4" t="s">
        <v>67</v>
      </c>
      <c r="G59" s="4" t="s">
        <v>112</v>
      </c>
      <c r="H59" s="4" t="s">
        <v>108</v>
      </c>
      <c r="I59" s="24" t="s">
        <v>109</v>
      </c>
      <c r="J59" s="15">
        <v>4</v>
      </c>
      <c r="K59" s="15">
        <v>5</v>
      </c>
      <c r="L59" s="15">
        <v>4</v>
      </c>
      <c r="M59" s="15">
        <v>1</v>
      </c>
      <c r="N59" s="15">
        <v>4</v>
      </c>
      <c r="O59" s="15">
        <v>3</v>
      </c>
      <c r="P59" s="15" t="s">
        <v>415</v>
      </c>
      <c r="Q59" s="23" t="s">
        <v>416</v>
      </c>
      <c r="R59" s="25">
        <f>ROUND((K59*Parametros!$B$4+L59*Parametros!$B$5+M59*Parametros!$B$6+N59*Parametros!$B$7+O59*Parametros!$B$8)/SUM(Parametros!$B$4:$B$8),2)</f>
        <v>3.55</v>
      </c>
      <c r="S59" s="26">
        <f>IFERROR(INDEX(Parametros!$F$33:$F$42,MATCH(D59,Parametros!$A$33:$A$42,0)),1)</f>
        <v>1.0169999999999999</v>
      </c>
      <c r="T59" s="27">
        <f>IFERROR(INDEX(Parametros!$B$21:$B$26,MATCH(I59,Parametros!$A$21:$A$26,0)),0)</f>
        <v>0.3</v>
      </c>
      <c r="U59" s="28">
        <f t="shared" si="1"/>
        <v>3.91</v>
      </c>
      <c r="V59" s="9">
        <f>IF(U59&gt;=Parametros!$B$14,4,IF(U59&gt;=Parametros!$B$13,3,IF(U59&gt;=Parametros!$B$12,2,1)))</f>
        <v>4</v>
      </c>
      <c r="W59" s="5">
        <f>MAX(V59,IF(K59=5,Parametros!$B$17,0),IF(P59="Sim",Parametros!$B$18,0))</f>
        <v>4</v>
      </c>
      <c r="X59" s="5" t="str">
        <f t="shared" si="2"/>
        <v>Urgente</v>
      </c>
      <c r="Y59" s="29">
        <f t="shared" si="3"/>
        <v>4038.6999409999999</v>
      </c>
      <c r="Z59" s="4" t="s">
        <v>154</v>
      </c>
    </row>
    <row r="60" spans="1:26" ht="28.05" customHeight="1" x14ac:dyDescent="0.3">
      <c r="A60" s="5">
        <f t="shared" si="0"/>
        <v>56</v>
      </c>
      <c r="B60" s="23" t="s">
        <v>473</v>
      </c>
      <c r="C60" s="17" t="s">
        <v>168</v>
      </c>
      <c r="D60" s="4" t="s">
        <v>56</v>
      </c>
      <c r="E60" s="4" t="s">
        <v>64</v>
      </c>
      <c r="F60" s="4" t="s">
        <v>64</v>
      </c>
      <c r="G60" s="4" t="s">
        <v>134</v>
      </c>
      <c r="H60" s="4" t="s">
        <v>108</v>
      </c>
      <c r="I60" s="24" t="s">
        <v>109</v>
      </c>
      <c r="J60" s="15">
        <v>4</v>
      </c>
      <c r="K60" s="15">
        <v>5</v>
      </c>
      <c r="L60" s="15">
        <v>4</v>
      </c>
      <c r="M60" s="15">
        <v>1</v>
      </c>
      <c r="N60" s="15">
        <v>3</v>
      </c>
      <c r="O60" s="15">
        <v>4</v>
      </c>
      <c r="P60" s="15" t="s">
        <v>415</v>
      </c>
      <c r="Q60" s="23" t="s">
        <v>416</v>
      </c>
      <c r="R60" s="25">
        <f>ROUND((K60*Parametros!$B$4+L60*Parametros!$B$5+M60*Parametros!$B$6+N60*Parametros!$B$7+O60*Parametros!$B$8)/SUM(Parametros!$B$4:$B$8),2)</f>
        <v>3.55</v>
      </c>
      <c r="S60" s="26">
        <f>IFERROR(INDEX(Parametros!$F$33:$F$42,MATCH(D60,Parametros!$A$33:$A$42,0)),1)</f>
        <v>1.0169999999999999</v>
      </c>
      <c r="T60" s="27">
        <f>IFERROR(INDEX(Parametros!$B$21:$B$26,MATCH(I60,Parametros!$A$21:$A$26,0)),0)</f>
        <v>0.3</v>
      </c>
      <c r="U60" s="28">
        <f t="shared" si="1"/>
        <v>3.91</v>
      </c>
      <c r="V60" s="9">
        <f>IF(U60&gt;=Parametros!$B$14,4,IF(U60&gt;=Parametros!$B$13,3,IF(U60&gt;=Parametros!$B$12,2,1)))</f>
        <v>4</v>
      </c>
      <c r="W60" s="5">
        <f>MAX(V60,IF(K60=5,Parametros!$B$17,0),IF(P60="Sim",Parametros!$B$18,0))</f>
        <v>4</v>
      </c>
      <c r="X60" s="5" t="str">
        <f t="shared" si="2"/>
        <v>Urgente</v>
      </c>
      <c r="Y60" s="29">
        <f t="shared" si="3"/>
        <v>4038.69994</v>
      </c>
      <c r="Z60" s="4" t="s">
        <v>138</v>
      </c>
    </row>
    <row r="61" spans="1:26" ht="28.05" customHeight="1" x14ac:dyDescent="0.3">
      <c r="A61" s="5">
        <f t="shared" si="0"/>
        <v>57</v>
      </c>
      <c r="B61" s="23" t="s">
        <v>474</v>
      </c>
      <c r="C61" s="17" t="s">
        <v>209</v>
      </c>
      <c r="D61" s="4" t="s">
        <v>53</v>
      </c>
      <c r="E61" s="4" t="s">
        <v>64</v>
      </c>
      <c r="F61" s="4" t="s">
        <v>64</v>
      </c>
      <c r="G61" s="4" t="s">
        <v>134</v>
      </c>
      <c r="H61" s="4" t="s">
        <v>108</v>
      </c>
      <c r="I61" s="24" t="s">
        <v>109</v>
      </c>
      <c r="J61" s="15">
        <v>3</v>
      </c>
      <c r="K61" s="15">
        <v>5</v>
      </c>
      <c r="L61" s="15">
        <v>4</v>
      </c>
      <c r="M61" s="15">
        <v>1</v>
      </c>
      <c r="N61" s="15">
        <v>3</v>
      </c>
      <c r="O61" s="15">
        <v>3</v>
      </c>
      <c r="P61" s="15" t="s">
        <v>415</v>
      </c>
      <c r="Q61" s="23" t="s">
        <v>416</v>
      </c>
      <c r="R61" s="25">
        <f>ROUND((K61*Parametros!$B$4+L61*Parametros!$B$5+M61*Parametros!$B$6+N61*Parametros!$B$7+O61*Parametros!$B$8)/SUM(Parametros!$B$4:$B$8),2)</f>
        <v>3.4</v>
      </c>
      <c r="S61" s="26">
        <f>IFERROR(INDEX(Parametros!$F$33:$F$42,MATCH(D61,Parametros!$A$33:$A$42,0)),1)</f>
        <v>1.05</v>
      </c>
      <c r="T61" s="27">
        <f>IFERROR(INDEX(Parametros!$B$21:$B$26,MATCH(I61,Parametros!$A$21:$A$26,0)),0)</f>
        <v>0.3</v>
      </c>
      <c r="U61" s="28">
        <f t="shared" si="1"/>
        <v>3.87</v>
      </c>
      <c r="V61" s="9">
        <f>IF(U61&gt;=Parametros!$B$14,4,IF(U61&gt;=Parametros!$B$13,3,IF(U61&gt;=Parametros!$B$12,2,1)))</f>
        <v>3</v>
      </c>
      <c r="W61" s="5">
        <f>MAX(V61,IF(K61=5,Parametros!$B$17,0),IF(P61="Sim",Parametros!$B$18,0))</f>
        <v>3</v>
      </c>
      <c r="X61" s="5" t="str">
        <f t="shared" si="2"/>
        <v>Alta</v>
      </c>
      <c r="Y61" s="29">
        <f t="shared" si="3"/>
        <v>3038.3999389999994</v>
      </c>
      <c r="Z61" s="4" t="s">
        <v>135</v>
      </c>
    </row>
    <row r="62" spans="1:26" ht="28.05" customHeight="1" x14ac:dyDescent="0.3">
      <c r="A62" s="5">
        <f t="shared" si="0"/>
        <v>58</v>
      </c>
      <c r="B62" s="23" t="s">
        <v>475</v>
      </c>
      <c r="C62" s="17" t="s">
        <v>210</v>
      </c>
      <c r="D62" s="4" t="s">
        <v>53</v>
      </c>
      <c r="E62" s="4" t="s">
        <v>76</v>
      </c>
      <c r="F62" s="4" t="s">
        <v>76</v>
      </c>
      <c r="G62" s="4" t="s">
        <v>107</v>
      </c>
      <c r="H62" s="4" t="s">
        <v>108</v>
      </c>
      <c r="I62" s="24" t="s">
        <v>109</v>
      </c>
      <c r="J62" s="15">
        <v>3</v>
      </c>
      <c r="K62" s="15">
        <v>4</v>
      </c>
      <c r="L62" s="15">
        <v>4</v>
      </c>
      <c r="M62" s="15">
        <v>1</v>
      </c>
      <c r="N62" s="15">
        <v>5</v>
      </c>
      <c r="O62" s="15">
        <v>3</v>
      </c>
      <c r="P62" s="15" t="s">
        <v>415</v>
      </c>
      <c r="Q62" s="23" t="s">
        <v>416</v>
      </c>
      <c r="R62" s="25">
        <f>ROUND((K62*Parametros!$B$4+L62*Parametros!$B$5+M62*Parametros!$B$6+N62*Parametros!$B$7+O62*Parametros!$B$8)/SUM(Parametros!$B$4:$B$8),2)</f>
        <v>3.4</v>
      </c>
      <c r="S62" s="26">
        <f>IFERROR(INDEX(Parametros!$F$33:$F$42,MATCH(D62,Parametros!$A$33:$A$42,0)),1)</f>
        <v>1.05</v>
      </c>
      <c r="T62" s="27">
        <f>IFERROR(INDEX(Parametros!$B$21:$B$26,MATCH(I62,Parametros!$A$21:$A$26,0)),0)</f>
        <v>0.3</v>
      </c>
      <c r="U62" s="28">
        <f t="shared" si="1"/>
        <v>3.87</v>
      </c>
      <c r="V62" s="9">
        <f>IF(U62&gt;=Parametros!$B$14,4,IF(U62&gt;=Parametros!$B$13,3,IF(U62&gt;=Parametros!$B$12,2,1)))</f>
        <v>3</v>
      </c>
      <c r="W62" s="5">
        <f>MAX(V62,IF(K62=5,Parametros!$B$17,0),IF(P62="Sim",Parametros!$B$18,0))</f>
        <v>3</v>
      </c>
      <c r="X62" s="5" t="str">
        <f t="shared" si="2"/>
        <v>Alta</v>
      </c>
      <c r="Y62" s="29">
        <f t="shared" si="3"/>
        <v>3038.3999379999996</v>
      </c>
      <c r="Z62" s="4" t="s">
        <v>211</v>
      </c>
    </row>
    <row r="63" spans="1:26" ht="28.05" customHeight="1" x14ac:dyDescent="0.3">
      <c r="A63" s="5">
        <f t="shared" si="0"/>
        <v>59</v>
      </c>
      <c r="B63" s="23" t="s">
        <v>476</v>
      </c>
      <c r="C63" s="17" t="s">
        <v>212</v>
      </c>
      <c r="D63" s="4" t="s">
        <v>50</v>
      </c>
      <c r="E63" s="4" t="s">
        <v>85</v>
      </c>
      <c r="F63" s="4" t="s">
        <v>85</v>
      </c>
      <c r="G63" s="4" t="s">
        <v>107</v>
      </c>
      <c r="H63" s="4" t="s">
        <v>108</v>
      </c>
      <c r="I63" s="24" t="s">
        <v>122</v>
      </c>
      <c r="J63" s="15">
        <v>4</v>
      </c>
      <c r="K63" s="15">
        <v>3</v>
      </c>
      <c r="L63" s="15">
        <v>5</v>
      </c>
      <c r="M63" s="15">
        <v>3</v>
      </c>
      <c r="N63" s="15">
        <v>3</v>
      </c>
      <c r="O63" s="15">
        <v>4</v>
      </c>
      <c r="P63" s="15" t="s">
        <v>415</v>
      </c>
      <c r="Q63" s="23" t="s">
        <v>416</v>
      </c>
      <c r="R63" s="25">
        <f>ROUND((K63*Parametros!$B$4+L63*Parametros!$B$5+M63*Parametros!$B$6+N63*Parametros!$B$7+O63*Parametros!$B$8)/SUM(Parametros!$B$4:$B$8),2)</f>
        <v>3.55</v>
      </c>
      <c r="S63" s="26">
        <f>IFERROR(INDEX(Parametros!$F$33:$F$42,MATCH(D63,Parametros!$A$33:$A$42,0)),1)</f>
        <v>1.0840000000000001</v>
      </c>
      <c r="T63" s="27">
        <f>IFERROR(INDEX(Parametros!$B$21:$B$26,MATCH(I63,Parametros!$A$21:$A$26,0)),0)</f>
        <v>0</v>
      </c>
      <c r="U63" s="28">
        <f t="shared" si="1"/>
        <v>3.85</v>
      </c>
      <c r="V63" s="9">
        <f>IF(U63&gt;=Parametros!$B$14,4,IF(U63&gt;=Parametros!$B$13,3,IF(U63&gt;=Parametros!$B$12,2,1)))</f>
        <v>3</v>
      </c>
      <c r="W63" s="5">
        <f>MAX(V63,IF(K63=5,Parametros!$B$17,0),IF(P63="Sim",Parametros!$B$18,0))</f>
        <v>3</v>
      </c>
      <c r="X63" s="5" t="str">
        <f t="shared" si="2"/>
        <v>Alta</v>
      </c>
      <c r="Y63" s="29">
        <f t="shared" si="3"/>
        <v>3038.099937</v>
      </c>
      <c r="Z63" s="4" t="s">
        <v>213</v>
      </c>
    </row>
    <row r="64" spans="1:26" ht="28.05" customHeight="1" x14ac:dyDescent="0.3">
      <c r="A64" s="5">
        <f t="shared" si="0"/>
        <v>60</v>
      </c>
      <c r="B64" s="23" t="s">
        <v>477</v>
      </c>
      <c r="C64" s="17" t="s">
        <v>214</v>
      </c>
      <c r="D64" s="4" t="s">
        <v>50</v>
      </c>
      <c r="E64" s="4" t="s">
        <v>70</v>
      </c>
      <c r="F64" s="4" t="s">
        <v>70</v>
      </c>
      <c r="G64" s="4" t="s">
        <v>112</v>
      </c>
      <c r="H64" s="4" t="s">
        <v>108</v>
      </c>
      <c r="I64" s="24" t="s">
        <v>131</v>
      </c>
      <c r="J64" s="15">
        <v>4</v>
      </c>
      <c r="K64" s="15">
        <v>3</v>
      </c>
      <c r="L64" s="15">
        <v>4</v>
      </c>
      <c r="M64" s="15">
        <v>4</v>
      </c>
      <c r="N64" s="15">
        <v>2</v>
      </c>
      <c r="O64" s="15">
        <v>5</v>
      </c>
      <c r="P64" s="15" t="s">
        <v>415</v>
      </c>
      <c r="Q64" s="23" t="s">
        <v>416</v>
      </c>
      <c r="R64" s="25">
        <f>ROUND((K64*Parametros!$B$4+L64*Parametros!$B$5+M64*Parametros!$B$6+N64*Parametros!$B$7+O64*Parametros!$B$8)/SUM(Parametros!$B$4:$B$8),2)</f>
        <v>3.55</v>
      </c>
      <c r="S64" s="26">
        <f>IFERROR(INDEX(Parametros!$F$33:$F$42,MATCH(D64,Parametros!$A$33:$A$42,0)),1)</f>
        <v>1.0840000000000001</v>
      </c>
      <c r="T64" s="27">
        <f>IFERROR(INDEX(Parametros!$B$21:$B$26,MATCH(I64,Parametros!$A$21:$A$26,0)),0)</f>
        <v>0</v>
      </c>
      <c r="U64" s="28">
        <f t="shared" si="1"/>
        <v>3.85</v>
      </c>
      <c r="V64" s="9">
        <f>IF(U64&gt;=Parametros!$B$14,4,IF(U64&gt;=Parametros!$B$13,3,IF(U64&gt;=Parametros!$B$12,2,1)))</f>
        <v>3</v>
      </c>
      <c r="W64" s="5">
        <f>MAX(V64,IF(K64=5,Parametros!$B$17,0),IF(P64="Sim",Parametros!$B$18,0))</f>
        <v>3</v>
      </c>
      <c r="X64" s="5" t="str">
        <f t="shared" si="2"/>
        <v>Alta</v>
      </c>
      <c r="Y64" s="29">
        <f t="shared" si="3"/>
        <v>3038.0999360000001</v>
      </c>
      <c r="Z64" s="4" t="s">
        <v>215</v>
      </c>
    </row>
    <row r="65" spans="1:26" ht="28.05" customHeight="1" x14ac:dyDescent="0.3">
      <c r="A65" s="5">
        <f t="shared" si="0"/>
        <v>61</v>
      </c>
      <c r="B65" s="23" t="s">
        <v>478</v>
      </c>
      <c r="C65" s="17" t="s">
        <v>326</v>
      </c>
      <c r="D65" s="4" t="s">
        <v>51</v>
      </c>
      <c r="E65" s="4" t="s">
        <v>69</v>
      </c>
      <c r="F65" s="4" t="s">
        <v>69</v>
      </c>
      <c r="G65" s="4" t="s">
        <v>171</v>
      </c>
      <c r="H65" s="4" t="s">
        <v>172</v>
      </c>
      <c r="I65" s="24" t="s">
        <v>152</v>
      </c>
      <c r="J65" s="15">
        <v>3</v>
      </c>
      <c r="K65" s="15">
        <v>4</v>
      </c>
      <c r="L65" s="15">
        <v>4</v>
      </c>
      <c r="M65" s="15">
        <v>2</v>
      </c>
      <c r="N65" s="15">
        <v>5</v>
      </c>
      <c r="O65" s="15">
        <v>3</v>
      </c>
      <c r="P65" s="15" t="s">
        <v>415</v>
      </c>
      <c r="Q65" s="23" t="s">
        <v>416</v>
      </c>
      <c r="R65" s="25">
        <f>ROUND((K65*Parametros!$B$4+L65*Parametros!$B$5+M65*Parametros!$B$6+N65*Parametros!$B$7+O65*Parametros!$B$8)/SUM(Parametros!$B$4:$B$8),2)</f>
        <v>3.6</v>
      </c>
      <c r="S65" s="26">
        <f>IFERROR(INDEX(Parametros!$F$33:$F$42,MATCH(D65,Parametros!$A$33:$A$42,0)),1)</f>
        <v>1.0669999999999999</v>
      </c>
      <c r="T65" s="27">
        <f>IFERROR(INDEX(Parametros!$B$21:$B$26,MATCH(I65,Parametros!$A$21:$A$26,0)),0)</f>
        <v>0</v>
      </c>
      <c r="U65" s="28">
        <f t="shared" si="1"/>
        <v>3.84</v>
      </c>
      <c r="V65" s="9">
        <f>IF(U65&gt;=Parametros!$B$14,4,IF(U65&gt;=Parametros!$B$13,3,IF(U65&gt;=Parametros!$B$12,2,1)))</f>
        <v>3</v>
      </c>
      <c r="W65" s="5">
        <f>MAX(V65,IF(K65=5,Parametros!$B$17,0),IF(P65="Sim",Parametros!$B$18,0))</f>
        <v>3</v>
      </c>
      <c r="X65" s="5" t="str">
        <f t="shared" si="2"/>
        <v>Alta</v>
      </c>
      <c r="Y65" s="29">
        <f t="shared" si="3"/>
        <v>3038.0999349999997</v>
      </c>
      <c r="Z65" s="4" t="s">
        <v>240</v>
      </c>
    </row>
    <row r="66" spans="1:26" ht="28.05" customHeight="1" x14ac:dyDescent="0.3">
      <c r="A66" s="5">
        <f t="shared" si="0"/>
        <v>62</v>
      </c>
      <c r="B66" s="23" t="s">
        <v>479</v>
      </c>
      <c r="C66" s="17" t="s">
        <v>216</v>
      </c>
      <c r="D66" s="4" t="s">
        <v>50</v>
      </c>
      <c r="E66" s="4" t="s">
        <v>64</v>
      </c>
      <c r="F66" s="4" t="s">
        <v>64</v>
      </c>
      <c r="G66" s="4" t="s">
        <v>112</v>
      </c>
      <c r="H66" s="4" t="s">
        <v>108</v>
      </c>
      <c r="I66" s="24" t="s">
        <v>131</v>
      </c>
      <c r="J66" s="15">
        <v>5</v>
      </c>
      <c r="K66" s="15">
        <v>3</v>
      </c>
      <c r="L66" s="15">
        <v>4</v>
      </c>
      <c r="M66" s="15">
        <v>4</v>
      </c>
      <c r="N66" s="15">
        <v>2</v>
      </c>
      <c r="O66" s="15">
        <v>5</v>
      </c>
      <c r="P66" s="15" t="s">
        <v>415</v>
      </c>
      <c r="Q66" s="23" t="s">
        <v>416</v>
      </c>
      <c r="R66" s="25">
        <f>ROUND((K66*Parametros!$B$4+L66*Parametros!$B$5+M66*Parametros!$B$6+N66*Parametros!$B$7+O66*Parametros!$B$8)/SUM(Parametros!$B$4:$B$8),2)</f>
        <v>3.55</v>
      </c>
      <c r="S66" s="26">
        <f>IFERROR(INDEX(Parametros!$F$33:$F$42,MATCH(D66,Parametros!$A$33:$A$42,0)),1)</f>
        <v>1.0840000000000001</v>
      </c>
      <c r="T66" s="27">
        <f>IFERROR(INDEX(Parametros!$B$21:$B$26,MATCH(I66,Parametros!$A$21:$A$26,0)),0)</f>
        <v>0</v>
      </c>
      <c r="U66" s="28">
        <f t="shared" si="1"/>
        <v>3.85</v>
      </c>
      <c r="V66" s="9">
        <f>IF(U66&gt;=Parametros!$B$14,4,IF(U66&gt;=Parametros!$B$13,3,IF(U66&gt;=Parametros!$B$12,2,1)))</f>
        <v>3</v>
      </c>
      <c r="W66" s="5">
        <f>MAX(V66,IF(K66=5,Parametros!$B$17,0),IF(P66="Sim",Parametros!$B$18,0))</f>
        <v>3</v>
      </c>
      <c r="X66" s="5" t="str">
        <f t="shared" si="2"/>
        <v>Alta</v>
      </c>
      <c r="Y66" s="29">
        <f t="shared" si="3"/>
        <v>3037.9999339999999</v>
      </c>
      <c r="Z66" s="4" t="s">
        <v>215</v>
      </c>
    </row>
    <row r="67" spans="1:26" ht="28.05" customHeight="1" x14ac:dyDescent="0.3">
      <c r="A67" s="5">
        <f t="shared" si="0"/>
        <v>63</v>
      </c>
      <c r="B67" s="23" t="s">
        <v>480</v>
      </c>
      <c r="C67" s="17" t="s">
        <v>217</v>
      </c>
      <c r="D67" s="4" t="s">
        <v>48</v>
      </c>
      <c r="E67" s="4" t="s">
        <v>82</v>
      </c>
      <c r="F67" s="4" t="s">
        <v>82</v>
      </c>
      <c r="G67" s="4" t="s">
        <v>119</v>
      </c>
      <c r="H67" s="4" t="s">
        <v>108</v>
      </c>
      <c r="I67" s="24" t="s">
        <v>152</v>
      </c>
      <c r="J67" s="15">
        <v>5</v>
      </c>
      <c r="K67" s="15">
        <v>3</v>
      </c>
      <c r="L67" s="15">
        <v>3</v>
      </c>
      <c r="M67" s="15">
        <v>4</v>
      </c>
      <c r="N67" s="15">
        <v>4</v>
      </c>
      <c r="O67" s="15">
        <v>4</v>
      </c>
      <c r="P67" s="15" t="s">
        <v>415</v>
      </c>
      <c r="Q67" s="23" t="s">
        <v>416</v>
      </c>
      <c r="R67" s="25">
        <f>ROUND((K67*Parametros!$B$4+L67*Parametros!$B$5+M67*Parametros!$B$6+N67*Parametros!$B$7+O67*Parametros!$B$8)/SUM(Parametros!$B$4:$B$8),2)</f>
        <v>3.5</v>
      </c>
      <c r="S67" s="26">
        <f>IFERROR(INDEX(Parametros!$F$33:$F$42,MATCH(D67,Parametros!$A$33:$A$42,0)),1)</f>
        <v>1.1000000000000001</v>
      </c>
      <c r="T67" s="27">
        <f>IFERROR(INDEX(Parametros!$B$21:$B$26,MATCH(I67,Parametros!$A$21:$A$26,0)),0)</f>
        <v>0</v>
      </c>
      <c r="U67" s="28">
        <f t="shared" si="1"/>
        <v>3.85</v>
      </c>
      <c r="V67" s="9">
        <f>IF(U67&gt;=Parametros!$B$14,4,IF(U67&gt;=Parametros!$B$13,3,IF(U67&gt;=Parametros!$B$12,2,1)))</f>
        <v>3</v>
      </c>
      <c r="W67" s="5">
        <f>MAX(V67,IF(K67=5,Parametros!$B$17,0),IF(P67="Sim",Parametros!$B$18,0))</f>
        <v>3</v>
      </c>
      <c r="X67" s="5" t="str">
        <f t="shared" si="2"/>
        <v>Alta</v>
      </c>
      <c r="Y67" s="29">
        <f t="shared" si="3"/>
        <v>3037.9999330000001</v>
      </c>
      <c r="Z67" s="4" t="s">
        <v>218</v>
      </c>
    </row>
    <row r="68" spans="1:26" ht="28.05" customHeight="1" x14ac:dyDescent="0.3">
      <c r="A68" s="5">
        <f t="shared" si="0"/>
        <v>64</v>
      </c>
      <c r="B68" s="23" t="s">
        <v>481</v>
      </c>
      <c r="C68" s="17" t="s">
        <v>217</v>
      </c>
      <c r="D68" s="4" t="s">
        <v>49</v>
      </c>
      <c r="E68" s="4" t="s">
        <v>81</v>
      </c>
      <c r="F68" s="4" t="s">
        <v>81</v>
      </c>
      <c r="G68" s="4" t="s">
        <v>119</v>
      </c>
      <c r="H68" s="4" t="s">
        <v>108</v>
      </c>
      <c r="I68" s="24" t="s">
        <v>152</v>
      </c>
      <c r="J68" s="15">
        <v>5</v>
      </c>
      <c r="K68" s="15">
        <v>3</v>
      </c>
      <c r="L68" s="15">
        <v>3</v>
      </c>
      <c r="M68" s="15">
        <v>4</v>
      </c>
      <c r="N68" s="15">
        <v>4</v>
      </c>
      <c r="O68" s="15">
        <v>4</v>
      </c>
      <c r="P68" s="15" t="s">
        <v>415</v>
      </c>
      <c r="Q68" s="23" t="s">
        <v>416</v>
      </c>
      <c r="R68" s="25">
        <f>ROUND((K68*Parametros!$B$4+L68*Parametros!$B$5+M68*Parametros!$B$6+N68*Parametros!$B$7+O68*Parametros!$B$8)/SUM(Parametros!$B$4:$B$8),2)</f>
        <v>3.5</v>
      </c>
      <c r="S68" s="26">
        <f>IFERROR(INDEX(Parametros!$F$33:$F$42,MATCH(D68,Parametros!$A$33:$A$42,0)),1)</f>
        <v>1.1000000000000001</v>
      </c>
      <c r="T68" s="27">
        <f>IFERROR(INDEX(Parametros!$B$21:$B$26,MATCH(I68,Parametros!$A$21:$A$26,0)),0)</f>
        <v>0</v>
      </c>
      <c r="U68" s="28">
        <f t="shared" si="1"/>
        <v>3.85</v>
      </c>
      <c r="V68" s="9">
        <f>IF(U68&gt;=Parametros!$B$14,4,IF(U68&gt;=Parametros!$B$13,3,IF(U68&gt;=Parametros!$B$12,2,1)))</f>
        <v>3</v>
      </c>
      <c r="W68" s="5">
        <f>MAX(V68,IF(K68=5,Parametros!$B$17,0),IF(P68="Sim",Parametros!$B$18,0))</f>
        <v>3</v>
      </c>
      <c r="X68" s="5" t="str">
        <f t="shared" si="2"/>
        <v>Alta</v>
      </c>
      <c r="Y68" s="29">
        <f t="shared" si="3"/>
        <v>3037.9999320000002</v>
      </c>
      <c r="Z68" s="4" t="s">
        <v>218</v>
      </c>
    </row>
    <row r="69" spans="1:26" ht="28.05" customHeight="1" x14ac:dyDescent="0.3">
      <c r="A69" s="5">
        <f t="shared" ref="A69:A132" si="4">IF(Y69="","",COUNTIF($Y$5:$Y$983,"&gt;"&amp;Y69)+1)</f>
        <v>65</v>
      </c>
      <c r="B69" s="23" t="s">
        <v>482</v>
      </c>
      <c r="C69" s="17" t="s">
        <v>327</v>
      </c>
      <c r="D69" s="4" t="s">
        <v>52</v>
      </c>
      <c r="E69" s="4" t="s">
        <v>66</v>
      </c>
      <c r="F69" s="4" t="s">
        <v>66</v>
      </c>
      <c r="G69" s="4" t="s">
        <v>171</v>
      </c>
      <c r="H69" s="4" t="s">
        <v>172</v>
      </c>
      <c r="I69" s="24" t="s">
        <v>152</v>
      </c>
      <c r="J69" s="15">
        <v>4</v>
      </c>
      <c r="K69" s="15">
        <v>4</v>
      </c>
      <c r="L69" s="15">
        <v>4</v>
      </c>
      <c r="M69" s="15">
        <v>3</v>
      </c>
      <c r="N69" s="15">
        <v>3</v>
      </c>
      <c r="O69" s="15">
        <v>4</v>
      </c>
      <c r="P69" s="15" t="s">
        <v>415</v>
      </c>
      <c r="Q69" s="23" t="s">
        <v>416</v>
      </c>
      <c r="R69" s="25">
        <f>ROUND((K69*Parametros!$B$4+L69*Parametros!$B$5+M69*Parametros!$B$6+N69*Parametros!$B$7+O69*Parametros!$B$8)/SUM(Parametros!$B$4:$B$8),2)</f>
        <v>3.65</v>
      </c>
      <c r="S69" s="26">
        <f>IFERROR(INDEX(Parametros!$F$33:$F$42,MATCH(D69,Parametros!$A$33:$A$42,0)),1)</f>
        <v>1.05</v>
      </c>
      <c r="T69" s="27">
        <f>IFERROR(INDEX(Parametros!$B$21:$B$26,MATCH(I69,Parametros!$A$21:$A$26,0)),0)</f>
        <v>0</v>
      </c>
      <c r="U69" s="28">
        <f t="shared" ref="U69:U132" si="5">ROUND(R69*S69+T69,2)</f>
        <v>3.83</v>
      </c>
      <c r="V69" s="9">
        <f>IF(U69&gt;=Parametros!$B$14,4,IF(U69&gt;=Parametros!$B$13,3,IF(U69&gt;=Parametros!$B$12,2,1)))</f>
        <v>3</v>
      </c>
      <c r="W69" s="5">
        <f>MAX(V69,IF(K69=5,Parametros!$B$17,0),IF(P69="Sim",Parametros!$B$18,0))</f>
        <v>3</v>
      </c>
      <c r="X69" s="5" t="str">
        <f t="shared" ref="X69:X132" si="6">CHOOSE(W69,"Baixa","Normal","Alta","Urgente")</f>
        <v>Alta</v>
      </c>
      <c r="Y69" s="29">
        <f t="shared" ref="Y69:Y132" si="7">W69*1000+U69*10-J69/10-ROW()/1000000</f>
        <v>3037.8999309999999</v>
      </c>
      <c r="Z69" s="4" t="s">
        <v>224</v>
      </c>
    </row>
    <row r="70" spans="1:26" ht="28.05" customHeight="1" x14ac:dyDescent="0.3">
      <c r="A70" s="5">
        <f t="shared" si="4"/>
        <v>66</v>
      </c>
      <c r="B70" s="23" t="s">
        <v>483</v>
      </c>
      <c r="C70" s="17" t="s">
        <v>328</v>
      </c>
      <c r="D70" s="4" t="s">
        <v>52</v>
      </c>
      <c r="E70" s="4" t="s">
        <v>66</v>
      </c>
      <c r="F70" s="4" t="s">
        <v>66</v>
      </c>
      <c r="G70" s="4" t="s">
        <v>171</v>
      </c>
      <c r="H70" s="4" t="s">
        <v>172</v>
      </c>
      <c r="I70" s="24" t="s">
        <v>152</v>
      </c>
      <c r="J70" s="15">
        <v>4</v>
      </c>
      <c r="K70" s="15">
        <v>4</v>
      </c>
      <c r="L70" s="15">
        <v>4</v>
      </c>
      <c r="M70" s="15">
        <v>3</v>
      </c>
      <c r="N70" s="15">
        <v>3</v>
      </c>
      <c r="O70" s="15">
        <v>4</v>
      </c>
      <c r="P70" s="15" t="s">
        <v>415</v>
      </c>
      <c r="Q70" s="23" t="s">
        <v>416</v>
      </c>
      <c r="R70" s="25">
        <f>ROUND((K70*Parametros!$B$4+L70*Parametros!$B$5+M70*Parametros!$B$6+N70*Parametros!$B$7+O70*Parametros!$B$8)/SUM(Parametros!$B$4:$B$8),2)</f>
        <v>3.65</v>
      </c>
      <c r="S70" s="26">
        <f>IFERROR(INDEX(Parametros!$F$33:$F$42,MATCH(D70,Parametros!$A$33:$A$42,0)),1)</f>
        <v>1.05</v>
      </c>
      <c r="T70" s="27">
        <f>IFERROR(INDEX(Parametros!$B$21:$B$26,MATCH(I70,Parametros!$A$21:$A$26,0)),0)</f>
        <v>0</v>
      </c>
      <c r="U70" s="28">
        <f t="shared" si="5"/>
        <v>3.83</v>
      </c>
      <c r="V70" s="9">
        <f>IF(U70&gt;=Parametros!$B$14,4,IF(U70&gt;=Parametros!$B$13,3,IF(U70&gt;=Parametros!$B$12,2,1)))</f>
        <v>3</v>
      </c>
      <c r="W70" s="5">
        <f>MAX(V70,IF(K70=5,Parametros!$B$17,0),IF(P70="Sim",Parametros!$B$18,0))</f>
        <v>3</v>
      </c>
      <c r="X70" s="5" t="str">
        <f t="shared" si="6"/>
        <v>Alta</v>
      </c>
      <c r="Y70" s="29">
        <f t="shared" si="7"/>
        <v>3037.89993</v>
      </c>
      <c r="Z70" s="4" t="s">
        <v>224</v>
      </c>
    </row>
    <row r="71" spans="1:26" ht="28.05" customHeight="1" x14ac:dyDescent="0.3">
      <c r="A71" s="5">
        <f t="shared" si="4"/>
        <v>67</v>
      </c>
      <c r="B71" s="23" t="s">
        <v>484</v>
      </c>
      <c r="C71" s="17" t="s">
        <v>219</v>
      </c>
      <c r="D71" s="4" t="s">
        <v>54</v>
      </c>
      <c r="E71" s="4" t="s">
        <v>80</v>
      </c>
      <c r="F71" s="4" t="s">
        <v>485</v>
      </c>
      <c r="G71" s="4" t="s">
        <v>112</v>
      </c>
      <c r="H71" s="4" t="s">
        <v>108</v>
      </c>
      <c r="I71" s="24" t="s">
        <v>109</v>
      </c>
      <c r="J71" s="15">
        <v>3</v>
      </c>
      <c r="K71" s="15">
        <v>4</v>
      </c>
      <c r="L71" s="15">
        <v>4</v>
      </c>
      <c r="M71" s="15">
        <v>1</v>
      </c>
      <c r="N71" s="15">
        <v>5</v>
      </c>
      <c r="O71" s="15">
        <v>3</v>
      </c>
      <c r="P71" s="15" t="s">
        <v>415</v>
      </c>
      <c r="Q71" s="23" t="s">
        <v>416</v>
      </c>
      <c r="R71" s="25">
        <f>ROUND((K71*Parametros!$B$4+L71*Parametros!$B$5+M71*Parametros!$B$6+N71*Parametros!$B$7+O71*Parametros!$B$8)/SUM(Parametros!$B$4:$B$8),2)</f>
        <v>3.4</v>
      </c>
      <c r="S71" s="26">
        <f>IFERROR(INDEX(Parametros!$F$33:$F$42,MATCH(D71,Parametros!$A$33:$A$42,0)),1)</f>
        <v>1.034</v>
      </c>
      <c r="T71" s="27">
        <f>IFERROR(INDEX(Parametros!$B$21:$B$26,MATCH(I71,Parametros!$A$21:$A$26,0)),0)</f>
        <v>0.3</v>
      </c>
      <c r="U71" s="28">
        <f t="shared" si="5"/>
        <v>3.82</v>
      </c>
      <c r="V71" s="9">
        <f>IF(U71&gt;=Parametros!$B$14,4,IF(U71&gt;=Parametros!$B$13,3,IF(U71&gt;=Parametros!$B$12,2,1)))</f>
        <v>3</v>
      </c>
      <c r="W71" s="5">
        <f>MAX(V71,IF(K71=5,Parametros!$B$17,0),IF(P71="Sim",Parametros!$B$18,0))</f>
        <v>3</v>
      </c>
      <c r="X71" s="5" t="str">
        <f t="shared" si="6"/>
        <v>Alta</v>
      </c>
      <c r="Y71" s="29">
        <f t="shared" si="7"/>
        <v>3037.8999289999997</v>
      </c>
      <c r="Z71" s="4" t="s">
        <v>211</v>
      </c>
    </row>
    <row r="72" spans="1:26" ht="28.05" customHeight="1" x14ac:dyDescent="0.3">
      <c r="A72" s="5">
        <f t="shared" si="4"/>
        <v>68</v>
      </c>
      <c r="B72" s="23" t="s">
        <v>486</v>
      </c>
      <c r="C72" s="17" t="s">
        <v>220</v>
      </c>
      <c r="D72" s="4" t="s">
        <v>54</v>
      </c>
      <c r="E72" s="4" t="s">
        <v>65</v>
      </c>
      <c r="F72" s="4" t="s">
        <v>65</v>
      </c>
      <c r="G72" s="4" t="s">
        <v>112</v>
      </c>
      <c r="H72" s="4" t="s">
        <v>108</v>
      </c>
      <c r="I72" s="24" t="s">
        <v>109</v>
      </c>
      <c r="J72" s="15">
        <v>3</v>
      </c>
      <c r="K72" s="15">
        <v>4</v>
      </c>
      <c r="L72" s="15">
        <v>2</v>
      </c>
      <c r="M72" s="15">
        <v>3</v>
      </c>
      <c r="N72" s="15">
        <v>5</v>
      </c>
      <c r="O72" s="15">
        <v>3</v>
      </c>
      <c r="P72" s="15" t="s">
        <v>415</v>
      </c>
      <c r="Q72" s="23" t="s">
        <v>416</v>
      </c>
      <c r="R72" s="25">
        <f>ROUND((K72*Parametros!$B$4+L72*Parametros!$B$5+M72*Parametros!$B$6+N72*Parametros!$B$7+O72*Parametros!$B$8)/SUM(Parametros!$B$4:$B$8),2)</f>
        <v>3.4</v>
      </c>
      <c r="S72" s="26">
        <f>IFERROR(INDEX(Parametros!$F$33:$F$42,MATCH(D72,Parametros!$A$33:$A$42,0)),1)</f>
        <v>1.034</v>
      </c>
      <c r="T72" s="27">
        <f>IFERROR(INDEX(Parametros!$B$21:$B$26,MATCH(I72,Parametros!$A$21:$A$26,0)),0)</f>
        <v>0.3</v>
      </c>
      <c r="U72" s="28">
        <f t="shared" si="5"/>
        <v>3.82</v>
      </c>
      <c r="V72" s="9">
        <f>IF(U72&gt;=Parametros!$B$14,4,IF(U72&gt;=Parametros!$B$13,3,IF(U72&gt;=Parametros!$B$12,2,1)))</f>
        <v>3</v>
      </c>
      <c r="W72" s="5">
        <f>MAX(V72,IF(K72=5,Parametros!$B$17,0),IF(P72="Sim",Parametros!$B$18,0))</f>
        <v>3</v>
      </c>
      <c r="X72" s="5" t="str">
        <f t="shared" si="6"/>
        <v>Alta</v>
      </c>
      <c r="Y72" s="29">
        <f t="shared" si="7"/>
        <v>3037.8999279999998</v>
      </c>
      <c r="Z72" s="4" t="s">
        <v>200</v>
      </c>
    </row>
    <row r="73" spans="1:26" ht="28.05" customHeight="1" x14ac:dyDescent="0.3">
      <c r="A73" s="5">
        <f t="shared" si="4"/>
        <v>69</v>
      </c>
      <c r="B73" s="23" t="s">
        <v>487</v>
      </c>
      <c r="C73" s="17" t="s">
        <v>329</v>
      </c>
      <c r="D73" s="4" t="s">
        <v>54</v>
      </c>
      <c r="E73" s="4" t="s">
        <v>72</v>
      </c>
      <c r="F73" s="4" t="s">
        <v>72</v>
      </c>
      <c r="G73" s="4" t="s">
        <v>171</v>
      </c>
      <c r="H73" s="4" t="s">
        <v>172</v>
      </c>
      <c r="I73" s="24" t="s">
        <v>152</v>
      </c>
      <c r="J73" s="15">
        <v>5</v>
      </c>
      <c r="K73" s="15">
        <v>3</v>
      </c>
      <c r="L73" s="15">
        <v>4</v>
      </c>
      <c r="M73" s="15">
        <v>4</v>
      </c>
      <c r="N73" s="15">
        <v>3</v>
      </c>
      <c r="O73" s="15">
        <v>5</v>
      </c>
      <c r="P73" s="15" t="s">
        <v>415</v>
      </c>
      <c r="Q73" s="23" t="s">
        <v>416</v>
      </c>
      <c r="R73" s="25">
        <f>ROUND((K73*Parametros!$B$4+L73*Parametros!$B$5+M73*Parametros!$B$6+N73*Parametros!$B$7+O73*Parametros!$B$8)/SUM(Parametros!$B$4:$B$8),2)</f>
        <v>3.7</v>
      </c>
      <c r="S73" s="26">
        <f>IFERROR(INDEX(Parametros!$F$33:$F$42,MATCH(D73,Parametros!$A$33:$A$42,0)),1)</f>
        <v>1.034</v>
      </c>
      <c r="T73" s="27">
        <f>IFERROR(INDEX(Parametros!$B$21:$B$26,MATCH(I73,Parametros!$A$21:$A$26,0)),0)</f>
        <v>0</v>
      </c>
      <c r="U73" s="28">
        <f t="shared" si="5"/>
        <v>3.83</v>
      </c>
      <c r="V73" s="9">
        <f>IF(U73&gt;=Parametros!$B$14,4,IF(U73&gt;=Parametros!$B$13,3,IF(U73&gt;=Parametros!$B$12,2,1)))</f>
        <v>3</v>
      </c>
      <c r="W73" s="5">
        <f>MAX(V73,IF(K73=5,Parametros!$B$17,0),IF(P73="Sim",Parametros!$B$18,0))</f>
        <v>3</v>
      </c>
      <c r="X73" s="5" t="str">
        <f t="shared" si="6"/>
        <v>Alta</v>
      </c>
      <c r="Y73" s="29">
        <f t="shared" si="7"/>
        <v>3037.799927</v>
      </c>
      <c r="Z73" s="4" t="s">
        <v>215</v>
      </c>
    </row>
    <row r="74" spans="1:26" ht="28.05" customHeight="1" x14ac:dyDescent="0.3">
      <c r="A74" s="5">
        <f t="shared" si="4"/>
        <v>70</v>
      </c>
      <c r="B74" s="23" t="s">
        <v>488</v>
      </c>
      <c r="C74" s="17" t="s">
        <v>221</v>
      </c>
      <c r="D74" s="4" t="s">
        <v>55</v>
      </c>
      <c r="E74" s="4" t="s">
        <v>79</v>
      </c>
      <c r="F74" s="4" t="s">
        <v>79</v>
      </c>
      <c r="G74" s="4" t="s">
        <v>119</v>
      </c>
      <c r="H74" s="4" t="s">
        <v>108</v>
      </c>
      <c r="I74" s="24" t="s">
        <v>109</v>
      </c>
      <c r="J74" s="15">
        <v>4</v>
      </c>
      <c r="K74" s="15">
        <v>5</v>
      </c>
      <c r="L74" s="15">
        <v>4</v>
      </c>
      <c r="M74" s="15">
        <v>1</v>
      </c>
      <c r="N74" s="15">
        <v>3</v>
      </c>
      <c r="O74" s="15">
        <v>3</v>
      </c>
      <c r="P74" s="15" t="s">
        <v>415</v>
      </c>
      <c r="Q74" s="23" t="s">
        <v>416</v>
      </c>
      <c r="R74" s="25">
        <f>ROUND((K74*Parametros!$B$4+L74*Parametros!$B$5+M74*Parametros!$B$6+N74*Parametros!$B$7+O74*Parametros!$B$8)/SUM(Parametros!$B$4:$B$8),2)</f>
        <v>3.4</v>
      </c>
      <c r="S74" s="26">
        <f>IFERROR(INDEX(Parametros!$F$33:$F$42,MATCH(D74,Parametros!$A$33:$A$42,0)),1)</f>
        <v>1.034</v>
      </c>
      <c r="T74" s="27">
        <f>IFERROR(INDEX(Parametros!$B$21:$B$26,MATCH(I74,Parametros!$A$21:$A$26,0)),0)</f>
        <v>0.3</v>
      </c>
      <c r="U74" s="28">
        <f t="shared" si="5"/>
        <v>3.82</v>
      </c>
      <c r="V74" s="9">
        <f>IF(U74&gt;=Parametros!$B$14,4,IF(U74&gt;=Parametros!$B$13,3,IF(U74&gt;=Parametros!$B$12,2,1)))</f>
        <v>3</v>
      </c>
      <c r="W74" s="5">
        <f>MAX(V74,IF(K74=5,Parametros!$B$17,0),IF(P74="Sim",Parametros!$B$18,0))</f>
        <v>3</v>
      </c>
      <c r="X74" s="5" t="str">
        <f t="shared" si="6"/>
        <v>Alta</v>
      </c>
      <c r="Y74" s="29">
        <f t="shared" si="7"/>
        <v>3037.7999259999997</v>
      </c>
      <c r="Z74" s="4" t="s">
        <v>135</v>
      </c>
    </row>
    <row r="75" spans="1:26" ht="28.05" customHeight="1" x14ac:dyDescent="0.3">
      <c r="A75" s="5">
        <f t="shared" si="4"/>
        <v>71</v>
      </c>
      <c r="B75" s="23" t="s">
        <v>489</v>
      </c>
      <c r="C75" s="17" t="s">
        <v>222</v>
      </c>
      <c r="D75" s="4" t="s">
        <v>54</v>
      </c>
      <c r="E75" s="4" t="s">
        <v>69</v>
      </c>
      <c r="F75" s="4" t="s">
        <v>427</v>
      </c>
      <c r="G75" s="4" t="s">
        <v>112</v>
      </c>
      <c r="H75" s="4" t="s">
        <v>108</v>
      </c>
      <c r="I75" s="24" t="s">
        <v>109</v>
      </c>
      <c r="J75" s="15">
        <v>5</v>
      </c>
      <c r="K75" s="15">
        <v>4</v>
      </c>
      <c r="L75" s="15">
        <v>3</v>
      </c>
      <c r="M75" s="15">
        <v>2</v>
      </c>
      <c r="N75" s="15">
        <v>5</v>
      </c>
      <c r="O75" s="15">
        <v>3</v>
      </c>
      <c r="P75" s="15" t="s">
        <v>415</v>
      </c>
      <c r="Q75" s="23" t="s">
        <v>416</v>
      </c>
      <c r="R75" s="25">
        <f>ROUND((K75*Parametros!$B$4+L75*Parametros!$B$5+M75*Parametros!$B$6+N75*Parametros!$B$7+O75*Parametros!$B$8)/SUM(Parametros!$B$4:$B$8),2)</f>
        <v>3.4</v>
      </c>
      <c r="S75" s="26">
        <f>IFERROR(INDEX(Parametros!$F$33:$F$42,MATCH(D75,Parametros!$A$33:$A$42,0)),1)</f>
        <v>1.034</v>
      </c>
      <c r="T75" s="27">
        <f>IFERROR(INDEX(Parametros!$B$21:$B$26,MATCH(I75,Parametros!$A$21:$A$26,0)),0)</f>
        <v>0.3</v>
      </c>
      <c r="U75" s="28">
        <f t="shared" si="5"/>
        <v>3.82</v>
      </c>
      <c r="V75" s="9">
        <f>IF(U75&gt;=Parametros!$B$14,4,IF(U75&gt;=Parametros!$B$13,3,IF(U75&gt;=Parametros!$B$12,2,1)))</f>
        <v>3</v>
      </c>
      <c r="W75" s="5">
        <f>MAX(V75,IF(K75=5,Parametros!$B$17,0),IF(P75="Sim",Parametros!$B$18,0))</f>
        <v>3</v>
      </c>
      <c r="X75" s="5" t="str">
        <f t="shared" si="6"/>
        <v>Alta</v>
      </c>
      <c r="Y75" s="29">
        <f t="shared" si="7"/>
        <v>3037.6999249999999</v>
      </c>
      <c r="Z75" s="4" t="s">
        <v>200</v>
      </c>
    </row>
    <row r="76" spans="1:26" ht="28.05" customHeight="1" x14ac:dyDescent="0.3">
      <c r="A76" s="5">
        <f t="shared" si="4"/>
        <v>72</v>
      </c>
      <c r="B76" s="23" t="s">
        <v>490</v>
      </c>
      <c r="C76" s="17" t="s">
        <v>223</v>
      </c>
      <c r="D76" s="4" t="s">
        <v>50</v>
      </c>
      <c r="E76" s="4" t="s">
        <v>65</v>
      </c>
      <c r="F76" s="4" t="s">
        <v>65</v>
      </c>
      <c r="G76" s="4" t="s">
        <v>134</v>
      </c>
      <c r="H76" s="4" t="s">
        <v>108</v>
      </c>
      <c r="I76" s="24" t="s">
        <v>152</v>
      </c>
      <c r="J76" s="15">
        <v>3</v>
      </c>
      <c r="K76" s="15">
        <v>4</v>
      </c>
      <c r="L76" s="15">
        <v>4</v>
      </c>
      <c r="M76" s="15">
        <v>3</v>
      </c>
      <c r="N76" s="15">
        <v>2</v>
      </c>
      <c r="O76" s="15">
        <v>4</v>
      </c>
      <c r="P76" s="15" t="s">
        <v>415</v>
      </c>
      <c r="Q76" s="23" t="s">
        <v>416</v>
      </c>
      <c r="R76" s="25">
        <f>ROUND((K76*Parametros!$B$4+L76*Parametros!$B$5+M76*Parametros!$B$6+N76*Parametros!$B$7+O76*Parametros!$B$8)/SUM(Parametros!$B$4:$B$8),2)</f>
        <v>3.5</v>
      </c>
      <c r="S76" s="26">
        <f>IFERROR(INDEX(Parametros!$F$33:$F$42,MATCH(D76,Parametros!$A$33:$A$42,0)),1)</f>
        <v>1.0840000000000001</v>
      </c>
      <c r="T76" s="27">
        <f>IFERROR(INDEX(Parametros!$B$21:$B$26,MATCH(I76,Parametros!$A$21:$A$26,0)),0)</f>
        <v>0</v>
      </c>
      <c r="U76" s="28">
        <f t="shared" si="5"/>
        <v>3.79</v>
      </c>
      <c r="V76" s="9">
        <f>IF(U76&gt;=Parametros!$B$14,4,IF(U76&gt;=Parametros!$B$13,3,IF(U76&gt;=Parametros!$B$12,2,1)))</f>
        <v>3</v>
      </c>
      <c r="W76" s="5">
        <f>MAX(V76,IF(K76=5,Parametros!$B$17,0),IF(P76="Sim",Parametros!$B$18,0))</f>
        <v>3</v>
      </c>
      <c r="X76" s="5" t="str">
        <f t="shared" si="6"/>
        <v>Alta</v>
      </c>
      <c r="Y76" s="29">
        <f t="shared" si="7"/>
        <v>3037.5999240000001</v>
      </c>
      <c r="Z76" s="4" t="s">
        <v>224</v>
      </c>
    </row>
    <row r="77" spans="1:26" ht="28.05" customHeight="1" x14ac:dyDescent="0.3">
      <c r="A77" s="5">
        <f t="shared" si="4"/>
        <v>73</v>
      </c>
      <c r="B77" s="23" t="s">
        <v>491</v>
      </c>
      <c r="C77" s="17" t="s">
        <v>225</v>
      </c>
      <c r="D77" s="4" t="s">
        <v>54</v>
      </c>
      <c r="E77" s="4" t="s">
        <v>72</v>
      </c>
      <c r="F77" s="4" t="s">
        <v>72</v>
      </c>
      <c r="G77" s="4" t="s">
        <v>112</v>
      </c>
      <c r="H77" s="4" t="s">
        <v>108</v>
      </c>
      <c r="I77" s="24" t="s">
        <v>152</v>
      </c>
      <c r="J77" s="15">
        <v>2</v>
      </c>
      <c r="K77" s="15">
        <v>4</v>
      </c>
      <c r="L77" s="15">
        <v>3</v>
      </c>
      <c r="M77" s="15">
        <v>4</v>
      </c>
      <c r="N77" s="15">
        <v>4</v>
      </c>
      <c r="O77" s="15">
        <v>3</v>
      </c>
      <c r="P77" s="15" t="s">
        <v>415</v>
      </c>
      <c r="Q77" s="23" t="s">
        <v>416</v>
      </c>
      <c r="R77" s="25">
        <f>ROUND((K77*Parametros!$B$4+L77*Parametros!$B$5+M77*Parametros!$B$6+N77*Parametros!$B$7+O77*Parametros!$B$8)/SUM(Parametros!$B$4:$B$8),2)</f>
        <v>3.65</v>
      </c>
      <c r="S77" s="26">
        <f>IFERROR(INDEX(Parametros!$F$33:$F$42,MATCH(D77,Parametros!$A$33:$A$42,0)),1)</f>
        <v>1.034</v>
      </c>
      <c r="T77" s="27">
        <f>IFERROR(INDEX(Parametros!$B$21:$B$26,MATCH(I77,Parametros!$A$21:$A$26,0)),0)</f>
        <v>0</v>
      </c>
      <c r="U77" s="28">
        <f t="shared" si="5"/>
        <v>3.77</v>
      </c>
      <c r="V77" s="9">
        <f>IF(U77&gt;=Parametros!$B$14,4,IF(U77&gt;=Parametros!$B$13,3,IF(U77&gt;=Parametros!$B$12,2,1)))</f>
        <v>3</v>
      </c>
      <c r="W77" s="5">
        <f>MAX(V77,IF(K77=5,Parametros!$B$17,0),IF(P77="Sim",Parametros!$B$18,0))</f>
        <v>3</v>
      </c>
      <c r="X77" s="5" t="str">
        <f t="shared" si="6"/>
        <v>Alta</v>
      </c>
      <c r="Y77" s="29">
        <f t="shared" si="7"/>
        <v>3037.4999229999999</v>
      </c>
      <c r="Z77" s="4" t="s">
        <v>226</v>
      </c>
    </row>
    <row r="78" spans="1:26" ht="28.05" customHeight="1" x14ac:dyDescent="0.3">
      <c r="A78" s="5">
        <f t="shared" si="4"/>
        <v>74</v>
      </c>
      <c r="B78" s="23" t="s">
        <v>492</v>
      </c>
      <c r="C78" s="17" t="s">
        <v>227</v>
      </c>
      <c r="D78" s="4" t="s">
        <v>50</v>
      </c>
      <c r="E78" s="4" t="s">
        <v>64</v>
      </c>
      <c r="F78" s="4" t="s">
        <v>64</v>
      </c>
      <c r="G78" s="4" t="s">
        <v>134</v>
      </c>
      <c r="H78" s="4" t="s">
        <v>108</v>
      </c>
      <c r="I78" s="24" t="s">
        <v>131</v>
      </c>
      <c r="J78" s="15">
        <v>4</v>
      </c>
      <c r="K78" s="15">
        <v>3</v>
      </c>
      <c r="L78" s="15">
        <v>4</v>
      </c>
      <c r="M78" s="15">
        <v>3</v>
      </c>
      <c r="N78" s="15">
        <v>4</v>
      </c>
      <c r="O78" s="15">
        <v>4</v>
      </c>
      <c r="P78" s="15" t="s">
        <v>415</v>
      </c>
      <c r="Q78" s="23" t="s">
        <v>416</v>
      </c>
      <c r="R78" s="25">
        <f>ROUND((K78*Parametros!$B$4+L78*Parametros!$B$5+M78*Parametros!$B$6+N78*Parametros!$B$7+O78*Parametros!$B$8)/SUM(Parametros!$B$4:$B$8),2)</f>
        <v>3.5</v>
      </c>
      <c r="S78" s="26">
        <f>IFERROR(INDEX(Parametros!$F$33:$F$42,MATCH(D78,Parametros!$A$33:$A$42,0)),1)</f>
        <v>1.0840000000000001</v>
      </c>
      <c r="T78" s="27">
        <f>IFERROR(INDEX(Parametros!$B$21:$B$26,MATCH(I78,Parametros!$A$21:$A$26,0)),0)</f>
        <v>0</v>
      </c>
      <c r="U78" s="28">
        <f t="shared" si="5"/>
        <v>3.79</v>
      </c>
      <c r="V78" s="9">
        <f>IF(U78&gt;=Parametros!$B$14,4,IF(U78&gt;=Parametros!$B$13,3,IF(U78&gt;=Parametros!$B$12,2,1)))</f>
        <v>3</v>
      </c>
      <c r="W78" s="5">
        <f>MAX(V78,IF(K78=5,Parametros!$B$17,0),IF(P78="Sim",Parametros!$B$18,0))</f>
        <v>3</v>
      </c>
      <c r="X78" s="5" t="str">
        <f t="shared" si="6"/>
        <v>Alta</v>
      </c>
      <c r="Y78" s="29">
        <f t="shared" si="7"/>
        <v>3037.499922</v>
      </c>
      <c r="Z78" s="4" t="s">
        <v>228</v>
      </c>
    </row>
    <row r="79" spans="1:26" ht="28.05" customHeight="1" x14ac:dyDescent="0.3">
      <c r="A79" s="5">
        <f t="shared" si="4"/>
        <v>75</v>
      </c>
      <c r="B79" s="23" t="s">
        <v>493</v>
      </c>
      <c r="C79" s="17" t="s">
        <v>229</v>
      </c>
      <c r="D79" s="4" t="s">
        <v>53</v>
      </c>
      <c r="E79" s="4" t="s">
        <v>68</v>
      </c>
      <c r="F79" s="4" t="s">
        <v>68</v>
      </c>
      <c r="G79" s="4" t="s">
        <v>112</v>
      </c>
      <c r="H79" s="4" t="s">
        <v>108</v>
      </c>
      <c r="I79" s="24" t="s">
        <v>122</v>
      </c>
      <c r="J79" s="15">
        <v>3</v>
      </c>
      <c r="K79" s="15">
        <v>5</v>
      </c>
      <c r="L79" s="15">
        <v>5</v>
      </c>
      <c r="M79" s="15">
        <v>1</v>
      </c>
      <c r="N79" s="15">
        <v>3</v>
      </c>
      <c r="O79" s="15">
        <v>3</v>
      </c>
      <c r="P79" s="15" t="s">
        <v>415</v>
      </c>
      <c r="Q79" s="23" t="s">
        <v>416</v>
      </c>
      <c r="R79" s="25">
        <f>ROUND((K79*Parametros!$B$4+L79*Parametros!$B$5+M79*Parametros!$B$6+N79*Parametros!$B$7+O79*Parametros!$B$8)/SUM(Parametros!$B$4:$B$8),2)</f>
        <v>3.6</v>
      </c>
      <c r="S79" s="26">
        <f>IFERROR(INDEX(Parametros!$F$33:$F$42,MATCH(D79,Parametros!$A$33:$A$42,0)),1)</f>
        <v>1.05</v>
      </c>
      <c r="T79" s="27">
        <f>IFERROR(INDEX(Parametros!$B$21:$B$26,MATCH(I79,Parametros!$A$21:$A$26,0)),0)</f>
        <v>0</v>
      </c>
      <c r="U79" s="28">
        <f t="shared" si="5"/>
        <v>3.78</v>
      </c>
      <c r="V79" s="9">
        <f>IF(U79&gt;=Parametros!$B$14,4,IF(U79&gt;=Parametros!$B$13,3,IF(U79&gt;=Parametros!$B$12,2,1)))</f>
        <v>3</v>
      </c>
      <c r="W79" s="5">
        <f>MAX(V79,IF(K79=5,Parametros!$B$17,0),IF(P79="Sim",Parametros!$B$18,0))</f>
        <v>3</v>
      </c>
      <c r="X79" s="5" t="str">
        <f t="shared" si="6"/>
        <v>Alta</v>
      </c>
      <c r="Y79" s="29">
        <f t="shared" si="7"/>
        <v>3037.4999210000001</v>
      </c>
      <c r="Z79" s="4" t="s">
        <v>230</v>
      </c>
    </row>
    <row r="80" spans="1:26" ht="28.05" customHeight="1" x14ac:dyDescent="0.3">
      <c r="A80" s="5">
        <f t="shared" si="4"/>
        <v>76</v>
      </c>
      <c r="B80" s="23" t="s">
        <v>494</v>
      </c>
      <c r="C80" s="17" t="s">
        <v>330</v>
      </c>
      <c r="D80" s="4" t="s">
        <v>52</v>
      </c>
      <c r="E80" s="4" t="s">
        <v>69</v>
      </c>
      <c r="F80" s="4" t="s">
        <v>427</v>
      </c>
      <c r="G80" s="4" t="s">
        <v>171</v>
      </c>
      <c r="H80" s="4" t="s">
        <v>172</v>
      </c>
      <c r="I80" s="24" t="s">
        <v>152</v>
      </c>
      <c r="J80" s="15">
        <v>3</v>
      </c>
      <c r="K80" s="15">
        <v>4</v>
      </c>
      <c r="L80" s="15">
        <v>4</v>
      </c>
      <c r="M80" s="15">
        <v>2</v>
      </c>
      <c r="N80" s="15">
        <v>5</v>
      </c>
      <c r="O80" s="15">
        <v>3</v>
      </c>
      <c r="P80" s="15" t="s">
        <v>415</v>
      </c>
      <c r="Q80" s="23" t="s">
        <v>416</v>
      </c>
      <c r="R80" s="25">
        <f>ROUND((K80*Parametros!$B$4+L80*Parametros!$B$5+M80*Parametros!$B$6+N80*Parametros!$B$7+O80*Parametros!$B$8)/SUM(Parametros!$B$4:$B$8),2)</f>
        <v>3.6</v>
      </c>
      <c r="S80" s="26">
        <f>IFERROR(INDEX(Parametros!$F$33:$F$42,MATCH(D80,Parametros!$A$33:$A$42,0)),1)</f>
        <v>1.05</v>
      </c>
      <c r="T80" s="27">
        <f>IFERROR(INDEX(Parametros!$B$21:$B$26,MATCH(I80,Parametros!$A$21:$A$26,0)),0)</f>
        <v>0</v>
      </c>
      <c r="U80" s="28">
        <f t="shared" si="5"/>
        <v>3.78</v>
      </c>
      <c r="V80" s="9">
        <f>IF(U80&gt;=Parametros!$B$14,4,IF(U80&gt;=Parametros!$B$13,3,IF(U80&gt;=Parametros!$B$12,2,1)))</f>
        <v>3</v>
      </c>
      <c r="W80" s="5">
        <f>MAX(V80,IF(K80=5,Parametros!$B$17,0),IF(P80="Sim",Parametros!$B$18,0))</f>
        <v>3</v>
      </c>
      <c r="X80" s="5" t="str">
        <f t="shared" si="6"/>
        <v>Alta</v>
      </c>
      <c r="Y80" s="29">
        <f t="shared" si="7"/>
        <v>3037.4999200000002</v>
      </c>
      <c r="Z80" s="4" t="s">
        <v>240</v>
      </c>
    </row>
    <row r="81" spans="1:26" ht="28.05" customHeight="1" x14ac:dyDescent="0.3">
      <c r="A81" s="5">
        <f t="shared" si="4"/>
        <v>77</v>
      </c>
      <c r="B81" s="23" t="s">
        <v>495</v>
      </c>
      <c r="C81" s="17" t="s">
        <v>231</v>
      </c>
      <c r="D81" s="4" t="s">
        <v>52</v>
      </c>
      <c r="E81" s="4" t="s">
        <v>69</v>
      </c>
      <c r="F81" s="4" t="s">
        <v>496</v>
      </c>
      <c r="G81" s="4" t="s">
        <v>107</v>
      </c>
      <c r="H81" s="4" t="s">
        <v>108</v>
      </c>
      <c r="I81" s="24" t="s">
        <v>122</v>
      </c>
      <c r="J81" s="15">
        <v>4</v>
      </c>
      <c r="K81" s="15">
        <v>4</v>
      </c>
      <c r="L81" s="15">
        <v>4</v>
      </c>
      <c r="M81" s="15">
        <v>2</v>
      </c>
      <c r="N81" s="15">
        <v>4</v>
      </c>
      <c r="O81" s="15">
        <v>4</v>
      </c>
      <c r="P81" s="15" t="s">
        <v>415</v>
      </c>
      <c r="Q81" s="23" t="s">
        <v>416</v>
      </c>
      <c r="R81" s="25">
        <f>ROUND((K81*Parametros!$B$4+L81*Parametros!$B$5+M81*Parametros!$B$6+N81*Parametros!$B$7+O81*Parametros!$B$8)/SUM(Parametros!$B$4:$B$8),2)</f>
        <v>3.6</v>
      </c>
      <c r="S81" s="26">
        <f>IFERROR(INDEX(Parametros!$F$33:$F$42,MATCH(D81,Parametros!$A$33:$A$42,0)),1)</f>
        <v>1.05</v>
      </c>
      <c r="T81" s="27">
        <f>IFERROR(INDEX(Parametros!$B$21:$B$26,MATCH(I81,Parametros!$A$21:$A$26,0)),0)</f>
        <v>0</v>
      </c>
      <c r="U81" s="28">
        <f t="shared" si="5"/>
        <v>3.78</v>
      </c>
      <c r="V81" s="9">
        <f>IF(U81&gt;=Parametros!$B$14,4,IF(U81&gt;=Parametros!$B$13,3,IF(U81&gt;=Parametros!$B$12,2,1)))</f>
        <v>3</v>
      </c>
      <c r="W81" s="5">
        <f>MAX(V81,IF(K81=5,Parametros!$B$17,0),IF(P81="Sim",Parametros!$B$18,0))</f>
        <v>3</v>
      </c>
      <c r="X81" s="5" t="str">
        <f t="shared" si="6"/>
        <v>Alta</v>
      </c>
      <c r="Y81" s="29">
        <f t="shared" si="7"/>
        <v>3037.399919</v>
      </c>
      <c r="Z81" s="4" t="s">
        <v>158</v>
      </c>
    </row>
    <row r="82" spans="1:26" ht="28.05" customHeight="1" x14ac:dyDescent="0.3">
      <c r="A82" s="5">
        <f t="shared" si="4"/>
        <v>78</v>
      </c>
      <c r="B82" s="23" t="s">
        <v>497</v>
      </c>
      <c r="C82" s="17" t="s">
        <v>232</v>
      </c>
      <c r="D82" s="4" t="s">
        <v>52</v>
      </c>
      <c r="E82" s="4" t="s">
        <v>63</v>
      </c>
      <c r="F82" s="4" t="s">
        <v>63</v>
      </c>
      <c r="G82" s="4" t="s">
        <v>112</v>
      </c>
      <c r="H82" s="4" t="s">
        <v>108</v>
      </c>
      <c r="I82" s="24" t="s">
        <v>122</v>
      </c>
      <c r="J82" s="15">
        <v>4</v>
      </c>
      <c r="K82" s="15">
        <v>4</v>
      </c>
      <c r="L82" s="15">
        <v>4</v>
      </c>
      <c r="M82" s="15">
        <v>2</v>
      </c>
      <c r="N82" s="15">
        <v>4</v>
      </c>
      <c r="O82" s="15">
        <v>4</v>
      </c>
      <c r="P82" s="15" t="s">
        <v>415</v>
      </c>
      <c r="Q82" s="23" t="s">
        <v>416</v>
      </c>
      <c r="R82" s="25">
        <f>ROUND((K82*Parametros!$B$4+L82*Parametros!$B$5+M82*Parametros!$B$6+N82*Parametros!$B$7+O82*Parametros!$B$8)/SUM(Parametros!$B$4:$B$8),2)</f>
        <v>3.6</v>
      </c>
      <c r="S82" s="26">
        <f>IFERROR(INDEX(Parametros!$F$33:$F$42,MATCH(D82,Parametros!$A$33:$A$42,0)),1)</f>
        <v>1.05</v>
      </c>
      <c r="T82" s="27">
        <f>IFERROR(INDEX(Parametros!$B$21:$B$26,MATCH(I82,Parametros!$A$21:$A$26,0)),0)</f>
        <v>0</v>
      </c>
      <c r="U82" s="28">
        <f t="shared" si="5"/>
        <v>3.78</v>
      </c>
      <c r="V82" s="9">
        <f>IF(U82&gt;=Parametros!$B$14,4,IF(U82&gt;=Parametros!$B$13,3,IF(U82&gt;=Parametros!$B$12,2,1)))</f>
        <v>3</v>
      </c>
      <c r="W82" s="5">
        <f>MAX(V82,IF(K82=5,Parametros!$B$17,0),IF(P82="Sim",Parametros!$B$18,0))</f>
        <v>3</v>
      </c>
      <c r="X82" s="5" t="str">
        <f t="shared" si="6"/>
        <v>Alta</v>
      </c>
      <c r="Y82" s="29">
        <f t="shared" si="7"/>
        <v>3037.3999180000001</v>
      </c>
      <c r="Z82" s="4" t="s">
        <v>158</v>
      </c>
    </row>
    <row r="83" spans="1:26" ht="28.05" customHeight="1" x14ac:dyDescent="0.3">
      <c r="A83" s="5">
        <f t="shared" si="4"/>
        <v>79</v>
      </c>
      <c r="B83" s="23" t="s">
        <v>498</v>
      </c>
      <c r="C83" s="17" t="s">
        <v>233</v>
      </c>
      <c r="D83" s="4" t="s">
        <v>54</v>
      </c>
      <c r="E83" s="4" t="s">
        <v>64</v>
      </c>
      <c r="F83" s="4" t="s">
        <v>64</v>
      </c>
      <c r="G83" s="4" t="s">
        <v>134</v>
      </c>
      <c r="H83" s="4" t="s">
        <v>108</v>
      </c>
      <c r="I83" s="24" t="s">
        <v>131</v>
      </c>
      <c r="J83" s="15">
        <v>4</v>
      </c>
      <c r="K83" s="15">
        <v>4</v>
      </c>
      <c r="L83" s="15">
        <v>4</v>
      </c>
      <c r="M83" s="15">
        <v>3</v>
      </c>
      <c r="N83" s="15">
        <v>3</v>
      </c>
      <c r="O83" s="15">
        <v>4</v>
      </c>
      <c r="P83" s="15" t="s">
        <v>415</v>
      </c>
      <c r="Q83" s="23" t="s">
        <v>416</v>
      </c>
      <c r="R83" s="25">
        <f>ROUND((K83*Parametros!$B$4+L83*Parametros!$B$5+M83*Parametros!$B$6+N83*Parametros!$B$7+O83*Parametros!$B$8)/SUM(Parametros!$B$4:$B$8),2)</f>
        <v>3.65</v>
      </c>
      <c r="S83" s="26">
        <f>IFERROR(INDEX(Parametros!$F$33:$F$42,MATCH(D83,Parametros!$A$33:$A$42,0)),1)</f>
        <v>1.034</v>
      </c>
      <c r="T83" s="27">
        <f>IFERROR(INDEX(Parametros!$B$21:$B$26,MATCH(I83,Parametros!$A$21:$A$26,0)),0)</f>
        <v>0</v>
      </c>
      <c r="U83" s="28">
        <f t="shared" si="5"/>
        <v>3.77</v>
      </c>
      <c r="V83" s="9">
        <f>IF(U83&gt;=Parametros!$B$14,4,IF(U83&gt;=Parametros!$B$13,3,IF(U83&gt;=Parametros!$B$12,2,1)))</f>
        <v>3</v>
      </c>
      <c r="W83" s="5">
        <f>MAX(V83,IF(K83=5,Parametros!$B$17,0),IF(P83="Sim",Parametros!$B$18,0))</f>
        <v>3</v>
      </c>
      <c r="X83" s="5" t="str">
        <f t="shared" si="6"/>
        <v>Alta</v>
      </c>
      <c r="Y83" s="29">
        <f t="shared" si="7"/>
        <v>3037.2999169999998</v>
      </c>
      <c r="Z83" s="4" t="s">
        <v>224</v>
      </c>
    </row>
    <row r="84" spans="1:26" ht="28.05" customHeight="1" x14ac:dyDescent="0.3">
      <c r="A84" s="5">
        <f t="shared" si="4"/>
        <v>80</v>
      </c>
      <c r="B84" s="23" t="s">
        <v>499</v>
      </c>
      <c r="C84" s="17" t="s">
        <v>221</v>
      </c>
      <c r="D84" s="4" t="s">
        <v>56</v>
      </c>
      <c r="E84" s="4" t="s">
        <v>71</v>
      </c>
      <c r="F84" s="4" t="s">
        <v>71</v>
      </c>
      <c r="G84" s="4" t="s">
        <v>119</v>
      </c>
      <c r="H84" s="4" t="s">
        <v>108</v>
      </c>
      <c r="I84" s="24" t="s">
        <v>109</v>
      </c>
      <c r="J84" s="15">
        <v>4</v>
      </c>
      <c r="K84" s="15">
        <v>5</v>
      </c>
      <c r="L84" s="15">
        <v>4</v>
      </c>
      <c r="M84" s="15">
        <v>1</v>
      </c>
      <c r="N84" s="15">
        <v>3</v>
      </c>
      <c r="O84" s="15">
        <v>3</v>
      </c>
      <c r="P84" s="15" t="s">
        <v>415</v>
      </c>
      <c r="Q84" s="23" t="s">
        <v>416</v>
      </c>
      <c r="R84" s="25">
        <f>ROUND((K84*Parametros!$B$4+L84*Parametros!$B$5+M84*Parametros!$B$6+N84*Parametros!$B$7+O84*Parametros!$B$8)/SUM(Parametros!$B$4:$B$8),2)</f>
        <v>3.4</v>
      </c>
      <c r="S84" s="26">
        <f>IFERROR(INDEX(Parametros!$F$33:$F$42,MATCH(D84,Parametros!$A$33:$A$42,0)),1)</f>
        <v>1.0169999999999999</v>
      </c>
      <c r="T84" s="27">
        <f>IFERROR(INDEX(Parametros!$B$21:$B$26,MATCH(I84,Parametros!$A$21:$A$26,0)),0)</f>
        <v>0.3</v>
      </c>
      <c r="U84" s="28">
        <f t="shared" si="5"/>
        <v>3.76</v>
      </c>
      <c r="V84" s="9">
        <f>IF(U84&gt;=Parametros!$B$14,4,IF(U84&gt;=Parametros!$B$13,3,IF(U84&gt;=Parametros!$B$12,2,1)))</f>
        <v>3</v>
      </c>
      <c r="W84" s="5">
        <f>MAX(V84,IF(K84=5,Parametros!$B$17,0),IF(P84="Sim",Parametros!$B$18,0))</f>
        <v>3</v>
      </c>
      <c r="X84" s="5" t="str">
        <f t="shared" si="6"/>
        <v>Alta</v>
      </c>
      <c r="Y84" s="29">
        <f t="shared" si="7"/>
        <v>3037.199916</v>
      </c>
      <c r="Z84" s="4" t="s">
        <v>135</v>
      </c>
    </row>
    <row r="85" spans="1:26" ht="28.05" customHeight="1" x14ac:dyDescent="0.3">
      <c r="A85" s="5">
        <f t="shared" si="4"/>
        <v>81</v>
      </c>
      <c r="B85" s="23" t="s">
        <v>500</v>
      </c>
      <c r="C85" s="17" t="s">
        <v>331</v>
      </c>
      <c r="D85" s="4" t="s">
        <v>53</v>
      </c>
      <c r="E85" s="4" t="s">
        <v>64</v>
      </c>
      <c r="F85" s="4" t="s">
        <v>64</v>
      </c>
      <c r="G85" s="4" t="s">
        <v>171</v>
      </c>
      <c r="H85" s="4" t="s">
        <v>172</v>
      </c>
      <c r="I85" s="24" t="s">
        <v>152</v>
      </c>
      <c r="J85" s="15">
        <v>2</v>
      </c>
      <c r="K85" s="15">
        <v>3</v>
      </c>
      <c r="L85" s="15">
        <v>4</v>
      </c>
      <c r="M85" s="15">
        <v>4</v>
      </c>
      <c r="N85" s="15">
        <v>3</v>
      </c>
      <c r="O85" s="15">
        <v>4</v>
      </c>
      <c r="P85" s="15" t="s">
        <v>415</v>
      </c>
      <c r="Q85" s="23" t="s">
        <v>416</v>
      </c>
      <c r="R85" s="25">
        <f>ROUND((K85*Parametros!$B$4+L85*Parametros!$B$5+M85*Parametros!$B$6+N85*Parametros!$B$7+O85*Parametros!$B$8)/SUM(Parametros!$B$4:$B$8),2)</f>
        <v>3.55</v>
      </c>
      <c r="S85" s="26">
        <f>IFERROR(INDEX(Parametros!$F$33:$F$42,MATCH(D85,Parametros!$A$33:$A$42,0)),1)</f>
        <v>1.05</v>
      </c>
      <c r="T85" s="27">
        <f>IFERROR(INDEX(Parametros!$B$21:$B$26,MATCH(I85,Parametros!$A$21:$A$26,0)),0)</f>
        <v>0</v>
      </c>
      <c r="U85" s="28">
        <f t="shared" si="5"/>
        <v>3.73</v>
      </c>
      <c r="V85" s="9">
        <f>IF(U85&gt;=Parametros!$B$14,4,IF(U85&gt;=Parametros!$B$13,3,IF(U85&gt;=Parametros!$B$12,2,1)))</f>
        <v>3</v>
      </c>
      <c r="W85" s="5">
        <f>MAX(V85,IF(K85=5,Parametros!$B$17,0),IF(P85="Sim",Parametros!$B$18,0))</f>
        <v>3</v>
      </c>
      <c r="X85" s="5" t="str">
        <f t="shared" si="6"/>
        <v>Alta</v>
      </c>
      <c r="Y85" s="29">
        <f t="shared" si="7"/>
        <v>3037.0999150000002</v>
      </c>
      <c r="Z85" s="4" t="s">
        <v>246</v>
      </c>
    </row>
    <row r="86" spans="1:26" ht="28.05" customHeight="1" x14ac:dyDescent="0.3">
      <c r="A86" s="5">
        <f t="shared" si="4"/>
        <v>82</v>
      </c>
      <c r="B86" s="23" t="s">
        <v>501</v>
      </c>
      <c r="C86" s="17" t="s">
        <v>234</v>
      </c>
      <c r="D86" s="4" t="s">
        <v>48</v>
      </c>
      <c r="E86" s="4" t="s">
        <v>73</v>
      </c>
      <c r="F86" s="4" t="s">
        <v>73</v>
      </c>
      <c r="G86" s="4" t="s">
        <v>112</v>
      </c>
      <c r="H86" s="4" t="s">
        <v>108</v>
      </c>
      <c r="I86" s="24" t="s">
        <v>152</v>
      </c>
      <c r="J86" s="15">
        <v>5</v>
      </c>
      <c r="K86" s="15">
        <v>3</v>
      </c>
      <c r="L86" s="15">
        <v>4</v>
      </c>
      <c r="M86" s="15">
        <v>4</v>
      </c>
      <c r="N86" s="15">
        <v>3</v>
      </c>
      <c r="O86" s="15">
        <v>3</v>
      </c>
      <c r="P86" s="15" t="s">
        <v>415</v>
      </c>
      <c r="Q86" s="23" t="s">
        <v>416</v>
      </c>
      <c r="R86" s="25">
        <f>ROUND((K86*Parametros!$B$4+L86*Parametros!$B$5+M86*Parametros!$B$6+N86*Parametros!$B$7+O86*Parametros!$B$8)/SUM(Parametros!$B$4:$B$8),2)</f>
        <v>3.4</v>
      </c>
      <c r="S86" s="26">
        <f>IFERROR(INDEX(Parametros!$F$33:$F$42,MATCH(D86,Parametros!$A$33:$A$42,0)),1)</f>
        <v>1.1000000000000001</v>
      </c>
      <c r="T86" s="27">
        <f>IFERROR(INDEX(Parametros!$B$21:$B$26,MATCH(I86,Parametros!$A$21:$A$26,0)),0)</f>
        <v>0</v>
      </c>
      <c r="U86" s="28">
        <f t="shared" si="5"/>
        <v>3.74</v>
      </c>
      <c r="V86" s="9">
        <f>IF(U86&gt;=Parametros!$B$14,4,IF(U86&gt;=Parametros!$B$13,3,IF(U86&gt;=Parametros!$B$12,2,1)))</f>
        <v>3</v>
      </c>
      <c r="W86" s="5">
        <f>MAX(V86,IF(K86=5,Parametros!$B$17,0),IF(P86="Sim",Parametros!$B$18,0))</f>
        <v>3</v>
      </c>
      <c r="X86" s="5" t="str">
        <f t="shared" si="6"/>
        <v>Alta</v>
      </c>
      <c r="Y86" s="29">
        <f t="shared" si="7"/>
        <v>3036.8999140000001</v>
      </c>
      <c r="Z86" s="4" t="s">
        <v>235</v>
      </c>
    </row>
    <row r="87" spans="1:26" ht="28.05" customHeight="1" x14ac:dyDescent="0.3">
      <c r="A87" s="5">
        <f t="shared" si="4"/>
        <v>83</v>
      </c>
      <c r="B87" s="23" t="s">
        <v>502</v>
      </c>
      <c r="C87" s="17" t="s">
        <v>234</v>
      </c>
      <c r="D87" s="4" t="s">
        <v>49</v>
      </c>
      <c r="E87" s="4" t="s">
        <v>73</v>
      </c>
      <c r="F87" s="4" t="s">
        <v>73</v>
      </c>
      <c r="G87" s="4" t="s">
        <v>112</v>
      </c>
      <c r="H87" s="4" t="s">
        <v>108</v>
      </c>
      <c r="I87" s="24" t="s">
        <v>152</v>
      </c>
      <c r="J87" s="15">
        <v>5</v>
      </c>
      <c r="K87" s="15">
        <v>3</v>
      </c>
      <c r="L87" s="15">
        <v>4</v>
      </c>
      <c r="M87" s="15">
        <v>4</v>
      </c>
      <c r="N87" s="15">
        <v>3</v>
      </c>
      <c r="O87" s="15">
        <v>3</v>
      </c>
      <c r="P87" s="15" t="s">
        <v>415</v>
      </c>
      <c r="Q87" s="23" t="s">
        <v>416</v>
      </c>
      <c r="R87" s="25">
        <f>ROUND((K87*Parametros!$B$4+L87*Parametros!$B$5+M87*Parametros!$B$6+N87*Parametros!$B$7+O87*Parametros!$B$8)/SUM(Parametros!$B$4:$B$8),2)</f>
        <v>3.4</v>
      </c>
      <c r="S87" s="26">
        <f>IFERROR(INDEX(Parametros!$F$33:$F$42,MATCH(D87,Parametros!$A$33:$A$42,0)),1)</f>
        <v>1.1000000000000001</v>
      </c>
      <c r="T87" s="27">
        <f>IFERROR(INDEX(Parametros!$B$21:$B$26,MATCH(I87,Parametros!$A$21:$A$26,0)),0)</f>
        <v>0</v>
      </c>
      <c r="U87" s="28">
        <f t="shared" si="5"/>
        <v>3.74</v>
      </c>
      <c r="V87" s="9">
        <f>IF(U87&gt;=Parametros!$B$14,4,IF(U87&gt;=Parametros!$B$13,3,IF(U87&gt;=Parametros!$B$12,2,1)))</f>
        <v>3</v>
      </c>
      <c r="W87" s="5">
        <f>MAX(V87,IF(K87=5,Parametros!$B$17,0),IF(P87="Sim",Parametros!$B$18,0))</f>
        <v>3</v>
      </c>
      <c r="X87" s="5" t="str">
        <f t="shared" si="6"/>
        <v>Alta</v>
      </c>
      <c r="Y87" s="29">
        <f t="shared" si="7"/>
        <v>3036.8999130000002</v>
      </c>
      <c r="Z87" s="4" t="s">
        <v>235</v>
      </c>
    </row>
    <row r="88" spans="1:26" ht="28.05" customHeight="1" x14ac:dyDescent="0.3">
      <c r="A88" s="5">
        <f t="shared" si="4"/>
        <v>84</v>
      </c>
      <c r="B88" s="23" t="s">
        <v>503</v>
      </c>
      <c r="C88" s="17" t="s">
        <v>236</v>
      </c>
      <c r="D88" s="4" t="s">
        <v>54</v>
      </c>
      <c r="E88" s="4" t="s">
        <v>72</v>
      </c>
      <c r="F88" s="4" t="s">
        <v>72</v>
      </c>
      <c r="G88" s="4" t="s">
        <v>112</v>
      </c>
      <c r="H88" s="4" t="s">
        <v>108</v>
      </c>
      <c r="I88" s="24" t="s">
        <v>109</v>
      </c>
      <c r="J88" s="15">
        <v>2</v>
      </c>
      <c r="K88" s="15">
        <v>4</v>
      </c>
      <c r="L88" s="15">
        <v>3</v>
      </c>
      <c r="M88" s="15">
        <v>3</v>
      </c>
      <c r="N88" s="15">
        <v>4</v>
      </c>
      <c r="O88" s="15">
        <v>2</v>
      </c>
      <c r="P88" s="15" t="s">
        <v>415</v>
      </c>
      <c r="Q88" s="23" t="s">
        <v>416</v>
      </c>
      <c r="R88" s="25">
        <f>ROUND((K88*Parametros!$B$4+L88*Parametros!$B$5+M88*Parametros!$B$6+N88*Parametros!$B$7+O88*Parametros!$B$8)/SUM(Parametros!$B$4:$B$8),2)</f>
        <v>3.3</v>
      </c>
      <c r="S88" s="26">
        <f>IFERROR(INDEX(Parametros!$F$33:$F$42,MATCH(D88,Parametros!$A$33:$A$42,0)),1)</f>
        <v>1.034</v>
      </c>
      <c r="T88" s="27">
        <f>IFERROR(INDEX(Parametros!$B$21:$B$26,MATCH(I88,Parametros!$A$21:$A$26,0)),0)</f>
        <v>0.3</v>
      </c>
      <c r="U88" s="28">
        <f t="shared" si="5"/>
        <v>3.71</v>
      </c>
      <c r="V88" s="9">
        <f>IF(U88&gt;=Parametros!$B$14,4,IF(U88&gt;=Parametros!$B$13,3,IF(U88&gt;=Parametros!$B$12,2,1)))</f>
        <v>3</v>
      </c>
      <c r="W88" s="5">
        <f>MAX(V88,IF(K88=5,Parametros!$B$17,0),IF(P88="Sim",Parametros!$B$18,0))</f>
        <v>3</v>
      </c>
      <c r="X88" s="5" t="str">
        <f t="shared" si="6"/>
        <v>Alta</v>
      </c>
      <c r="Y88" s="29">
        <f t="shared" si="7"/>
        <v>3036.8999120000003</v>
      </c>
      <c r="Z88" s="4" t="s">
        <v>237</v>
      </c>
    </row>
    <row r="89" spans="1:26" ht="28.05" customHeight="1" x14ac:dyDescent="0.3">
      <c r="A89" s="5">
        <f t="shared" si="4"/>
        <v>85</v>
      </c>
      <c r="B89" s="23" t="s">
        <v>504</v>
      </c>
      <c r="C89" s="17" t="s">
        <v>332</v>
      </c>
      <c r="D89" s="4" t="s">
        <v>53</v>
      </c>
      <c r="E89" s="4" t="s">
        <v>76</v>
      </c>
      <c r="F89" s="4" t="s">
        <v>76</v>
      </c>
      <c r="G89" s="4" t="s">
        <v>171</v>
      </c>
      <c r="H89" s="4" t="s">
        <v>172</v>
      </c>
      <c r="I89" s="24" t="s">
        <v>109</v>
      </c>
      <c r="J89" s="15">
        <v>2</v>
      </c>
      <c r="K89" s="15">
        <v>4</v>
      </c>
      <c r="L89" s="15">
        <v>3</v>
      </c>
      <c r="M89" s="15">
        <v>2</v>
      </c>
      <c r="N89" s="15">
        <v>4</v>
      </c>
      <c r="O89" s="15">
        <v>3</v>
      </c>
      <c r="P89" s="15" t="s">
        <v>415</v>
      </c>
      <c r="Q89" s="23" t="s">
        <v>416</v>
      </c>
      <c r="R89" s="25">
        <f>ROUND((K89*Parametros!$B$4+L89*Parametros!$B$5+M89*Parametros!$B$6+N89*Parametros!$B$7+O89*Parametros!$B$8)/SUM(Parametros!$B$4:$B$8),2)</f>
        <v>3.25</v>
      </c>
      <c r="S89" s="26">
        <f>IFERROR(INDEX(Parametros!$F$33:$F$42,MATCH(D89,Parametros!$A$33:$A$42,0)),1)</f>
        <v>1.05</v>
      </c>
      <c r="T89" s="27">
        <f>IFERROR(INDEX(Parametros!$B$21:$B$26,MATCH(I89,Parametros!$A$21:$A$26,0)),0)</f>
        <v>0.3</v>
      </c>
      <c r="U89" s="28">
        <f t="shared" si="5"/>
        <v>3.71</v>
      </c>
      <c r="V89" s="9">
        <f>IF(U89&gt;=Parametros!$B$14,4,IF(U89&gt;=Parametros!$B$13,3,IF(U89&gt;=Parametros!$B$12,2,1)))</f>
        <v>3</v>
      </c>
      <c r="W89" s="5">
        <f>MAX(V89,IF(K89=5,Parametros!$B$17,0),IF(P89="Sim",Parametros!$B$18,0))</f>
        <v>3</v>
      </c>
      <c r="X89" s="5" t="str">
        <f t="shared" si="6"/>
        <v>Alta</v>
      </c>
      <c r="Y89" s="29">
        <f t="shared" si="7"/>
        <v>3036.899911</v>
      </c>
      <c r="Z89" s="4" t="s">
        <v>237</v>
      </c>
    </row>
    <row r="90" spans="1:26" ht="28.05" customHeight="1" x14ac:dyDescent="0.3">
      <c r="A90" s="5">
        <f t="shared" si="4"/>
        <v>86</v>
      </c>
      <c r="B90" s="23" t="s">
        <v>505</v>
      </c>
      <c r="C90" s="17" t="s">
        <v>238</v>
      </c>
      <c r="D90" s="4" t="s">
        <v>55</v>
      </c>
      <c r="E90" s="4" t="s">
        <v>76</v>
      </c>
      <c r="F90" s="4" t="s">
        <v>506</v>
      </c>
      <c r="G90" s="4" t="s">
        <v>134</v>
      </c>
      <c r="H90" s="4" t="s">
        <v>108</v>
      </c>
      <c r="I90" s="24" t="s">
        <v>152</v>
      </c>
      <c r="J90" s="15">
        <v>3</v>
      </c>
      <c r="K90" s="15">
        <v>4</v>
      </c>
      <c r="L90" s="15">
        <v>5</v>
      </c>
      <c r="M90" s="15">
        <v>1</v>
      </c>
      <c r="N90" s="15">
        <v>4</v>
      </c>
      <c r="O90" s="15">
        <v>4</v>
      </c>
      <c r="P90" s="15" t="s">
        <v>415</v>
      </c>
      <c r="Q90" s="23" t="s">
        <v>416</v>
      </c>
      <c r="R90" s="25">
        <f>ROUND((K90*Parametros!$B$4+L90*Parametros!$B$5+M90*Parametros!$B$6+N90*Parametros!$B$7+O90*Parametros!$B$8)/SUM(Parametros!$B$4:$B$8),2)</f>
        <v>3.6</v>
      </c>
      <c r="S90" s="26">
        <f>IFERROR(INDEX(Parametros!$F$33:$F$42,MATCH(D90,Parametros!$A$33:$A$42,0)),1)</f>
        <v>1.034</v>
      </c>
      <c r="T90" s="27">
        <f>IFERROR(INDEX(Parametros!$B$21:$B$26,MATCH(I90,Parametros!$A$21:$A$26,0)),0)</f>
        <v>0</v>
      </c>
      <c r="U90" s="28">
        <f t="shared" si="5"/>
        <v>3.72</v>
      </c>
      <c r="V90" s="9">
        <f>IF(U90&gt;=Parametros!$B$14,4,IF(U90&gt;=Parametros!$B$13,3,IF(U90&gt;=Parametros!$B$12,2,1)))</f>
        <v>3</v>
      </c>
      <c r="W90" s="5">
        <f>MAX(V90,IF(K90=5,Parametros!$B$17,0),IF(P90="Sim",Parametros!$B$18,0))</f>
        <v>3</v>
      </c>
      <c r="X90" s="5" t="str">
        <f t="shared" si="6"/>
        <v>Alta</v>
      </c>
      <c r="Y90" s="29">
        <f t="shared" si="7"/>
        <v>3036.8999099999996</v>
      </c>
      <c r="Z90" s="4" t="s">
        <v>181</v>
      </c>
    </row>
    <row r="91" spans="1:26" ht="28.05" customHeight="1" x14ac:dyDescent="0.3">
      <c r="A91" s="5">
        <f t="shared" si="4"/>
        <v>87</v>
      </c>
      <c r="B91" s="23" t="s">
        <v>507</v>
      </c>
      <c r="C91" s="17" t="s">
        <v>239</v>
      </c>
      <c r="D91" s="4" t="s">
        <v>54</v>
      </c>
      <c r="E91" s="4" t="s">
        <v>80</v>
      </c>
      <c r="F91" s="4" t="s">
        <v>485</v>
      </c>
      <c r="G91" s="4" t="s">
        <v>112</v>
      </c>
      <c r="H91" s="4" t="s">
        <v>108</v>
      </c>
      <c r="I91" s="24" t="s">
        <v>122</v>
      </c>
      <c r="J91" s="15">
        <v>3</v>
      </c>
      <c r="K91" s="15">
        <v>4</v>
      </c>
      <c r="L91" s="15">
        <v>4</v>
      </c>
      <c r="M91" s="15">
        <v>2</v>
      </c>
      <c r="N91" s="15">
        <v>5</v>
      </c>
      <c r="O91" s="15">
        <v>3</v>
      </c>
      <c r="P91" s="15" t="s">
        <v>415</v>
      </c>
      <c r="Q91" s="23" t="s">
        <v>416</v>
      </c>
      <c r="R91" s="25">
        <f>ROUND((K91*Parametros!$B$4+L91*Parametros!$B$5+M91*Parametros!$B$6+N91*Parametros!$B$7+O91*Parametros!$B$8)/SUM(Parametros!$B$4:$B$8),2)</f>
        <v>3.6</v>
      </c>
      <c r="S91" s="26">
        <f>IFERROR(INDEX(Parametros!$F$33:$F$42,MATCH(D91,Parametros!$A$33:$A$42,0)),1)</f>
        <v>1.034</v>
      </c>
      <c r="T91" s="27">
        <f>IFERROR(INDEX(Parametros!$B$21:$B$26,MATCH(I91,Parametros!$A$21:$A$26,0)),0)</f>
        <v>0</v>
      </c>
      <c r="U91" s="28">
        <f t="shared" si="5"/>
        <v>3.72</v>
      </c>
      <c r="V91" s="9">
        <f>IF(U91&gt;=Parametros!$B$14,4,IF(U91&gt;=Parametros!$B$13,3,IF(U91&gt;=Parametros!$B$12,2,1)))</f>
        <v>3</v>
      </c>
      <c r="W91" s="5">
        <f>MAX(V91,IF(K91=5,Parametros!$B$17,0),IF(P91="Sim",Parametros!$B$18,0))</f>
        <v>3</v>
      </c>
      <c r="X91" s="5" t="str">
        <f t="shared" si="6"/>
        <v>Alta</v>
      </c>
      <c r="Y91" s="29">
        <f t="shared" si="7"/>
        <v>3036.8999089999998</v>
      </c>
      <c r="Z91" s="4" t="s">
        <v>240</v>
      </c>
    </row>
    <row r="92" spans="1:26" ht="28.05" customHeight="1" x14ac:dyDescent="0.3">
      <c r="A92" s="5">
        <f t="shared" si="4"/>
        <v>88</v>
      </c>
      <c r="B92" s="23" t="s">
        <v>508</v>
      </c>
      <c r="C92" s="17" t="s">
        <v>241</v>
      </c>
      <c r="D92" s="4" t="s">
        <v>54</v>
      </c>
      <c r="E92" s="4" t="s">
        <v>80</v>
      </c>
      <c r="F92" s="4" t="s">
        <v>485</v>
      </c>
      <c r="G92" s="4" t="s">
        <v>112</v>
      </c>
      <c r="H92" s="4" t="s">
        <v>108</v>
      </c>
      <c r="I92" s="24" t="s">
        <v>122</v>
      </c>
      <c r="J92" s="15">
        <v>3</v>
      </c>
      <c r="K92" s="15">
        <v>4</v>
      </c>
      <c r="L92" s="15">
        <v>4</v>
      </c>
      <c r="M92" s="15">
        <v>2</v>
      </c>
      <c r="N92" s="15">
        <v>5</v>
      </c>
      <c r="O92" s="15">
        <v>3</v>
      </c>
      <c r="P92" s="15" t="s">
        <v>415</v>
      </c>
      <c r="Q92" s="23" t="s">
        <v>416</v>
      </c>
      <c r="R92" s="25">
        <f>ROUND((K92*Parametros!$B$4+L92*Parametros!$B$5+M92*Parametros!$B$6+N92*Parametros!$B$7+O92*Parametros!$B$8)/SUM(Parametros!$B$4:$B$8),2)</f>
        <v>3.6</v>
      </c>
      <c r="S92" s="26">
        <f>IFERROR(INDEX(Parametros!$F$33:$F$42,MATCH(D92,Parametros!$A$33:$A$42,0)),1)</f>
        <v>1.034</v>
      </c>
      <c r="T92" s="27">
        <f>IFERROR(INDEX(Parametros!$B$21:$B$26,MATCH(I92,Parametros!$A$21:$A$26,0)),0)</f>
        <v>0</v>
      </c>
      <c r="U92" s="28">
        <f t="shared" si="5"/>
        <v>3.72</v>
      </c>
      <c r="V92" s="9">
        <f>IF(U92&gt;=Parametros!$B$14,4,IF(U92&gt;=Parametros!$B$13,3,IF(U92&gt;=Parametros!$B$12,2,1)))</f>
        <v>3</v>
      </c>
      <c r="W92" s="5">
        <f>MAX(V92,IF(K92=5,Parametros!$B$17,0),IF(P92="Sim",Parametros!$B$18,0))</f>
        <v>3</v>
      </c>
      <c r="X92" s="5" t="str">
        <f t="shared" si="6"/>
        <v>Alta</v>
      </c>
      <c r="Y92" s="29">
        <f t="shared" si="7"/>
        <v>3036.8999079999994</v>
      </c>
      <c r="Z92" s="4" t="s">
        <v>240</v>
      </c>
    </row>
    <row r="93" spans="1:26" ht="28.05" customHeight="1" x14ac:dyDescent="0.3">
      <c r="A93" s="5">
        <f t="shared" si="4"/>
        <v>89</v>
      </c>
      <c r="B93" s="23" t="s">
        <v>509</v>
      </c>
      <c r="C93" s="17" t="s">
        <v>242</v>
      </c>
      <c r="D93" s="4" t="s">
        <v>55</v>
      </c>
      <c r="E93" s="4" t="s">
        <v>64</v>
      </c>
      <c r="F93" s="4" t="s">
        <v>64</v>
      </c>
      <c r="G93" s="4" t="s">
        <v>134</v>
      </c>
      <c r="H93" s="4" t="s">
        <v>108</v>
      </c>
      <c r="I93" s="24" t="s">
        <v>109</v>
      </c>
      <c r="J93" s="15">
        <v>3</v>
      </c>
      <c r="K93" s="15">
        <v>4</v>
      </c>
      <c r="L93" s="15">
        <v>4</v>
      </c>
      <c r="M93" s="15">
        <v>2</v>
      </c>
      <c r="N93" s="15">
        <v>3</v>
      </c>
      <c r="O93" s="15">
        <v>3</v>
      </c>
      <c r="P93" s="15" t="s">
        <v>415</v>
      </c>
      <c r="Q93" s="23" t="s">
        <v>416</v>
      </c>
      <c r="R93" s="25">
        <f>ROUND((K93*Parametros!$B$4+L93*Parametros!$B$5+M93*Parametros!$B$6+N93*Parametros!$B$7+O93*Parametros!$B$8)/SUM(Parametros!$B$4:$B$8),2)</f>
        <v>3.3</v>
      </c>
      <c r="S93" s="26">
        <f>IFERROR(INDEX(Parametros!$F$33:$F$42,MATCH(D93,Parametros!$A$33:$A$42,0)),1)</f>
        <v>1.034</v>
      </c>
      <c r="T93" s="27">
        <f>IFERROR(INDEX(Parametros!$B$21:$B$26,MATCH(I93,Parametros!$A$21:$A$26,0)),0)</f>
        <v>0.3</v>
      </c>
      <c r="U93" s="28">
        <f t="shared" si="5"/>
        <v>3.71</v>
      </c>
      <c r="V93" s="9">
        <f>IF(U93&gt;=Parametros!$B$14,4,IF(U93&gt;=Parametros!$B$13,3,IF(U93&gt;=Parametros!$B$12,2,1)))</f>
        <v>3</v>
      </c>
      <c r="W93" s="5">
        <f>MAX(V93,IF(K93=5,Parametros!$B$17,0),IF(P93="Sim",Parametros!$B$18,0))</f>
        <v>3</v>
      </c>
      <c r="X93" s="5" t="str">
        <f t="shared" si="6"/>
        <v>Alta</v>
      </c>
      <c r="Y93" s="29">
        <f t="shared" si="7"/>
        <v>3036.7999069999996</v>
      </c>
      <c r="Z93" s="4" t="s">
        <v>164</v>
      </c>
    </row>
    <row r="94" spans="1:26" ht="28.05" customHeight="1" x14ac:dyDescent="0.3">
      <c r="A94" s="5">
        <f t="shared" si="4"/>
        <v>90</v>
      </c>
      <c r="B94" s="23" t="s">
        <v>510</v>
      </c>
      <c r="C94" s="17" t="s">
        <v>243</v>
      </c>
      <c r="D94" s="4" t="s">
        <v>55</v>
      </c>
      <c r="E94" s="4" t="s">
        <v>79</v>
      </c>
      <c r="F94" s="4" t="s">
        <v>79</v>
      </c>
      <c r="G94" s="4" t="s">
        <v>112</v>
      </c>
      <c r="H94" s="4" t="s">
        <v>108</v>
      </c>
      <c r="I94" s="24" t="s">
        <v>122</v>
      </c>
      <c r="J94" s="15">
        <v>4</v>
      </c>
      <c r="K94" s="15">
        <v>4</v>
      </c>
      <c r="L94" s="15">
        <v>4</v>
      </c>
      <c r="M94" s="15">
        <v>2</v>
      </c>
      <c r="N94" s="15">
        <v>3</v>
      </c>
      <c r="O94" s="15">
        <v>5</v>
      </c>
      <c r="P94" s="15" t="s">
        <v>415</v>
      </c>
      <c r="Q94" s="23" t="s">
        <v>416</v>
      </c>
      <c r="R94" s="25">
        <f>ROUND((K94*Parametros!$B$4+L94*Parametros!$B$5+M94*Parametros!$B$6+N94*Parametros!$B$7+O94*Parametros!$B$8)/SUM(Parametros!$B$4:$B$8),2)</f>
        <v>3.6</v>
      </c>
      <c r="S94" s="26">
        <f>IFERROR(INDEX(Parametros!$F$33:$F$42,MATCH(D94,Parametros!$A$33:$A$42,0)),1)</f>
        <v>1.034</v>
      </c>
      <c r="T94" s="27">
        <f>IFERROR(INDEX(Parametros!$B$21:$B$26,MATCH(I94,Parametros!$A$21:$A$26,0)),0)</f>
        <v>0</v>
      </c>
      <c r="U94" s="28">
        <f t="shared" si="5"/>
        <v>3.72</v>
      </c>
      <c r="V94" s="9">
        <f>IF(U94&gt;=Parametros!$B$14,4,IF(U94&gt;=Parametros!$B$13,3,IF(U94&gt;=Parametros!$B$12,2,1)))</f>
        <v>3</v>
      </c>
      <c r="W94" s="5">
        <f>MAX(V94,IF(K94=5,Parametros!$B$17,0),IF(P94="Sim",Parametros!$B$18,0))</f>
        <v>3</v>
      </c>
      <c r="X94" s="5" t="str">
        <f t="shared" si="6"/>
        <v>Alta</v>
      </c>
      <c r="Y94" s="29">
        <f t="shared" si="7"/>
        <v>3036.7999059999997</v>
      </c>
      <c r="Z94" s="4" t="s">
        <v>244</v>
      </c>
    </row>
    <row r="95" spans="1:26" ht="28.05" customHeight="1" x14ac:dyDescent="0.3">
      <c r="A95" s="5">
        <f t="shared" si="4"/>
        <v>91</v>
      </c>
      <c r="B95" s="23" t="s">
        <v>511</v>
      </c>
      <c r="C95" s="17" t="s">
        <v>333</v>
      </c>
      <c r="D95" s="4" t="s">
        <v>54</v>
      </c>
      <c r="E95" s="4" t="s">
        <v>64</v>
      </c>
      <c r="F95" s="4" t="s">
        <v>64</v>
      </c>
      <c r="G95" s="4" t="s">
        <v>171</v>
      </c>
      <c r="H95" s="4" t="s">
        <v>172</v>
      </c>
      <c r="I95" s="24" t="s">
        <v>109</v>
      </c>
      <c r="J95" s="15">
        <v>3</v>
      </c>
      <c r="K95" s="15">
        <v>4</v>
      </c>
      <c r="L95" s="15">
        <v>4</v>
      </c>
      <c r="M95" s="15">
        <v>2</v>
      </c>
      <c r="N95" s="15">
        <v>3</v>
      </c>
      <c r="O95" s="15">
        <v>3</v>
      </c>
      <c r="P95" s="15" t="s">
        <v>415</v>
      </c>
      <c r="Q95" s="23" t="s">
        <v>416</v>
      </c>
      <c r="R95" s="25">
        <f>ROUND((K95*Parametros!$B$4+L95*Parametros!$B$5+M95*Parametros!$B$6+N95*Parametros!$B$7+O95*Parametros!$B$8)/SUM(Parametros!$B$4:$B$8),2)</f>
        <v>3.3</v>
      </c>
      <c r="S95" s="26">
        <f>IFERROR(INDEX(Parametros!$F$33:$F$42,MATCH(D95,Parametros!$A$33:$A$42,0)),1)</f>
        <v>1.034</v>
      </c>
      <c r="T95" s="27">
        <f>IFERROR(INDEX(Parametros!$B$21:$B$26,MATCH(I95,Parametros!$A$21:$A$26,0)),0)</f>
        <v>0.3</v>
      </c>
      <c r="U95" s="28">
        <f t="shared" si="5"/>
        <v>3.71</v>
      </c>
      <c r="V95" s="9">
        <f>IF(U95&gt;=Parametros!$B$14,4,IF(U95&gt;=Parametros!$B$13,3,IF(U95&gt;=Parametros!$B$12,2,1)))</f>
        <v>3</v>
      </c>
      <c r="W95" s="5">
        <f>MAX(V95,IF(K95=5,Parametros!$B$17,0),IF(P95="Sim",Parametros!$B$18,0))</f>
        <v>3</v>
      </c>
      <c r="X95" s="5" t="str">
        <f t="shared" si="6"/>
        <v>Alta</v>
      </c>
      <c r="Y95" s="29">
        <f t="shared" si="7"/>
        <v>3036.7999049999999</v>
      </c>
      <c r="Z95" s="4" t="s">
        <v>164</v>
      </c>
    </row>
    <row r="96" spans="1:26" ht="28.05" customHeight="1" x14ac:dyDescent="0.3">
      <c r="A96" s="5">
        <f t="shared" si="4"/>
        <v>92</v>
      </c>
      <c r="B96" s="23" t="s">
        <v>512</v>
      </c>
      <c r="C96" s="17" t="s">
        <v>334</v>
      </c>
      <c r="D96" s="4" t="s">
        <v>53</v>
      </c>
      <c r="E96" s="4" t="s">
        <v>64</v>
      </c>
      <c r="F96" s="4" t="s">
        <v>64</v>
      </c>
      <c r="G96" s="4" t="s">
        <v>184</v>
      </c>
      <c r="H96" s="4" t="s">
        <v>185</v>
      </c>
      <c r="I96" s="24" t="s">
        <v>109</v>
      </c>
      <c r="J96" s="15">
        <v>3</v>
      </c>
      <c r="K96" s="15">
        <v>4</v>
      </c>
      <c r="L96" s="15">
        <v>4</v>
      </c>
      <c r="M96" s="15">
        <v>1</v>
      </c>
      <c r="N96" s="15">
        <v>3</v>
      </c>
      <c r="O96" s="15">
        <v>4</v>
      </c>
      <c r="P96" s="15" t="s">
        <v>415</v>
      </c>
      <c r="Q96" s="23" t="s">
        <v>416</v>
      </c>
      <c r="R96" s="25">
        <f>ROUND((K96*Parametros!$B$4+L96*Parametros!$B$5+M96*Parametros!$B$6+N96*Parametros!$B$7+O96*Parametros!$B$8)/SUM(Parametros!$B$4:$B$8),2)</f>
        <v>3.25</v>
      </c>
      <c r="S96" s="26">
        <f>IFERROR(INDEX(Parametros!$F$33:$F$42,MATCH(D96,Parametros!$A$33:$A$42,0)),1)</f>
        <v>1.05</v>
      </c>
      <c r="T96" s="27">
        <f>IFERROR(INDEX(Parametros!$B$21:$B$26,MATCH(I96,Parametros!$A$21:$A$26,0)),0)</f>
        <v>0.3</v>
      </c>
      <c r="U96" s="28">
        <f t="shared" si="5"/>
        <v>3.71</v>
      </c>
      <c r="V96" s="9">
        <f>IF(U96&gt;=Parametros!$B$14,4,IF(U96&gt;=Parametros!$B$13,3,IF(U96&gt;=Parametros!$B$12,2,1)))</f>
        <v>3</v>
      </c>
      <c r="W96" s="5">
        <f>MAX(V96,IF(K96=5,Parametros!$B$17,0),IF(P96="Sim",Parametros!$B$18,0))</f>
        <v>3</v>
      </c>
      <c r="X96" s="5" t="str">
        <f t="shared" si="6"/>
        <v>Alta</v>
      </c>
      <c r="Y96" s="29">
        <f t="shared" si="7"/>
        <v>3036.7999039999995</v>
      </c>
      <c r="Z96" s="4" t="s">
        <v>160</v>
      </c>
    </row>
    <row r="97" spans="1:26" ht="28.05" customHeight="1" x14ac:dyDescent="0.3">
      <c r="A97" s="5">
        <f t="shared" si="4"/>
        <v>93</v>
      </c>
      <c r="B97" s="23" t="s">
        <v>513</v>
      </c>
      <c r="C97" s="17" t="s">
        <v>335</v>
      </c>
      <c r="D97" s="4" t="s">
        <v>51</v>
      </c>
      <c r="E97" s="4" t="s">
        <v>69</v>
      </c>
      <c r="F97" s="4" t="s">
        <v>69</v>
      </c>
      <c r="G97" s="4" t="s">
        <v>171</v>
      </c>
      <c r="H97" s="4" t="s">
        <v>172</v>
      </c>
      <c r="I97" s="24" t="s">
        <v>152</v>
      </c>
      <c r="J97" s="15">
        <v>2</v>
      </c>
      <c r="K97" s="15">
        <v>4</v>
      </c>
      <c r="L97" s="15">
        <v>5</v>
      </c>
      <c r="M97" s="15">
        <v>1</v>
      </c>
      <c r="N97" s="15">
        <v>5</v>
      </c>
      <c r="O97" s="15">
        <v>2</v>
      </c>
      <c r="P97" s="15" t="s">
        <v>415</v>
      </c>
      <c r="Q97" s="23" t="s">
        <v>416</v>
      </c>
      <c r="R97" s="25">
        <f>ROUND((K97*Parametros!$B$4+L97*Parametros!$B$5+M97*Parametros!$B$6+N97*Parametros!$B$7+O97*Parametros!$B$8)/SUM(Parametros!$B$4:$B$8),2)</f>
        <v>3.45</v>
      </c>
      <c r="S97" s="26">
        <f>IFERROR(INDEX(Parametros!$F$33:$F$42,MATCH(D97,Parametros!$A$33:$A$42,0)),1)</f>
        <v>1.0669999999999999</v>
      </c>
      <c r="T97" s="27">
        <f>IFERROR(INDEX(Parametros!$B$21:$B$26,MATCH(I97,Parametros!$A$21:$A$26,0)),0)</f>
        <v>0</v>
      </c>
      <c r="U97" s="28">
        <f t="shared" si="5"/>
        <v>3.68</v>
      </c>
      <c r="V97" s="9">
        <f>IF(U97&gt;=Parametros!$B$14,4,IF(U97&gt;=Parametros!$B$13,3,IF(U97&gt;=Parametros!$B$12,2,1)))</f>
        <v>3</v>
      </c>
      <c r="W97" s="5">
        <f>MAX(V97,IF(K97=5,Parametros!$B$17,0),IF(P97="Sim",Parametros!$B$18,0))</f>
        <v>3</v>
      </c>
      <c r="X97" s="5" t="str">
        <f t="shared" si="6"/>
        <v>Alta</v>
      </c>
      <c r="Y97" s="29">
        <f t="shared" si="7"/>
        <v>3036.5999030000003</v>
      </c>
      <c r="Z97" s="4" t="s">
        <v>189</v>
      </c>
    </row>
    <row r="98" spans="1:26" ht="28.05" customHeight="1" x14ac:dyDescent="0.3">
      <c r="A98" s="5">
        <f t="shared" si="4"/>
        <v>94</v>
      </c>
      <c r="B98" s="23" t="s">
        <v>514</v>
      </c>
      <c r="C98" s="17" t="s">
        <v>245</v>
      </c>
      <c r="D98" s="4" t="s">
        <v>50</v>
      </c>
      <c r="E98" s="4" t="s">
        <v>64</v>
      </c>
      <c r="F98" s="4" t="s">
        <v>64</v>
      </c>
      <c r="G98" s="4" t="s">
        <v>134</v>
      </c>
      <c r="H98" s="4" t="s">
        <v>108</v>
      </c>
      <c r="I98" s="24" t="s">
        <v>152</v>
      </c>
      <c r="J98" s="15">
        <v>3</v>
      </c>
      <c r="K98" s="15">
        <v>3</v>
      </c>
      <c r="L98" s="15">
        <v>4</v>
      </c>
      <c r="M98" s="15">
        <v>4</v>
      </c>
      <c r="N98" s="15">
        <v>2</v>
      </c>
      <c r="O98" s="15">
        <v>4</v>
      </c>
      <c r="P98" s="15" t="s">
        <v>415</v>
      </c>
      <c r="Q98" s="23" t="s">
        <v>416</v>
      </c>
      <c r="R98" s="25">
        <f>ROUND((K98*Parametros!$B$4+L98*Parametros!$B$5+M98*Parametros!$B$6+N98*Parametros!$B$7+O98*Parametros!$B$8)/SUM(Parametros!$B$4:$B$8),2)</f>
        <v>3.4</v>
      </c>
      <c r="S98" s="26">
        <f>IFERROR(INDEX(Parametros!$F$33:$F$42,MATCH(D98,Parametros!$A$33:$A$42,0)),1)</f>
        <v>1.0840000000000001</v>
      </c>
      <c r="T98" s="27">
        <f>IFERROR(INDEX(Parametros!$B$21:$B$26,MATCH(I98,Parametros!$A$21:$A$26,0)),0)</f>
        <v>0</v>
      </c>
      <c r="U98" s="28">
        <f t="shared" si="5"/>
        <v>3.69</v>
      </c>
      <c r="V98" s="9">
        <f>IF(U98&gt;=Parametros!$B$14,4,IF(U98&gt;=Parametros!$B$13,3,IF(U98&gt;=Parametros!$B$12,2,1)))</f>
        <v>3</v>
      </c>
      <c r="W98" s="5">
        <f>MAX(V98,IF(K98=5,Parametros!$B$17,0),IF(P98="Sim",Parametros!$B$18,0))</f>
        <v>3</v>
      </c>
      <c r="X98" s="5" t="str">
        <f t="shared" si="6"/>
        <v>Alta</v>
      </c>
      <c r="Y98" s="29">
        <f t="shared" si="7"/>
        <v>3036.5999019999999</v>
      </c>
      <c r="Z98" s="4" t="s">
        <v>246</v>
      </c>
    </row>
    <row r="99" spans="1:26" ht="28.05" customHeight="1" x14ac:dyDescent="0.3">
      <c r="A99" s="5">
        <f t="shared" si="4"/>
        <v>95</v>
      </c>
      <c r="B99" s="23" t="s">
        <v>515</v>
      </c>
      <c r="C99" s="17" t="s">
        <v>247</v>
      </c>
      <c r="D99" s="4" t="s">
        <v>50</v>
      </c>
      <c r="E99" s="4" t="s">
        <v>70</v>
      </c>
      <c r="F99" s="4" t="s">
        <v>70</v>
      </c>
      <c r="G99" s="4" t="s">
        <v>107</v>
      </c>
      <c r="H99" s="4" t="s">
        <v>108</v>
      </c>
      <c r="I99" s="24" t="s">
        <v>152</v>
      </c>
      <c r="J99" s="15">
        <v>3</v>
      </c>
      <c r="K99" s="15">
        <v>3</v>
      </c>
      <c r="L99" s="15">
        <v>4</v>
      </c>
      <c r="M99" s="15">
        <v>4</v>
      </c>
      <c r="N99" s="15">
        <v>2</v>
      </c>
      <c r="O99" s="15">
        <v>4</v>
      </c>
      <c r="P99" s="15" t="s">
        <v>415</v>
      </c>
      <c r="Q99" s="23" t="s">
        <v>416</v>
      </c>
      <c r="R99" s="25">
        <f>ROUND((K99*Parametros!$B$4+L99*Parametros!$B$5+M99*Parametros!$B$6+N99*Parametros!$B$7+O99*Parametros!$B$8)/SUM(Parametros!$B$4:$B$8),2)</f>
        <v>3.4</v>
      </c>
      <c r="S99" s="26">
        <f>IFERROR(INDEX(Parametros!$F$33:$F$42,MATCH(D99,Parametros!$A$33:$A$42,0)),1)</f>
        <v>1.0840000000000001</v>
      </c>
      <c r="T99" s="27">
        <f>IFERROR(INDEX(Parametros!$B$21:$B$26,MATCH(I99,Parametros!$A$21:$A$26,0)),0)</f>
        <v>0</v>
      </c>
      <c r="U99" s="28">
        <f t="shared" si="5"/>
        <v>3.69</v>
      </c>
      <c r="V99" s="9">
        <f>IF(U99&gt;=Parametros!$B$14,4,IF(U99&gt;=Parametros!$B$13,3,IF(U99&gt;=Parametros!$B$12,2,1)))</f>
        <v>3</v>
      </c>
      <c r="W99" s="5">
        <f>MAX(V99,IF(K99=5,Parametros!$B$17,0),IF(P99="Sim",Parametros!$B$18,0))</f>
        <v>3</v>
      </c>
      <c r="X99" s="5" t="str">
        <f t="shared" si="6"/>
        <v>Alta</v>
      </c>
      <c r="Y99" s="29">
        <f t="shared" si="7"/>
        <v>3036.599901</v>
      </c>
      <c r="Z99" s="4" t="s">
        <v>246</v>
      </c>
    </row>
    <row r="100" spans="1:26" ht="28.05" customHeight="1" x14ac:dyDescent="0.3">
      <c r="A100" s="5">
        <f t="shared" si="4"/>
        <v>96</v>
      </c>
      <c r="B100" s="23" t="s">
        <v>516</v>
      </c>
      <c r="C100" s="17" t="s">
        <v>336</v>
      </c>
      <c r="D100" s="4" t="s">
        <v>50</v>
      </c>
      <c r="E100" s="4" t="s">
        <v>64</v>
      </c>
      <c r="F100" s="4" t="s">
        <v>64</v>
      </c>
      <c r="G100" s="4" t="s">
        <v>171</v>
      </c>
      <c r="H100" s="4" t="s">
        <v>172</v>
      </c>
      <c r="I100" s="24" t="s">
        <v>152</v>
      </c>
      <c r="J100" s="15">
        <v>3</v>
      </c>
      <c r="K100" s="15">
        <v>3</v>
      </c>
      <c r="L100" s="15">
        <v>4</v>
      </c>
      <c r="M100" s="15">
        <v>4</v>
      </c>
      <c r="N100" s="15">
        <v>2</v>
      </c>
      <c r="O100" s="15">
        <v>4</v>
      </c>
      <c r="P100" s="15" t="s">
        <v>415</v>
      </c>
      <c r="Q100" s="23" t="s">
        <v>416</v>
      </c>
      <c r="R100" s="25">
        <f>ROUND((K100*Parametros!$B$4+L100*Parametros!$B$5+M100*Parametros!$B$6+N100*Parametros!$B$7+O100*Parametros!$B$8)/SUM(Parametros!$B$4:$B$8),2)</f>
        <v>3.4</v>
      </c>
      <c r="S100" s="26">
        <f>IFERROR(INDEX(Parametros!$F$33:$F$42,MATCH(D100,Parametros!$A$33:$A$42,0)),1)</f>
        <v>1.0840000000000001</v>
      </c>
      <c r="T100" s="27">
        <f>IFERROR(INDEX(Parametros!$B$21:$B$26,MATCH(I100,Parametros!$A$21:$A$26,0)),0)</f>
        <v>0</v>
      </c>
      <c r="U100" s="28">
        <f t="shared" si="5"/>
        <v>3.69</v>
      </c>
      <c r="V100" s="9">
        <f>IF(U100&gt;=Parametros!$B$14,4,IF(U100&gt;=Parametros!$B$13,3,IF(U100&gt;=Parametros!$B$12,2,1)))</f>
        <v>3</v>
      </c>
      <c r="W100" s="5">
        <f>MAX(V100,IF(K100=5,Parametros!$B$17,0),IF(P100="Sim",Parametros!$B$18,0))</f>
        <v>3</v>
      </c>
      <c r="X100" s="5" t="str">
        <f t="shared" si="6"/>
        <v>Alta</v>
      </c>
      <c r="Y100" s="29">
        <f t="shared" si="7"/>
        <v>3036.5998999999997</v>
      </c>
      <c r="Z100" s="4" t="s">
        <v>246</v>
      </c>
    </row>
    <row r="101" spans="1:26" ht="28.05" customHeight="1" x14ac:dyDescent="0.3">
      <c r="A101" s="5">
        <f t="shared" si="4"/>
        <v>97</v>
      </c>
      <c r="B101" s="23" t="s">
        <v>517</v>
      </c>
      <c r="C101" s="17" t="s">
        <v>248</v>
      </c>
      <c r="D101" s="4" t="s">
        <v>51</v>
      </c>
      <c r="E101" s="4" t="s">
        <v>63</v>
      </c>
      <c r="F101" s="4" t="s">
        <v>63</v>
      </c>
      <c r="G101" s="4" t="s">
        <v>112</v>
      </c>
      <c r="H101" s="4" t="s">
        <v>108</v>
      </c>
      <c r="I101" s="24" t="s">
        <v>152</v>
      </c>
      <c r="J101" s="15">
        <v>4</v>
      </c>
      <c r="K101" s="15">
        <v>4</v>
      </c>
      <c r="L101" s="15">
        <v>4</v>
      </c>
      <c r="M101" s="15">
        <v>2</v>
      </c>
      <c r="N101" s="15">
        <v>4</v>
      </c>
      <c r="O101" s="15">
        <v>3</v>
      </c>
      <c r="P101" s="15" t="s">
        <v>415</v>
      </c>
      <c r="Q101" s="23" t="s">
        <v>416</v>
      </c>
      <c r="R101" s="25">
        <f>ROUND((K101*Parametros!$B$4+L101*Parametros!$B$5+M101*Parametros!$B$6+N101*Parametros!$B$7+O101*Parametros!$B$8)/SUM(Parametros!$B$4:$B$8),2)</f>
        <v>3.45</v>
      </c>
      <c r="S101" s="26">
        <f>IFERROR(INDEX(Parametros!$F$33:$F$42,MATCH(D101,Parametros!$A$33:$A$42,0)),1)</f>
        <v>1.0669999999999999</v>
      </c>
      <c r="T101" s="27">
        <f>IFERROR(INDEX(Parametros!$B$21:$B$26,MATCH(I101,Parametros!$A$21:$A$26,0)),0)</f>
        <v>0</v>
      </c>
      <c r="U101" s="28">
        <f t="shared" si="5"/>
        <v>3.68</v>
      </c>
      <c r="V101" s="9">
        <f>IF(U101&gt;=Parametros!$B$14,4,IF(U101&gt;=Parametros!$B$13,3,IF(U101&gt;=Parametros!$B$12,2,1)))</f>
        <v>3</v>
      </c>
      <c r="W101" s="5">
        <f>MAX(V101,IF(K101=5,Parametros!$B$17,0),IF(P101="Sim",Parametros!$B$18,0))</f>
        <v>3</v>
      </c>
      <c r="X101" s="5" t="str">
        <f t="shared" si="6"/>
        <v>Alta</v>
      </c>
      <c r="Y101" s="29">
        <f t="shared" si="7"/>
        <v>3036.399899</v>
      </c>
      <c r="Z101" s="4" t="s">
        <v>249</v>
      </c>
    </row>
    <row r="102" spans="1:26" ht="28.05" customHeight="1" x14ac:dyDescent="0.3">
      <c r="A102" s="5">
        <f t="shared" si="4"/>
        <v>98</v>
      </c>
      <c r="B102" s="23" t="s">
        <v>518</v>
      </c>
      <c r="C102" s="17" t="s">
        <v>250</v>
      </c>
      <c r="D102" s="4" t="s">
        <v>54</v>
      </c>
      <c r="E102" s="4" t="s">
        <v>78</v>
      </c>
      <c r="F102" s="4" t="s">
        <v>78</v>
      </c>
      <c r="G102" s="4" t="s">
        <v>107</v>
      </c>
      <c r="H102" s="4" t="s">
        <v>108</v>
      </c>
      <c r="I102" s="24" t="s">
        <v>109</v>
      </c>
      <c r="J102" s="15">
        <v>2</v>
      </c>
      <c r="K102" s="15">
        <v>4</v>
      </c>
      <c r="L102" s="15">
        <v>3</v>
      </c>
      <c r="M102" s="15">
        <v>2</v>
      </c>
      <c r="N102" s="15">
        <v>4</v>
      </c>
      <c r="O102" s="15">
        <v>3</v>
      </c>
      <c r="P102" s="15" t="s">
        <v>415</v>
      </c>
      <c r="Q102" s="23" t="s">
        <v>416</v>
      </c>
      <c r="R102" s="25">
        <f>ROUND((K102*Parametros!$B$4+L102*Parametros!$B$5+M102*Parametros!$B$6+N102*Parametros!$B$7+O102*Parametros!$B$8)/SUM(Parametros!$B$4:$B$8),2)</f>
        <v>3.25</v>
      </c>
      <c r="S102" s="26">
        <f>IFERROR(INDEX(Parametros!$F$33:$F$42,MATCH(D102,Parametros!$A$33:$A$42,0)),1)</f>
        <v>1.034</v>
      </c>
      <c r="T102" s="27">
        <f>IFERROR(INDEX(Parametros!$B$21:$B$26,MATCH(I102,Parametros!$A$21:$A$26,0)),0)</f>
        <v>0.3</v>
      </c>
      <c r="U102" s="28">
        <f t="shared" si="5"/>
        <v>3.66</v>
      </c>
      <c r="V102" s="9">
        <f>IF(U102&gt;=Parametros!$B$14,4,IF(U102&gt;=Parametros!$B$13,3,IF(U102&gt;=Parametros!$B$12,2,1)))</f>
        <v>3</v>
      </c>
      <c r="W102" s="5">
        <f>MAX(V102,IF(K102=5,Parametros!$B$17,0),IF(P102="Sim",Parametros!$B$18,0))</f>
        <v>3</v>
      </c>
      <c r="X102" s="5" t="str">
        <f t="shared" si="6"/>
        <v>Alta</v>
      </c>
      <c r="Y102" s="29">
        <f t="shared" si="7"/>
        <v>3036.3998980000001</v>
      </c>
      <c r="Z102" s="4" t="s">
        <v>237</v>
      </c>
    </row>
    <row r="103" spans="1:26" ht="28.05" customHeight="1" x14ac:dyDescent="0.3">
      <c r="A103" s="5">
        <f t="shared" si="4"/>
        <v>99</v>
      </c>
      <c r="B103" s="23" t="s">
        <v>519</v>
      </c>
      <c r="C103" s="17" t="s">
        <v>337</v>
      </c>
      <c r="D103" s="4" t="s">
        <v>52</v>
      </c>
      <c r="E103" s="4" t="s">
        <v>63</v>
      </c>
      <c r="F103" s="4" t="s">
        <v>63</v>
      </c>
      <c r="G103" s="4" t="s">
        <v>184</v>
      </c>
      <c r="H103" s="4" t="s">
        <v>185</v>
      </c>
      <c r="I103" s="24" t="s">
        <v>109</v>
      </c>
      <c r="J103" s="15">
        <v>2</v>
      </c>
      <c r="K103" s="15">
        <v>4</v>
      </c>
      <c r="L103" s="15">
        <v>3</v>
      </c>
      <c r="M103" s="15">
        <v>1</v>
      </c>
      <c r="N103" s="15">
        <v>4</v>
      </c>
      <c r="O103" s="15">
        <v>4</v>
      </c>
      <c r="P103" s="15" t="s">
        <v>415</v>
      </c>
      <c r="Q103" s="23" t="s">
        <v>416</v>
      </c>
      <c r="R103" s="25">
        <f>ROUND((K103*Parametros!$B$4+L103*Parametros!$B$5+M103*Parametros!$B$6+N103*Parametros!$B$7+O103*Parametros!$B$8)/SUM(Parametros!$B$4:$B$8),2)</f>
        <v>3.2</v>
      </c>
      <c r="S103" s="26">
        <f>IFERROR(INDEX(Parametros!$F$33:$F$42,MATCH(D103,Parametros!$A$33:$A$42,0)),1)</f>
        <v>1.05</v>
      </c>
      <c r="T103" s="27">
        <f>IFERROR(INDEX(Parametros!$B$21:$B$26,MATCH(I103,Parametros!$A$21:$A$26,0)),0)</f>
        <v>0.3</v>
      </c>
      <c r="U103" s="28">
        <f t="shared" si="5"/>
        <v>3.66</v>
      </c>
      <c r="V103" s="9">
        <f>IF(U103&gt;=Parametros!$B$14,4,IF(U103&gt;=Parametros!$B$13,3,IF(U103&gt;=Parametros!$B$12,2,1)))</f>
        <v>3</v>
      </c>
      <c r="W103" s="5">
        <f>MAX(V103,IF(K103=5,Parametros!$B$17,0),IF(P103="Sim",Parametros!$B$18,0))</f>
        <v>3</v>
      </c>
      <c r="X103" s="5" t="str">
        <f t="shared" si="6"/>
        <v>Alta</v>
      </c>
      <c r="Y103" s="29">
        <f t="shared" si="7"/>
        <v>3036.3998970000002</v>
      </c>
      <c r="Z103" s="4" t="s">
        <v>338</v>
      </c>
    </row>
    <row r="104" spans="1:26" ht="28.05" customHeight="1" x14ac:dyDescent="0.3">
      <c r="A104" s="5">
        <f t="shared" si="4"/>
        <v>100</v>
      </c>
      <c r="B104" s="23" t="s">
        <v>520</v>
      </c>
      <c r="C104" s="17" t="s">
        <v>251</v>
      </c>
      <c r="D104" s="4" t="s">
        <v>52</v>
      </c>
      <c r="E104" s="4" t="s">
        <v>64</v>
      </c>
      <c r="F104" s="4" t="s">
        <v>64</v>
      </c>
      <c r="G104" s="4" t="s">
        <v>134</v>
      </c>
      <c r="H104" s="4" t="s">
        <v>108</v>
      </c>
      <c r="I104" s="24" t="s">
        <v>131</v>
      </c>
      <c r="J104" s="15">
        <v>4</v>
      </c>
      <c r="K104" s="15">
        <v>3</v>
      </c>
      <c r="L104" s="15">
        <v>4</v>
      </c>
      <c r="M104" s="15">
        <v>3</v>
      </c>
      <c r="N104" s="15">
        <v>4</v>
      </c>
      <c r="O104" s="15">
        <v>4</v>
      </c>
      <c r="P104" s="15" t="s">
        <v>415</v>
      </c>
      <c r="Q104" s="23" t="s">
        <v>416</v>
      </c>
      <c r="R104" s="25">
        <f>ROUND((K104*Parametros!$B$4+L104*Parametros!$B$5+M104*Parametros!$B$6+N104*Parametros!$B$7+O104*Parametros!$B$8)/SUM(Parametros!$B$4:$B$8),2)</f>
        <v>3.5</v>
      </c>
      <c r="S104" s="26">
        <f>IFERROR(INDEX(Parametros!$F$33:$F$42,MATCH(D104,Parametros!$A$33:$A$42,0)),1)</f>
        <v>1.05</v>
      </c>
      <c r="T104" s="27">
        <f>IFERROR(INDEX(Parametros!$B$21:$B$26,MATCH(I104,Parametros!$A$21:$A$26,0)),0)</f>
        <v>0</v>
      </c>
      <c r="U104" s="28">
        <f t="shared" si="5"/>
        <v>3.68</v>
      </c>
      <c r="V104" s="9">
        <f>IF(U104&gt;=Parametros!$B$14,4,IF(U104&gt;=Parametros!$B$13,3,IF(U104&gt;=Parametros!$B$12,2,1)))</f>
        <v>3</v>
      </c>
      <c r="W104" s="5">
        <f>MAX(V104,IF(K104=5,Parametros!$B$17,0),IF(P104="Sim",Parametros!$B$18,0))</f>
        <v>3</v>
      </c>
      <c r="X104" s="5" t="str">
        <f t="shared" si="6"/>
        <v>Alta</v>
      </c>
      <c r="Y104" s="29">
        <f t="shared" si="7"/>
        <v>3036.3998959999999</v>
      </c>
      <c r="Z104" s="4" t="s">
        <v>228</v>
      </c>
    </row>
    <row r="105" spans="1:26" ht="28.05" customHeight="1" x14ac:dyDescent="0.3">
      <c r="A105" s="5">
        <f t="shared" si="4"/>
        <v>101</v>
      </c>
      <c r="B105" s="23" t="s">
        <v>521</v>
      </c>
      <c r="C105" s="17" t="s">
        <v>252</v>
      </c>
      <c r="D105" s="4" t="s">
        <v>54</v>
      </c>
      <c r="E105" s="4" t="s">
        <v>63</v>
      </c>
      <c r="F105" s="4" t="s">
        <v>63</v>
      </c>
      <c r="G105" s="4" t="s">
        <v>112</v>
      </c>
      <c r="H105" s="4" t="s">
        <v>108</v>
      </c>
      <c r="I105" s="24" t="s">
        <v>131</v>
      </c>
      <c r="J105" s="15">
        <v>3</v>
      </c>
      <c r="K105" s="15">
        <v>4</v>
      </c>
      <c r="L105" s="15">
        <v>3</v>
      </c>
      <c r="M105" s="15">
        <v>2</v>
      </c>
      <c r="N105" s="15">
        <v>4</v>
      </c>
      <c r="O105" s="15">
        <v>5</v>
      </c>
      <c r="P105" s="15" t="s">
        <v>415</v>
      </c>
      <c r="Q105" s="23" t="s">
        <v>416</v>
      </c>
      <c r="R105" s="25">
        <f>ROUND((K105*Parametros!$B$4+L105*Parametros!$B$5+M105*Parametros!$B$6+N105*Parametros!$B$7+O105*Parametros!$B$8)/SUM(Parametros!$B$4:$B$8),2)</f>
        <v>3.55</v>
      </c>
      <c r="S105" s="26">
        <f>IFERROR(INDEX(Parametros!$F$33:$F$42,MATCH(D105,Parametros!$A$33:$A$42,0)),1)</f>
        <v>1.034</v>
      </c>
      <c r="T105" s="27">
        <f>IFERROR(INDEX(Parametros!$B$21:$B$26,MATCH(I105,Parametros!$A$21:$A$26,0)),0)</f>
        <v>0</v>
      </c>
      <c r="U105" s="28">
        <f t="shared" si="5"/>
        <v>3.67</v>
      </c>
      <c r="V105" s="9">
        <f>IF(U105&gt;=Parametros!$B$14,4,IF(U105&gt;=Parametros!$B$13,3,IF(U105&gt;=Parametros!$B$12,2,1)))</f>
        <v>3</v>
      </c>
      <c r="W105" s="5">
        <f>MAX(V105,IF(K105=5,Parametros!$B$17,0),IF(P105="Sim",Parametros!$B$18,0))</f>
        <v>3</v>
      </c>
      <c r="X105" s="5" t="str">
        <f t="shared" si="6"/>
        <v>Alta</v>
      </c>
      <c r="Y105" s="29">
        <f t="shared" si="7"/>
        <v>3036.3998949999996</v>
      </c>
      <c r="Z105" s="4" t="s">
        <v>253</v>
      </c>
    </row>
    <row r="106" spans="1:26" ht="28.05" customHeight="1" x14ac:dyDescent="0.3">
      <c r="A106" s="5">
        <f t="shared" si="4"/>
        <v>102</v>
      </c>
      <c r="B106" s="23" t="s">
        <v>522</v>
      </c>
      <c r="C106" s="17" t="s">
        <v>238</v>
      </c>
      <c r="D106" s="4" t="s">
        <v>56</v>
      </c>
      <c r="E106" s="4" t="s">
        <v>76</v>
      </c>
      <c r="F106" s="4" t="s">
        <v>506</v>
      </c>
      <c r="G106" s="4" t="s">
        <v>134</v>
      </c>
      <c r="H106" s="4" t="s">
        <v>108</v>
      </c>
      <c r="I106" s="24" t="s">
        <v>152</v>
      </c>
      <c r="J106" s="15">
        <v>3</v>
      </c>
      <c r="K106" s="15">
        <v>4</v>
      </c>
      <c r="L106" s="15">
        <v>5</v>
      </c>
      <c r="M106" s="15">
        <v>1</v>
      </c>
      <c r="N106" s="15">
        <v>4</v>
      </c>
      <c r="O106" s="15">
        <v>4</v>
      </c>
      <c r="P106" s="15" t="s">
        <v>415</v>
      </c>
      <c r="Q106" s="23" t="s">
        <v>416</v>
      </c>
      <c r="R106" s="25">
        <f>ROUND((K106*Parametros!$B$4+L106*Parametros!$B$5+M106*Parametros!$B$6+N106*Parametros!$B$7+O106*Parametros!$B$8)/SUM(Parametros!$B$4:$B$8),2)</f>
        <v>3.6</v>
      </c>
      <c r="S106" s="26">
        <f>IFERROR(INDEX(Parametros!$F$33:$F$42,MATCH(D106,Parametros!$A$33:$A$42,0)),1)</f>
        <v>1.0169999999999999</v>
      </c>
      <c r="T106" s="27">
        <f>IFERROR(INDEX(Parametros!$B$21:$B$26,MATCH(I106,Parametros!$A$21:$A$26,0)),0)</f>
        <v>0</v>
      </c>
      <c r="U106" s="28">
        <f t="shared" si="5"/>
        <v>3.66</v>
      </c>
      <c r="V106" s="9">
        <f>IF(U106&gt;=Parametros!$B$14,4,IF(U106&gt;=Parametros!$B$13,3,IF(U106&gt;=Parametros!$B$12,2,1)))</f>
        <v>3</v>
      </c>
      <c r="W106" s="5">
        <f>MAX(V106,IF(K106=5,Parametros!$B$17,0),IF(P106="Sim",Parametros!$B$18,0))</f>
        <v>3</v>
      </c>
      <c r="X106" s="5" t="str">
        <f t="shared" si="6"/>
        <v>Alta</v>
      </c>
      <c r="Y106" s="29">
        <f t="shared" si="7"/>
        <v>3036.2998939999998</v>
      </c>
      <c r="Z106" s="4" t="s">
        <v>181</v>
      </c>
    </row>
    <row r="107" spans="1:26" ht="28.05" customHeight="1" x14ac:dyDescent="0.3">
      <c r="A107" s="5">
        <f t="shared" si="4"/>
        <v>103</v>
      </c>
      <c r="B107" s="23" t="s">
        <v>523</v>
      </c>
      <c r="C107" s="17" t="s">
        <v>242</v>
      </c>
      <c r="D107" s="4" t="s">
        <v>56</v>
      </c>
      <c r="E107" s="4" t="s">
        <v>64</v>
      </c>
      <c r="F107" s="4" t="s">
        <v>64</v>
      </c>
      <c r="G107" s="4" t="s">
        <v>134</v>
      </c>
      <c r="H107" s="4" t="s">
        <v>108</v>
      </c>
      <c r="I107" s="24" t="s">
        <v>109</v>
      </c>
      <c r="J107" s="15">
        <v>3</v>
      </c>
      <c r="K107" s="15">
        <v>4</v>
      </c>
      <c r="L107" s="15">
        <v>4</v>
      </c>
      <c r="M107" s="15">
        <v>2</v>
      </c>
      <c r="N107" s="15">
        <v>3</v>
      </c>
      <c r="O107" s="15">
        <v>3</v>
      </c>
      <c r="P107" s="15" t="s">
        <v>415</v>
      </c>
      <c r="Q107" s="23" t="s">
        <v>416</v>
      </c>
      <c r="R107" s="25">
        <f>ROUND((K107*Parametros!$B$4+L107*Parametros!$B$5+M107*Parametros!$B$6+N107*Parametros!$B$7+O107*Parametros!$B$8)/SUM(Parametros!$B$4:$B$8),2)</f>
        <v>3.3</v>
      </c>
      <c r="S107" s="26">
        <f>IFERROR(INDEX(Parametros!$F$33:$F$42,MATCH(D107,Parametros!$A$33:$A$42,0)),1)</f>
        <v>1.0169999999999999</v>
      </c>
      <c r="T107" s="27">
        <f>IFERROR(INDEX(Parametros!$B$21:$B$26,MATCH(I107,Parametros!$A$21:$A$26,0)),0)</f>
        <v>0.3</v>
      </c>
      <c r="U107" s="28">
        <f t="shared" si="5"/>
        <v>3.66</v>
      </c>
      <c r="V107" s="9">
        <f>IF(U107&gt;=Parametros!$B$14,4,IF(U107&gt;=Parametros!$B$13,3,IF(U107&gt;=Parametros!$B$12,2,1)))</f>
        <v>3</v>
      </c>
      <c r="W107" s="5">
        <f>MAX(V107,IF(K107=5,Parametros!$B$17,0),IF(P107="Sim",Parametros!$B$18,0))</f>
        <v>3</v>
      </c>
      <c r="X107" s="5" t="str">
        <f t="shared" si="6"/>
        <v>Alta</v>
      </c>
      <c r="Y107" s="29">
        <f t="shared" si="7"/>
        <v>3036.2998929999999</v>
      </c>
      <c r="Z107" s="4" t="s">
        <v>164</v>
      </c>
    </row>
    <row r="108" spans="1:26" ht="28.05" customHeight="1" x14ac:dyDescent="0.3">
      <c r="A108" s="5">
        <f t="shared" si="4"/>
        <v>104</v>
      </c>
      <c r="B108" s="23" t="s">
        <v>524</v>
      </c>
      <c r="C108" s="17" t="s">
        <v>254</v>
      </c>
      <c r="D108" s="4" t="s">
        <v>54</v>
      </c>
      <c r="E108" s="4" t="s">
        <v>63</v>
      </c>
      <c r="F108" s="4" t="s">
        <v>63</v>
      </c>
      <c r="G108" s="4" t="s">
        <v>112</v>
      </c>
      <c r="H108" s="4" t="s">
        <v>108</v>
      </c>
      <c r="I108" s="24" t="s">
        <v>109</v>
      </c>
      <c r="J108" s="15">
        <v>3</v>
      </c>
      <c r="K108" s="15">
        <v>4</v>
      </c>
      <c r="L108" s="15">
        <v>3</v>
      </c>
      <c r="M108" s="15">
        <v>2</v>
      </c>
      <c r="N108" s="15">
        <v>3</v>
      </c>
      <c r="O108" s="15">
        <v>4</v>
      </c>
      <c r="P108" s="15" t="s">
        <v>415</v>
      </c>
      <c r="Q108" s="23" t="s">
        <v>416</v>
      </c>
      <c r="R108" s="25">
        <f>ROUND((K108*Parametros!$B$4+L108*Parametros!$B$5+M108*Parametros!$B$6+N108*Parametros!$B$7+O108*Parametros!$B$8)/SUM(Parametros!$B$4:$B$8),2)</f>
        <v>3.25</v>
      </c>
      <c r="S108" s="26">
        <f>IFERROR(INDEX(Parametros!$F$33:$F$42,MATCH(D108,Parametros!$A$33:$A$42,0)),1)</f>
        <v>1.034</v>
      </c>
      <c r="T108" s="27">
        <f>IFERROR(INDEX(Parametros!$B$21:$B$26,MATCH(I108,Parametros!$A$21:$A$26,0)),0)</f>
        <v>0.3</v>
      </c>
      <c r="U108" s="28">
        <f t="shared" si="5"/>
        <v>3.66</v>
      </c>
      <c r="V108" s="9">
        <f>IF(U108&gt;=Parametros!$B$14,4,IF(U108&gt;=Parametros!$B$13,3,IF(U108&gt;=Parametros!$B$12,2,1)))</f>
        <v>3</v>
      </c>
      <c r="W108" s="5">
        <f>MAX(V108,IF(K108=5,Parametros!$B$17,0),IF(P108="Sim",Parametros!$B$18,0))</f>
        <v>3</v>
      </c>
      <c r="X108" s="5" t="str">
        <f t="shared" si="6"/>
        <v>Alta</v>
      </c>
      <c r="Y108" s="29">
        <f t="shared" si="7"/>
        <v>3036.2998919999995</v>
      </c>
      <c r="Z108" s="4" t="s">
        <v>255</v>
      </c>
    </row>
    <row r="109" spans="1:26" ht="28.05" customHeight="1" x14ac:dyDescent="0.3">
      <c r="A109" s="5">
        <f t="shared" si="4"/>
        <v>105</v>
      </c>
      <c r="B109" s="23" t="s">
        <v>525</v>
      </c>
      <c r="C109" s="17" t="s">
        <v>339</v>
      </c>
      <c r="D109" s="4" t="s">
        <v>54</v>
      </c>
      <c r="E109" s="4" t="s">
        <v>72</v>
      </c>
      <c r="F109" s="4" t="s">
        <v>72</v>
      </c>
      <c r="G109" s="4" t="s">
        <v>184</v>
      </c>
      <c r="H109" s="4" t="s">
        <v>185</v>
      </c>
      <c r="I109" s="24" t="s">
        <v>109</v>
      </c>
      <c r="J109" s="15">
        <v>3</v>
      </c>
      <c r="K109" s="15">
        <v>4</v>
      </c>
      <c r="L109" s="15">
        <v>3</v>
      </c>
      <c r="M109" s="15">
        <v>2</v>
      </c>
      <c r="N109" s="15">
        <v>3</v>
      </c>
      <c r="O109" s="15">
        <v>4</v>
      </c>
      <c r="P109" s="15" t="s">
        <v>415</v>
      </c>
      <c r="Q109" s="23" t="s">
        <v>416</v>
      </c>
      <c r="R109" s="25">
        <f>ROUND((K109*Parametros!$B$4+L109*Parametros!$B$5+M109*Parametros!$B$6+N109*Parametros!$B$7+O109*Parametros!$B$8)/SUM(Parametros!$B$4:$B$8),2)</f>
        <v>3.25</v>
      </c>
      <c r="S109" s="26">
        <f>IFERROR(INDEX(Parametros!$F$33:$F$42,MATCH(D109,Parametros!$A$33:$A$42,0)),1)</f>
        <v>1.034</v>
      </c>
      <c r="T109" s="27">
        <f>IFERROR(INDEX(Parametros!$B$21:$B$26,MATCH(I109,Parametros!$A$21:$A$26,0)),0)</f>
        <v>0.3</v>
      </c>
      <c r="U109" s="28">
        <f t="shared" si="5"/>
        <v>3.66</v>
      </c>
      <c r="V109" s="9">
        <f>IF(U109&gt;=Parametros!$B$14,4,IF(U109&gt;=Parametros!$B$13,3,IF(U109&gt;=Parametros!$B$12,2,1)))</f>
        <v>3</v>
      </c>
      <c r="W109" s="5">
        <f>MAX(V109,IF(K109=5,Parametros!$B$17,0),IF(P109="Sim",Parametros!$B$18,0))</f>
        <v>3</v>
      </c>
      <c r="X109" s="5" t="str">
        <f t="shared" si="6"/>
        <v>Alta</v>
      </c>
      <c r="Y109" s="29">
        <f t="shared" si="7"/>
        <v>3036.2998909999997</v>
      </c>
      <c r="Z109" s="4" t="s">
        <v>255</v>
      </c>
    </row>
    <row r="110" spans="1:26" ht="28.05" customHeight="1" x14ac:dyDescent="0.3">
      <c r="A110" s="5">
        <f t="shared" si="4"/>
        <v>106</v>
      </c>
      <c r="B110" s="23" t="s">
        <v>526</v>
      </c>
      <c r="C110" s="17" t="s">
        <v>256</v>
      </c>
      <c r="D110" s="4" t="s">
        <v>56</v>
      </c>
      <c r="E110" s="4" t="s">
        <v>71</v>
      </c>
      <c r="F110" s="4" t="s">
        <v>71</v>
      </c>
      <c r="G110" s="4" t="s">
        <v>112</v>
      </c>
      <c r="H110" s="4" t="s">
        <v>108</v>
      </c>
      <c r="I110" s="24" t="s">
        <v>122</v>
      </c>
      <c r="J110" s="15">
        <v>4</v>
      </c>
      <c r="K110" s="15">
        <v>4</v>
      </c>
      <c r="L110" s="15">
        <v>4</v>
      </c>
      <c r="M110" s="15">
        <v>2</v>
      </c>
      <c r="N110" s="15">
        <v>3</v>
      </c>
      <c r="O110" s="15">
        <v>5</v>
      </c>
      <c r="P110" s="15" t="s">
        <v>415</v>
      </c>
      <c r="Q110" s="23" t="s">
        <v>416</v>
      </c>
      <c r="R110" s="25">
        <f>ROUND((K110*Parametros!$B$4+L110*Parametros!$B$5+M110*Parametros!$B$6+N110*Parametros!$B$7+O110*Parametros!$B$8)/SUM(Parametros!$B$4:$B$8),2)</f>
        <v>3.6</v>
      </c>
      <c r="S110" s="26">
        <f>IFERROR(INDEX(Parametros!$F$33:$F$42,MATCH(D110,Parametros!$A$33:$A$42,0)),1)</f>
        <v>1.0169999999999999</v>
      </c>
      <c r="T110" s="27">
        <f>IFERROR(INDEX(Parametros!$B$21:$B$26,MATCH(I110,Parametros!$A$21:$A$26,0)),0)</f>
        <v>0</v>
      </c>
      <c r="U110" s="28">
        <f t="shared" si="5"/>
        <v>3.66</v>
      </c>
      <c r="V110" s="9">
        <f>IF(U110&gt;=Parametros!$B$14,4,IF(U110&gt;=Parametros!$B$13,3,IF(U110&gt;=Parametros!$B$12,2,1)))</f>
        <v>3</v>
      </c>
      <c r="W110" s="5">
        <f>MAX(V110,IF(K110=5,Parametros!$B$17,0),IF(P110="Sim",Parametros!$B$18,0))</f>
        <v>3</v>
      </c>
      <c r="X110" s="5" t="str">
        <f t="shared" si="6"/>
        <v>Alta</v>
      </c>
      <c r="Y110" s="29">
        <f t="shared" si="7"/>
        <v>3036.1998899999999</v>
      </c>
      <c r="Z110" s="4" t="s">
        <v>244</v>
      </c>
    </row>
    <row r="111" spans="1:26" ht="28.05" customHeight="1" x14ac:dyDescent="0.3">
      <c r="A111" s="5">
        <f t="shared" si="4"/>
        <v>107</v>
      </c>
      <c r="B111" s="23" t="s">
        <v>527</v>
      </c>
      <c r="C111" s="17" t="s">
        <v>257</v>
      </c>
      <c r="D111" s="4" t="s">
        <v>50</v>
      </c>
      <c r="E111" s="4" t="s">
        <v>75</v>
      </c>
      <c r="F111" s="4" t="s">
        <v>75</v>
      </c>
      <c r="G111" s="4" t="s">
        <v>107</v>
      </c>
      <c r="H111" s="4" t="s">
        <v>108</v>
      </c>
      <c r="I111" s="24" t="s">
        <v>122</v>
      </c>
      <c r="J111" s="15">
        <v>3</v>
      </c>
      <c r="K111" s="15">
        <v>3</v>
      </c>
      <c r="L111" s="15">
        <v>3</v>
      </c>
      <c r="M111" s="15">
        <v>4</v>
      </c>
      <c r="N111" s="15">
        <v>4</v>
      </c>
      <c r="O111" s="15">
        <v>3</v>
      </c>
      <c r="P111" s="15" t="s">
        <v>415</v>
      </c>
      <c r="Q111" s="23" t="s">
        <v>416</v>
      </c>
      <c r="R111" s="25">
        <f>ROUND((K111*Parametros!$B$4+L111*Parametros!$B$5+M111*Parametros!$B$6+N111*Parametros!$B$7+O111*Parametros!$B$8)/SUM(Parametros!$B$4:$B$8),2)</f>
        <v>3.35</v>
      </c>
      <c r="S111" s="26">
        <f>IFERROR(INDEX(Parametros!$F$33:$F$42,MATCH(D111,Parametros!$A$33:$A$42,0)),1)</f>
        <v>1.0840000000000001</v>
      </c>
      <c r="T111" s="27">
        <f>IFERROR(INDEX(Parametros!$B$21:$B$26,MATCH(I111,Parametros!$A$21:$A$26,0)),0)</f>
        <v>0</v>
      </c>
      <c r="U111" s="28">
        <f t="shared" si="5"/>
        <v>3.63</v>
      </c>
      <c r="V111" s="9">
        <f>IF(U111&gt;=Parametros!$B$14,4,IF(U111&gt;=Parametros!$B$13,3,IF(U111&gt;=Parametros!$B$12,2,1)))</f>
        <v>3</v>
      </c>
      <c r="W111" s="5">
        <f>MAX(V111,IF(K111=5,Parametros!$B$17,0),IF(P111="Sim",Parametros!$B$18,0))</f>
        <v>3</v>
      </c>
      <c r="X111" s="5" t="str">
        <f t="shared" si="6"/>
        <v>Alta</v>
      </c>
      <c r="Y111" s="29">
        <f t="shared" si="7"/>
        <v>3035.9998890000002</v>
      </c>
      <c r="Z111" s="4" t="s">
        <v>258</v>
      </c>
    </row>
    <row r="112" spans="1:26" ht="28.05" customHeight="1" x14ac:dyDescent="0.3">
      <c r="A112" s="5">
        <f t="shared" si="4"/>
        <v>108</v>
      </c>
      <c r="B112" s="23" t="s">
        <v>528</v>
      </c>
      <c r="C112" s="17" t="s">
        <v>340</v>
      </c>
      <c r="D112" s="4" t="s">
        <v>54</v>
      </c>
      <c r="E112" s="4" t="s">
        <v>69</v>
      </c>
      <c r="F112" s="4" t="s">
        <v>427</v>
      </c>
      <c r="G112" s="4" t="s">
        <v>171</v>
      </c>
      <c r="H112" s="4" t="s">
        <v>172</v>
      </c>
      <c r="I112" s="24" t="s">
        <v>152</v>
      </c>
      <c r="J112" s="15">
        <v>2</v>
      </c>
      <c r="K112" s="15">
        <v>4</v>
      </c>
      <c r="L112" s="15">
        <v>4</v>
      </c>
      <c r="M112" s="15">
        <v>3</v>
      </c>
      <c r="N112" s="15">
        <v>3</v>
      </c>
      <c r="O112" s="15">
        <v>3</v>
      </c>
      <c r="P112" s="15" t="s">
        <v>415</v>
      </c>
      <c r="Q112" s="23" t="s">
        <v>416</v>
      </c>
      <c r="R112" s="25">
        <f>ROUND((K112*Parametros!$B$4+L112*Parametros!$B$5+M112*Parametros!$B$6+N112*Parametros!$B$7+O112*Parametros!$B$8)/SUM(Parametros!$B$4:$B$8),2)</f>
        <v>3.5</v>
      </c>
      <c r="S112" s="26">
        <f>IFERROR(INDEX(Parametros!$F$33:$F$42,MATCH(D112,Parametros!$A$33:$A$42,0)),1)</f>
        <v>1.034</v>
      </c>
      <c r="T112" s="27">
        <f>IFERROR(INDEX(Parametros!$B$21:$B$26,MATCH(I112,Parametros!$A$21:$A$26,0)),0)</f>
        <v>0</v>
      </c>
      <c r="U112" s="28">
        <f t="shared" si="5"/>
        <v>3.62</v>
      </c>
      <c r="V112" s="9">
        <f>IF(U112&gt;=Parametros!$B$14,4,IF(U112&gt;=Parametros!$B$13,3,IF(U112&gt;=Parametros!$B$12,2,1)))</f>
        <v>3</v>
      </c>
      <c r="W112" s="5">
        <f>MAX(V112,IF(K112=5,Parametros!$B$17,0),IF(P112="Sim",Parametros!$B$18,0))</f>
        <v>3</v>
      </c>
      <c r="X112" s="5" t="str">
        <f t="shared" si="6"/>
        <v>Alta</v>
      </c>
      <c r="Y112" s="29">
        <f t="shared" si="7"/>
        <v>3035.9998879999998</v>
      </c>
      <c r="Z112" s="4" t="s">
        <v>283</v>
      </c>
    </row>
    <row r="113" spans="1:26" ht="28.05" customHeight="1" x14ac:dyDescent="0.3">
      <c r="A113" s="5">
        <f t="shared" si="4"/>
        <v>109</v>
      </c>
      <c r="B113" s="23" t="s">
        <v>529</v>
      </c>
      <c r="C113" s="17" t="s">
        <v>259</v>
      </c>
      <c r="D113" s="4" t="s">
        <v>53</v>
      </c>
      <c r="E113" s="4" t="s">
        <v>68</v>
      </c>
      <c r="F113" s="4" t="s">
        <v>68</v>
      </c>
      <c r="G113" s="4" t="s">
        <v>112</v>
      </c>
      <c r="H113" s="4" t="s">
        <v>108</v>
      </c>
      <c r="I113" s="24" t="s">
        <v>122</v>
      </c>
      <c r="J113" s="15">
        <v>3</v>
      </c>
      <c r="K113" s="15">
        <v>4</v>
      </c>
      <c r="L113" s="15">
        <v>5</v>
      </c>
      <c r="M113" s="15">
        <v>1</v>
      </c>
      <c r="N113" s="15">
        <v>3</v>
      </c>
      <c r="O113" s="15">
        <v>4</v>
      </c>
      <c r="P113" s="15" t="s">
        <v>415</v>
      </c>
      <c r="Q113" s="23" t="s">
        <v>416</v>
      </c>
      <c r="R113" s="25">
        <f>ROUND((K113*Parametros!$B$4+L113*Parametros!$B$5+M113*Parametros!$B$6+N113*Parametros!$B$7+O113*Parametros!$B$8)/SUM(Parametros!$B$4:$B$8),2)</f>
        <v>3.45</v>
      </c>
      <c r="S113" s="26">
        <f>IFERROR(INDEX(Parametros!$F$33:$F$42,MATCH(D113,Parametros!$A$33:$A$42,0)),1)</f>
        <v>1.05</v>
      </c>
      <c r="T113" s="27">
        <f>IFERROR(INDEX(Parametros!$B$21:$B$26,MATCH(I113,Parametros!$A$21:$A$26,0)),0)</f>
        <v>0</v>
      </c>
      <c r="U113" s="28">
        <f t="shared" si="5"/>
        <v>3.62</v>
      </c>
      <c r="V113" s="9">
        <f>IF(U113&gt;=Parametros!$B$14,4,IF(U113&gt;=Parametros!$B$13,3,IF(U113&gt;=Parametros!$B$12,2,1)))</f>
        <v>3</v>
      </c>
      <c r="W113" s="5">
        <f>MAX(V113,IF(K113=5,Parametros!$B$17,0),IF(P113="Sim",Parametros!$B$18,0))</f>
        <v>3</v>
      </c>
      <c r="X113" s="5" t="str">
        <f t="shared" si="6"/>
        <v>Alta</v>
      </c>
      <c r="Y113" s="29">
        <f t="shared" si="7"/>
        <v>3035.8998869999996</v>
      </c>
      <c r="Z113" s="4" t="s">
        <v>142</v>
      </c>
    </row>
    <row r="114" spans="1:26" ht="28.05" customHeight="1" x14ac:dyDescent="0.3">
      <c r="A114" s="5">
        <f t="shared" si="4"/>
        <v>110</v>
      </c>
      <c r="B114" s="23" t="s">
        <v>530</v>
      </c>
      <c r="C114" s="17" t="s">
        <v>341</v>
      </c>
      <c r="D114" s="4" t="s">
        <v>54</v>
      </c>
      <c r="E114" s="4" t="s">
        <v>72</v>
      </c>
      <c r="F114" s="4" t="s">
        <v>72</v>
      </c>
      <c r="G114" s="4" t="s">
        <v>171</v>
      </c>
      <c r="H114" s="4" t="s">
        <v>172</v>
      </c>
      <c r="I114" s="24" t="s">
        <v>152</v>
      </c>
      <c r="J114" s="15">
        <v>3</v>
      </c>
      <c r="K114" s="15">
        <v>4</v>
      </c>
      <c r="L114" s="15">
        <v>4</v>
      </c>
      <c r="M114" s="15">
        <v>3</v>
      </c>
      <c r="N114" s="15">
        <v>3</v>
      </c>
      <c r="O114" s="15">
        <v>3</v>
      </c>
      <c r="P114" s="15" t="s">
        <v>415</v>
      </c>
      <c r="Q114" s="23" t="s">
        <v>416</v>
      </c>
      <c r="R114" s="25">
        <f>ROUND((K114*Parametros!$B$4+L114*Parametros!$B$5+M114*Parametros!$B$6+N114*Parametros!$B$7+O114*Parametros!$B$8)/SUM(Parametros!$B$4:$B$8),2)</f>
        <v>3.5</v>
      </c>
      <c r="S114" s="26">
        <f>IFERROR(INDEX(Parametros!$F$33:$F$42,MATCH(D114,Parametros!$A$33:$A$42,0)),1)</f>
        <v>1.034</v>
      </c>
      <c r="T114" s="27">
        <f>IFERROR(INDEX(Parametros!$B$21:$B$26,MATCH(I114,Parametros!$A$21:$A$26,0)),0)</f>
        <v>0</v>
      </c>
      <c r="U114" s="28">
        <f t="shared" si="5"/>
        <v>3.62</v>
      </c>
      <c r="V114" s="9">
        <f>IF(U114&gt;=Parametros!$B$14,4,IF(U114&gt;=Parametros!$B$13,3,IF(U114&gt;=Parametros!$B$12,2,1)))</f>
        <v>3</v>
      </c>
      <c r="W114" s="5">
        <f>MAX(V114,IF(K114=5,Parametros!$B$17,0),IF(P114="Sim",Parametros!$B$18,0))</f>
        <v>3</v>
      </c>
      <c r="X114" s="5" t="str">
        <f t="shared" si="6"/>
        <v>Alta</v>
      </c>
      <c r="Y114" s="29">
        <f t="shared" si="7"/>
        <v>3035.8998859999997</v>
      </c>
      <c r="Z114" s="4" t="s">
        <v>283</v>
      </c>
    </row>
    <row r="115" spans="1:26" ht="28.05" customHeight="1" x14ac:dyDescent="0.3">
      <c r="A115" s="5">
        <f t="shared" si="4"/>
        <v>111</v>
      </c>
      <c r="B115" s="23" t="s">
        <v>531</v>
      </c>
      <c r="C115" s="17" t="s">
        <v>260</v>
      </c>
      <c r="D115" s="4" t="s">
        <v>54</v>
      </c>
      <c r="E115" s="4" t="s">
        <v>72</v>
      </c>
      <c r="F115" s="4" t="s">
        <v>72</v>
      </c>
      <c r="G115" s="4" t="s">
        <v>112</v>
      </c>
      <c r="H115" s="4" t="s">
        <v>108</v>
      </c>
      <c r="I115" s="24" t="s">
        <v>131</v>
      </c>
      <c r="J115" s="15">
        <v>4</v>
      </c>
      <c r="K115" s="15">
        <v>4</v>
      </c>
      <c r="L115" s="15">
        <v>4</v>
      </c>
      <c r="M115" s="15">
        <v>3</v>
      </c>
      <c r="N115" s="15">
        <v>2</v>
      </c>
      <c r="O115" s="15">
        <v>4</v>
      </c>
      <c r="P115" s="15" t="s">
        <v>415</v>
      </c>
      <c r="Q115" s="23" t="s">
        <v>416</v>
      </c>
      <c r="R115" s="25">
        <f>ROUND((K115*Parametros!$B$4+L115*Parametros!$B$5+M115*Parametros!$B$6+N115*Parametros!$B$7+O115*Parametros!$B$8)/SUM(Parametros!$B$4:$B$8),2)</f>
        <v>3.5</v>
      </c>
      <c r="S115" s="26">
        <f>IFERROR(INDEX(Parametros!$F$33:$F$42,MATCH(D115,Parametros!$A$33:$A$42,0)),1)</f>
        <v>1.034</v>
      </c>
      <c r="T115" s="27">
        <f>IFERROR(INDEX(Parametros!$B$21:$B$26,MATCH(I115,Parametros!$A$21:$A$26,0)),0)</f>
        <v>0</v>
      </c>
      <c r="U115" s="28">
        <f t="shared" si="5"/>
        <v>3.62</v>
      </c>
      <c r="V115" s="9">
        <f>IF(U115&gt;=Parametros!$B$14,4,IF(U115&gt;=Parametros!$B$13,3,IF(U115&gt;=Parametros!$B$12,2,1)))</f>
        <v>3</v>
      </c>
      <c r="W115" s="5">
        <f>MAX(V115,IF(K115=5,Parametros!$B$17,0),IF(P115="Sim",Parametros!$B$18,0))</f>
        <v>3</v>
      </c>
      <c r="X115" s="5" t="str">
        <f t="shared" si="6"/>
        <v>Alta</v>
      </c>
      <c r="Y115" s="29">
        <f t="shared" si="7"/>
        <v>3035.7998849999999</v>
      </c>
      <c r="Z115" s="4" t="s">
        <v>224</v>
      </c>
    </row>
    <row r="116" spans="1:26" ht="28.05" customHeight="1" x14ac:dyDescent="0.3">
      <c r="A116" s="5">
        <f t="shared" si="4"/>
        <v>112</v>
      </c>
      <c r="B116" s="23" t="s">
        <v>532</v>
      </c>
      <c r="C116" s="17" t="s">
        <v>342</v>
      </c>
      <c r="D116" s="4" t="s">
        <v>53</v>
      </c>
      <c r="E116" s="4" t="s">
        <v>77</v>
      </c>
      <c r="F116" s="4" t="s">
        <v>533</v>
      </c>
      <c r="G116" s="4" t="s">
        <v>171</v>
      </c>
      <c r="H116" s="4" t="s">
        <v>172</v>
      </c>
      <c r="I116" s="24" t="s">
        <v>122</v>
      </c>
      <c r="J116" s="15">
        <v>4</v>
      </c>
      <c r="K116" s="15">
        <v>4</v>
      </c>
      <c r="L116" s="15">
        <v>5</v>
      </c>
      <c r="M116" s="15">
        <v>1</v>
      </c>
      <c r="N116" s="15">
        <v>3</v>
      </c>
      <c r="O116" s="15">
        <v>4</v>
      </c>
      <c r="P116" s="15" t="s">
        <v>415</v>
      </c>
      <c r="Q116" s="23" t="s">
        <v>416</v>
      </c>
      <c r="R116" s="25">
        <f>ROUND((K116*Parametros!$B$4+L116*Parametros!$B$5+M116*Parametros!$B$6+N116*Parametros!$B$7+O116*Parametros!$B$8)/SUM(Parametros!$B$4:$B$8),2)</f>
        <v>3.45</v>
      </c>
      <c r="S116" s="26">
        <f>IFERROR(INDEX(Parametros!$F$33:$F$42,MATCH(D116,Parametros!$A$33:$A$42,0)),1)</f>
        <v>1.05</v>
      </c>
      <c r="T116" s="27">
        <f>IFERROR(INDEX(Parametros!$B$21:$B$26,MATCH(I116,Parametros!$A$21:$A$26,0)),0)</f>
        <v>0</v>
      </c>
      <c r="U116" s="28">
        <f t="shared" si="5"/>
        <v>3.62</v>
      </c>
      <c r="V116" s="9">
        <f>IF(U116&gt;=Parametros!$B$14,4,IF(U116&gt;=Parametros!$B$13,3,IF(U116&gt;=Parametros!$B$12,2,1)))</f>
        <v>3</v>
      </c>
      <c r="W116" s="5">
        <f>MAX(V116,IF(K116=5,Parametros!$B$17,0),IF(P116="Sim",Parametros!$B$18,0))</f>
        <v>3</v>
      </c>
      <c r="X116" s="5" t="str">
        <f t="shared" si="6"/>
        <v>Alta</v>
      </c>
      <c r="Y116" s="29">
        <f t="shared" si="7"/>
        <v>3035.7998839999996</v>
      </c>
      <c r="Z116" s="4" t="s">
        <v>142</v>
      </c>
    </row>
    <row r="117" spans="1:26" ht="28.05" customHeight="1" x14ac:dyDescent="0.3">
      <c r="A117" s="5">
        <f t="shared" si="4"/>
        <v>113</v>
      </c>
      <c r="B117" s="23" t="s">
        <v>534</v>
      </c>
      <c r="C117" s="17" t="s">
        <v>343</v>
      </c>
      <c r="D117" s="4" t="s">
        <v>51</v>
      </c>
      <c r="E117" s="4" t="s">
        <v>77</v>
      </c>
      <c r="F117" s="4" t="s">
        <v>77</v>
      </c>
      <c r="G117" s="4" t="s">
        <v>171</v>
      </c>
      <c r="H117" s="4" t="s">
        <v>172</v>
      </c>
      <c r="I117" s="24" t="s">
        <v>152</v>
      </c>
      <c r="J117" s="15">
        <v>1</v>
      </c>
      <c r="K117" s="15">
        <v>4</v>
      </c>
      <c r="L117" s="15">
        <v>5</v>
      </c>
      <c r="M117" s="15">
        <v>2</v>
      </c>
      <c r="N117" s="15">
        <v>2</v>
      </c>
      <c r="O117" s="15">
        <v>3</v>
      </c>
      <c r="P117" s="15" t="s">
        <v>415</v>
      </c>
      <c r="Q117" s="23" t="s">
        <v>416</v>
      </c>
      <c r="R117" s="25">
        <f>ROUND((K117*Parametros!$B$4+L117*Parametros!$B$5+M117*Parametros!$B$6+N117*Parametros!$B$7+O117*Parametros!$B$8)/SUM(Parametros!$B$4:$B$8),2)</f>
        <v>3.35</v>
      </c>
      <c r="S117" s="26">
        <f>IFERROR(INDEX(Parametros!$F$33:$F$42,MATCH(D117,Parametros!$A$33:$A$42,0)),1)</f>
        <v>1.0669999999999999</v>
      </c>
      <c r="T117" s="27">
        <f>IFERROR(INDEX(Parametros!$B$21:$B$26,MATCH(I117,Parametros!$A$21:$A$26,0)),0)</f>
        <v>0</v>
      </c>
      <c r="U117" s="28">
        <f t="shared" si="5"/>
        <v>3.57</v>
      </c>
      <c r="V117" s="9">
        <f>IF(U117&gt;=Parametros!$B$14,4,IF(U117&gt;=Parametros!$B$13,3,IF(U117&gt;=Parametros!$B$12,2,1)))</f>
        <v>3</v>
      </c>
      <c r="W117" s="5">
        <f>MAX(V117,IF(K117=5,Parametros!$B$17,0),IF(P117="Sim",Parametros!$B$18,0))</f>
        <v>3</v>
      </c>
      <c r="X117" s="5" t="str">
        <f t="shared" si="6"/>
        <v>Alta</v>
      </c>
      <c r="Y117" s="29">
        <f t="shared" si="7"/>
        <v>3035.5998829999999</v>
      </c>
      <c r="Z117" s="4" t="s">
        <v>291</v>
      </c>
    </row>
    <row r="118" spans="1:26" ht="28.05" customHeight="1" x14ac:dyDescent="0.3">
      <c r="A118" s="5">
        <f t="shared" si="4"/>
        <v>114</v>
      </c>
      <c r="B118" s="23" t="s">
        <v>535</v>
      </c>
      <c r="C118" s="17" t="s">
        <v>261</v>
      </c>
      <c r="D118" s="4" t="s">
        <v>54</v>
      </c>
      <c r="E118" s="4" t="s">
        <v>69</v>
      </c>
      <c r="F118" s="4" t="s">
        <v>69</v>
      </c>
      <c r="G118" s="4" t="s">
        <v>112</v>
      </c>
      <c r="H118" s="4" t="s">
        <v>108</v>
      </c>
      <c r="I118" s="24" t="s">
        <v>122</v>
      </c>
      <c r="J118" s="15">
        <v>2</v>
      </c>
      <c r="K118" s="15">
        <v>4</v>
      </c>
      <c r="L118" s="15">
        <v>4</v>
      </c>
      <c r="M118" s="15">
        <v>2</v>
      </c>
      <c r="N118" s="15">
        <v>4</v>
      </c>
      <c r="O118" s="15">
        <v>3</v>
      </c>
      <c r="P118" s="15" t="s">
        <v>415</v>
      </c>
      <c r="Q118" s="23" t="s">
        <v>416</v>
      </c>
      <c r="R118" s="25">
        <f>ROUND((K118*Parametros!$B$4+L118*Parametros!$B$5+M118*Parametros!$B$6+N118*Parametros!$B$7+O118*Parametros!$B$8)/SUM(Parametros!$B$4:$B$8),2)</f>
        <v>3.45</v>
      </c>
      <c r="S118" s="26">
        <f>IFERROR(INDEX(Parametros!$F$33:$F$42,MATCH(D118,Parametros!$A$33:$A$42,0)),1)</f>
        <v>1.034</v>
      </c>
      <c r="T118" s="27">
        <f>IFERROR(INDEX(Parametros!$B$21:$B$26,MATCH(I118,Parametros!$A$21:$A$26,0)),0)</f>
        <v>0</v>
      </c>
      <c r="U118" s="28">
        <f t="shared" si="5"/>
        <v>3.57</v>
      </c>
      <c r="V118" s="9">
        <f>IF(U118&gt;=Parametros!$B$14,4,IF(U118&gt;=Parametros!$B$13,3,IF(U118&gt;=Parametros!$B$12,2,1)))</f>
        <v>3</v>
      </c>
      <c r="W118" s="5">
        <f>MAX(V118,IF(K118=5,Parametros!$B$17,0),IF(P118="Sim",Parametros!$B$18,0))</f>
        <v>3</v>
      </c>
      <c r="X118" s="5" t="str">
        <f t="shared" si="6"/>
        <v>Alta</v>
      </c>
      <c r="Y118" s="29">
        <f t="shared" si="7"/>
        <v>3035.4998820000001</v>
      </c>
      <c r="Z118" s="4" t="s">
        <v>249</v>
      </c>
    </row>
    <row r="119" spans="1:26" ht="28.05" customHeight="1" x14ac:dyDescent="0.3">
      <c r="A119" s="5">
        <f t="shared" si="4"/>
        <v>115</v>
      </c>
      <c r="B119" s="23" t="s">
        <v>536</v>
      </c>
      <c r="C119" s="17" t="s">
        <v>262</v>
      </c>
      <c r="D119" s="4" t="s">
        <v>55</v>
      </c>
      <c r="E119" s="4" t="s">
        <v>78</v>
      </c>
      <c r="F119" s="4" t="s">
        <v>78</v>
      </c>
      <c r="G119" s="4" t="s">
        <v>134</v>
      </c>
      <c r="H119" s="4" t="s">
        <v>108</v>
      </c>
      <c r="I119" s="24" t="s">
        <v>122</v>
      </c>
      <c r="J119" s="15">
        <v>3</v>
      </c>
      <c r="K119" s="15">
        <v>4</v>
      </c>
      <c r="L119" s="15">
        <v>4</v>
      </c>
      <c r="M119" s="15">
        <v>2</v>
      </c>
      <c r="N119" s="15">
        <v>4</v>
      </c>
      <c r="O119" s="15">
        <v>3</v>
      </c>
      <c r="P119" s="15" t="s">
        <v>415</v>
      </c>
      <c r="Q119" s="23" t="s">
        <v>416</v>
      </c>
      <c r="R119" s="25">
        <f>ROUND((K119*Parametros!$B$4+L119*Parametros!$B$5+M119*Parametros!$B$6+N119*Parametros!$B$7+O119*Parametros!$B$8)/SUM(Parametros!$B$4:$B$8),2)</f>
        <v>3.45</v>
      </c>
      <c r="S119" s="26">
        <f>IFERROR(INDEX(Parametros!$F$33:$F$42,MATCH(D119,Parametros!$A$33:$A$42,0)),1)</f>
        <v>1.034</v>
      </c>
      <c r="T119" s="27">
        <f>IFERROR(INDEX(Parametros!$B$21:$B$26,MATCH(I119,Parametros!$A$21:$A$26,0)),0)</f>
        <v>0</v>
      </c>
      <c r="U119" s="28">
        <f t="shared" si="5"/>
        <v>3.57</v>
      </c>
      <c r="V119" s="9">
        <f>IF(U119&gt;=Parametros!$B$14,4,IF(U119&gt;=Parametros!$B$13,3,IF(U119&gt;=Parametros!$B$12,2,1)))</f>
        <v>3</v>
      </c>
      <c r="W119" s="5">
        <f>MAX(V119,IF(K119=5,Parametros!$B$17,0),IF(P119="Sim",Parametros!$B$18,0))</f>
        <v>3</v>
      </c>
      <c r="X119" s="5" t="str">
        <f t="shared" si="6"/>
        <v>Alta</v>
      </c>
      <c r="Y119" s="29">
        <f t="shared" si="7"/>
        <v>3035.3998809999998</v>
      </c>
      <c r="Z119" s="4" t="s">
        <v>249</v>
      </c>
    </row>
    <row r="120" spans="1:26" ht="28.05" customHeight="1" x14ac:dyDescent="0.3">
      <c r="A120" s="5">
        <f t="shared" si="4"/>
        <v>116</v>
      </c>
      <c r="B120" s="23" t="s">
        <v>537</v>
      </c>
      <c r="C120" s="17" t="s">
        <v>263</v>
      </c>
      <c r="D120" s="4" t="s">
        <v>53</v>
      </c>
      <c r="E120" s="4" t="s">
        <v>76</v>
      </c>
      <c r="F120" s="4" t="s">
        <v>76</v>
      </c>
      <c r="G120" s="4" t="s">
        <v>107</v>
      </c>
      <c r="H120" s="4" t="s">
        <v>108</v>
      </c>
      <c r="I120" s="24" t="s">
        <v>122</v>
      </c>
      <c r="J120" s="15">
        <v>3</v>
      </c>
      <c r="K120" s="15">
        <v>4</v>
      </c>
      <c r="L120" s="15">
        <v>4</v>
      </c>
      <c r="M120" s="15">
        <v>1</v>
      </c>
      <c r="N120" s="15">
        <v>4</v>
      </c>
      <c r="O120" s="15">
        <v>4</v>
      </c>
      <c r="P120" s="15" t="s">
        <v>415</v>
      </c>
      <c r="Q120" s="23" t="s">
        <v>416</v>
      </c>
      <c r="R120" s="25">
        <f>ROUND((K120*Parametros!$B$4+L120*Parametros!$B$5+M120*Parametros!$B$6+N120*Parametros!$B$7+O120*Parametros!$B$8)/SUM(Parametros!$B$4:$B$8),2)</f>
        <v>3.4</v>
      </c>
      <c r="S120" s="26">
        <f>IFERROR(INDEX(Parametros!$F$33:$F$42,MATCH(D120,Parametros!$A$33:$A$42,0)),1)</f>
        <v>1.05</v>
      </c>
      <c r="T120" s="27">
        <f>IFERROR(INDEX(Parametros!$B$21:$B$26,MATCH(I120,Parametros!$A$21:$A$26,0)),0)</f>
        <v>0</v>
      </c>
      <c r="U120" s="28">
        <f t="shared" si="5"/>
        <v>3.57</v>
      </c>
      <c r="V120" s="9">
        <f>IF(U120&gt;=Parametros!$B$14,4,IF(U120&gt;=Parametros!$B$13,3,IF(U120&gt;=Parametros!$B$12,2,1)))</f>
        <v>3</v>
      </c>
      <c r="W120" s="5">
        <f>MAX(V120,IF(K120=5,Parametros!$B$17,0),IF(P120="Sim",Parametros!$B$18,0))</f>
        <v>3</v>
      </c>
      <c r="X120" s="5" t="str">
        <f t="shared" si="6"/>
        <v>Alta</v>
      </c>
      <c r="Y120" s="29">
        <f t="shared" si="7"/>
        <v>3035.3998799999995</v>
      </c>
      <c r="Z120" s="4" t="s">
        <v>158</v>
      </c>
    </row>
    <row r="121" spans="1:26" ht="28.05" customHeight="1" x14ac:dyDescent="0.3">
      <c r="A121" s="5">
        <f t="shared" si="4"/>
        <v>117</v>
      </c>
      <c r="B121" s="23" t="s">
        <v>538</v>
      </c>
      <c r="C121" s="17" t="s">
        <v>344</v>
      </c>
      <c r="D121" s="4" t="s">
        <v>50</v>
      </c>
      <c r="E121" s="4" t="s">
        <v>345</v>
      </c>
      <c r="F121" s="4" t="s">
        <v>539</v>
      </c>
      <c r="G121" s="4" t="s">
        <v>171</v>
      </c>
      <c r="H121" s="4" t="s">
        <v>172</v>
      </c>
      <c r="I121" s="24" t="s">
        <v>109</v>
      </c>
      <c r="J121" s="15">
        <v>2</v>
      </c>
      <c r="K121" s="15">
        <v>3</v>
      </c>
      <c r="L121" s="15">
        <v>3</v>
      </c>
      <c r="M121" s="15">
        <v>3</v>
      </c>
      <c r="N121" s="15">
        <v>4</v>
      </c>
      <c r="O121" s="15">
        <v>2</v>
      </c>
      <c r="P121" s="15" t="s">
        <v>415</v>
      </c>
      <c r="Q121" s="23" t="s">
        <v>416</v>
      </c>
      <c r="R121" s="25">
        <f>ROUND((K121*Parametros!$B$4+L121*Parametros!$B$5+M121*Parametros!$B$6+N121*Parametros!$B$7+O121*Parametros!$B$8)/SUM(Parametros!$B$4:$B$8),2)</f>
        <v>3</v>
      </c>
      <c r="S121" s="26">
        <f>IFERROR(INDEX(Parametros!$F$33:$F$42,MATCH(D121,Parametros!$A$33:$A$42,0)),1)</f>
        <v>1.0840000000000001</v>
      </c>
      <c r="T121" s="27">
        <f>IFERROR(INDEX(Parametros!$B$21:$B$26,MATCH(I121,Parametros!$A$21:$A$26,0)),0)</f>
        <v>0.3</v>
      </c>
      <c r="U121" s="28">
        <f t="shared" si="5"/>
        <v>3.55</v>
      </c>
      <c r="V121" s="9">
        <f>IF(U121&gt;=Parametros!$B$14,4,IF(U121&gt;=Parametros!$B$13,3,IF(U121&gt;=Parametros!$B$12,2,1)))</f>
        <v>3</v>
      </c>
      <c r="W121" s="5">
        <f>MAX(V121,IF(K121=5,Parametros!$B$17,0),IF(P121="Sim",Parametros!$B$18,0))</f>
        <v>3</v>
      </c>
      <c r="X121" s="5" t="str">
        <f t="shared" si="6"/>
        <v>Alta</v>
      </c>
      <c r="Y121" s="29">
        <f t="shared" si="7"/>
        <v>3035.2998790000001</v>
      </c>
      <c r="Z121" s="4" t="s">
        <v>346</v>
      </c>
    </row>
    <row r="122" spans="1:26" ht="28.05" customHeight="1" x14ac:dyDescent="0.3">
      <c r="A122" s="5">
        <f t="shared" si="4"/>
        <v>118</v>
      </c>
      <c r="B122" s="23" t="s">
        <v>540</v>
      </c>
      <c r="C122" s="17" t="s">
        <v>264</v>
      </c>
      <c r="D122" s="4" t="s">
        <v>55</v>
      </c>
      <c r="E122" s="4" t="s">
        <v>77</v>
      </c>
      <c r="F122" s="4" t="s">
        <v>533</v>
      </c>
      <c r="G122" s="4" t="s">
        <v>112</v>
      </c>
      <c r="H122" s="4" t="s">
        <v>108</v>
      </c>
      <c r="I122" s="24" t="s">
        <v>109</v>
      </c>
      <c r="J122" s="15">
        <v>3</v>
      </c>
      <c r="K122" s="15">
        <v>4</v>
      </c>
      <c r="L122" s="15">
        <v>4</v>
      </c>
      <c r="M122" s="15">
        <v>2</v>
      </c>
      <c r="N122" s="15">
        <v>2</v>
      </c>
      <c r="O122" s="15">
        <v>3</v>
      </c>
      <c r="P122" s="15" t="s">
        <v>415</v>
      </c>
      <c r="Q122" s="23" t="s">
        <v>416</v>
      </c>
      <c r="R122" s="25">
        <f>ROUND((K122*Parametros!$B$4+L122*Parametros!$B$5+M122*Parametros!$B$6+N122*Parametros!$B$7+O122*Parametros!$B$8)/SUM(Parametros!$B$4:$B$8),2)</f>
        <v>3.15</v>
      </c>
      <c r="S122" s="26">
        <f>IFERROR(INDEX(Parametros!$F$33:$F$42,MATCH(D122,Parametros!$A$33:$A$42,0)),1)</f>
        <v>1.034</v>
      </c>
      <c r="T122" s="27">
        <f>IFERROR(INDEX(Parametros!$B$21:$B$26,MATCH(I122,Parametros!$A$21:$A$26,0)),0)</f>
        <v>0.3</v>
      </c>
      <c r="U122" s="28">
        <f t="shared" si="5"/>
        <v>3.56</v>
      </c>
      <c r="V122" s="9">
        <f>IF(U122&gt;=Parametros!$B$14,4,IF(U122&gt;=Parametros!$B$13,3,IF(U122&gt;=Parametros!$B$12,2,1)))</f>
        <v>3</v>
      </c>
      <c r="W122" s="5">
        <f>MAX(V122,IF(K122=5,Parametros!$B$17,0),IF(P122="Sim",Parametros!$B$18,0))</f>
        <v>3</v>
      </c>
      <c r="X122" s="5" t="str">
        <f t="shared" si="6"/>
        <v>Alta</v>
      </c>
      <c r="Y122" s="29">
        <f t="shared" si="7"/>
        <v>3035.2998779999998</v>
      </c>
      <c r="Z122" s="4" t="s">
        <v>164</v>
      </c>
    </row>
    <row r="123" spans="1:26" ht="28.05" customHeight="1" x14ac:dyDescent="0.3">
      <c r="A123" s="5">
        <f t="shared" si="4"/>
        <v>119</v>
      </c>
      <c r="B123" s="23" t="s">
        <v>541</v>
      </c>
      <c r="C123" s="17" t="s">
        <v>265</v>
      </c>
      <c r="D123" s="4" t="s">
        <v>55</v>
      </c>
      <c r="E123" s="4" t="s">
        <v>77</v>
      </c>
      <c r="F123" s="4" t="s">
        <v>533</v>
      </c>
      <c r="G123" s="4" t="s">
        <v>112</v>
      </c>
      <c r="H123" s="4" t="s">
        <v>108</v>
      </c>
      <c r="I123" s="24" t="s">
        <v>109</v>
      </c>
      <c r="J123" s="15">
        <v>3</v>
      </c>
      <c r="K123" s="15">
        <v>4</v>
      </c>
      <c r="L123" s="15">
        <v>4</v>
      </c>
      <c r="M123" s="15">
        <v>2</v>
      </c>
      <c r="N123" s="15">
        <v>2</v>
      </c>
      <c r="O123" s="15">
        <v>3</v>
      </c>
      <c r="P123" s="15" t="s">
        <v>415</v>
      </c>
      <c r="Q123" s="23" t="s">
        <v>416</v>
      </c>
      <c r="R123" s="25">
        <f>ROUND((K123*Parametros!$B$4+L123*Parametros!$B$5+M123*Parametros!$B$6+N123*Parametros!$B$7+O123*Parametros!$B$8)/SUM(Parametros!$B$4:$B$8),2)</f>
        <v>3.15</v>
      </c>
      <c r="S123" s="26">
        <f>IFERROR(INDEX(Parametros!$F$33:$F$42,MATCH(D123,Parametros!$A$33:$A$42,0)),1)</f>
        <v>1.034</v>
      </c>
      <c r="T123" s="27">
        <f>IFERROR(INDEX(Parametros!$B$21:$B$26,MATCH(I123,Parametros!$A$21:$A$26,0)),0)</f>
        <v>0.3</v>
      </c>
      <c r="U123" s="28">
        <f t="shared" si="5"/>
        <v>3.56</v>
      </c>
      <c r="V123" s="9">
        <f>IF(U123&gt;=Parametros!$B$14,4,IF(U123&gt;=Parametros!$B$13,3,IF(U123&gt;=Parametros!$B$12,2,1)))</f>
        <v>3</v>
      </c>
      <c r="W123" s="5">
        <f>MAX(V123,IF(K123=5,Parametros!$B$17,0),IF(P123="Sim",Parametros!$B$18,0))</f>
        <v>3</v>
      </c>
      <c r="X123" s="5" t="str">
        <f t="shared" si="6"/>
        <v>Alta</v>
      </c>
      <c r="Y123" s="29">
        <f t="shared" si="7"/>
        <v>3035.2998769999999</v>
      </c>
      <c r="Z123" s="4" t="s">
        <v>164</v>
      </c>
    </row>
    <row r="124" spans="1:26" ht="28.05" customHeight="1" x14ac:dyDescent="0.3">
      <c r="A124" s="5">
        <f t="shared" si="4"/>
        <v>120</v>
      </c>
      <c r="B124" s="23" t="s">
        <v>542</v>
      </c>
      <c r="C124" s="17" t="s">
        <v>266</v>
      </c>
      <c r="D124" s="4" t="s">
        <v>55</v>
      </c>
      <c r="E124" s="4" t="s">
        <v>68</v>
      </c>
      <c r="F124" s="4" t="s">
        <v>68</v>
      </c>
      <c r="G124" s="4" t="s">
        <v>112</v>
      </c>
      <c r="H124" s="4" t="s">
        <v>108</v>
      </c>
      <c r="I124" s="24" t="s">
        <v>122</v>
      </c>
      <c r="J124" s="15">
        <v>4</v>
      </c>
      <c r="K124" s="15">
        <v>4</v>
      </c>
      <c r="L124" s="15">
        <v>4</v>
      </c>
      <c r="M124" s="15">
        <v>2</v>
      </c>
      <c r="N124" s="15">
        <v>3</v>
      </c>
      <c r="O124" s="15">
        <v>4</v>
      </c>
      <c r="P124" s="15" t="s">
        <v>415</v>
      </c>
      <c r="Q124" s="23" t="s">
        <v>416</v>
      </c>
      <c r="R124" s="25">
        <f>ROUND((K124*Parametros!$B$4+L124*Parametros!$B$5+M124*Parametros!$B$6+N124*Parametros!$B$7+O124*Parametros!$B$8)/SUM(Parametros!$B$4:$B$8),2)</f>
        <v>3.45</v>
      </c>
      <c r="S124" s="26">
        <f>IFERROR(INDEX(Parametros!$F$33:$F$42,MATCH(D124,Parametros!$A$33:$A$42,0)),1)</f>
        <v>1.034</v>
      </c>
      <c r="T124" s="27">
        <f>IFERROR(INDEX(Parametros!$B$21:$B$26,MATCH(I124,Parametros!$A$21:$A$26,0)),0)</f>
        <v>0</v>
      </c>
      <c r="U124" s="28">
        <f t="shared" si="5"/>
        <v>3.57</v>
      </c>
      <c r="V124" s="9">
        <f>IF(U124&gt;=Parametros!$B$14,4,IF(U124&gt;=Parametros!$B$13,3,IF(U124&gt;=Parametros!$B$12,2,1)))</f>
        <v>3</v>
      </c>
      <c r="W124" s="5">
        <f>MAX(V124,IF(K124=5,Parametros!$B$17,0),IF(P124="Sim",Parametros!$B$18,0))</f>
        <v>3</v>
      </c>
      <c r="X124" s="5" t="str">
        <f t="shared" si="6"/>
        <v>Alta</v>
      </c>
      <c r="Y124" s="29">
        <f t="shared" si="7"/>
        <v>3035.2998759999996</v>
      </c>
      <c r="Z124" s="4" t="s">
        <v>224</v>
      </c>
    </row>
    <row r="125" spans="1:26" ht="28.05" customHeight="1" x14ac:dyDescent="0.3">
      <c r="A125" s="5">
        <f t="shared" si="4"/>
        <v>121</v>
      </c>
      <c r="B125" s="23" t="s">
        <v>543</v>
      </c>
      <c r="C125" s="17" t="s">
        <v>267</v>
      </c>
      <c r="D125" s="4" t="s">
        <v>55</v>
      </c>
      <c r="E125" s="4" t="s">
        <v>77</v>
      </c>
      <c r="F125" s="4" t="s">
        <v>533</v>
      </c>
      <c r="G125" s="4" t="s">
        <v>112</v>
      </c>
      <c r="H125" s="4" t="s">
        <v>108</v>
      </c>
      <c r="I125" s="24" t="s">
        <v>109</v>
      </c>
      <c r="J125" s="15">
        <v>3</v>
      </c>
      <c r="K125" s="15">
        <v>4</v>
      </c>
      <c r="L125" s="15">
        <v>4</v>
      </c>
      <c r="M125" s="15">
        <v>2</v>
      </c>
      <c r="N125" s="15">
        <v>2</v>
      </c>
      <c r="O125" s="15">
        <v>3</v>
      </c>
      <c r="P125" s="15" t="s">
        <v>415</v>
      </c>
      <c r="Q125" s="23" t="s">
        <v>416</v>
      </c>
      <c r="R125" s="25">
        <f>ROUND((K125*Parametros!$B$4+L125*Parametros!$B$5+M125*Parametros!$B$6+N125*Parametros!$B$7+O125*Parametros!$B$8)/SUM(Parametros!$B$4:$B$8),2)</f>
        <v>3.15</v>
      </c>
      <c r="S125" s="26">
        <f>IFERROR(INDEX(Parametros!$F$33:$F$42,MATCH(D125,Parametros!$A$33:$A$42,0)),1)</f>
        <v>1.034</v>
      </c>
      <c r="T125" s="27">
        <f>IFERROR(INDEX(Parametros!$B$21:$B$26,MATCH(I125,Parametros!$A$21:$A$26,0)),0)</f>
        <v>0.3</v>
      </c>
      <c r="U125" s="28">
        <f t="shared" si="5"/>
        <v>3.56</v>
      </c>
      <c r="V125" s="9">
        <f>IF(U125&gt;=Parametros!$B$14,4,IF(U125&gt;=Parametros!$B$13,3,IF(U125&gt;=Parametros!$B$12,2,1)))</f>
        <v>3</v>
      </c>
      <c r="W125" s="5">
        <f>MAX(V125,IF(K125=5,Parametros!$B$17,0),IF(P125="Sim",Parametros!$B$18,0))</f>
        <v>3</v>
      </c>
      <c r="X125" s="5" t="str">
        <f t="shared" si="6"/>
        <v>Alta</v>
      </c>
      <c r="Y125" s="29">
        <f t="shared" si="7"/>
        <v>3035.2998749999997</v>
      </c>
      <c r="Z125" s="4" t="s">
        <v>164</v>
      </c>
    </row>
    <row r="126" spans="1:26" ht="28.05" customHeight="1" x14ac:dyDescent="0.3">
      <c r="A126" s="5">
        <f t="shared" si="4"/>
        <v>122</v>
      </c>
      <c r="B126" s="23" t="s">
        <v>544</v>
      </c>
      <c r="C126" s="17" t="s">
        <v>347</v>
      </c>
      <c r="D126" s="4" t="s">
        <v>50</v>
      </c>
      <c r="E126" s="4" t="s">
        <v>65</v>
      </c>
      <c r="F126" s="4" t="s">
        <v>65</v>
      </c>
      <c r="G126" s="4" t="s">
        <v>171</v>
      </c>
      <c r="H126" s="4" t="s">
        <v>172</v>
      </c>
      <c r="I126" s="24" t="s">
        <v>109</v>
      </c>
      <c r="J126" s="15">
        <v>3</v>
      </c>
      <c r="K126" s="15">
        <v>3</v>
      </c>
      <c r="L126" s="15">
        <v>3</v>
      </c>
      <c r="M126" s="15">
        <v>3</v>
      </c>
      <c r="N126" s="15">
        <v>3</v>
      </c>
      <c r="O126" s="15">
        <v>3</v>
      </c>
      <c r="P126" s="15" t="s">
        <v>415</v>
      </c>
      <c r="Q126" s="23" t="s">
        <v>416</v>
      </c>
      <c r="R126" s="25">
        <f>ROUND((K126*Parametros!$B$4+L126*Parametros!$B$5+M126*Parametros!$B$6+N126*Parametros!$B$7+O126*Parametros!$B$8)/SUM(Parametros!$B$4:$B$8),2)</f>
        <v>3</v>
      </c>
      <c r="S126" s="26">
        <f>IFERROR(INDEX(Parametros!$F$33:$F$42,MATCH(D126,Parametros!$A$33:$A$42,0)),1)</f>
        <v>1.0840000000000001</v>
      </c>
      <c r="T126" s="27">
        <f>IFERROR(INDEX(Parametros!$B$21:$B$26,MATCH(I126,Parametros!$A$21:$A$26,0)),0)</f>
        <v>0.3</v>
      </c>
      <c r="U126" s="28">
        <f t="shared" si="5"/>
        <v>3.55</v>
      </c>
      <c r="V126" s="9">
        <f>IF(U126&gt;=Parametros!$B$14,4,IF(U126&gt;=Parametros!$B$13,3,IF(U126&gt;=Parametros!$B$12,2,1)))</f>
        <v>3</v>
      </c>
      <c r="W126" s="5">
        <f>MAX(V126,IF(K126=5,Parametros!$B$17,0),IF(P126="Sim",Parametros!$B$18,0))</f>
        <v>3</v>
      </c>
      <c r="X126" s="5" t="str">
        <f t="shared" si="6"/>
        <v>Alta</v>
      </c>
      <c r="Y126" s="29">
        <f t="shared" si="7"/>
        <v>3035.1998739999999</v>
      </c>
      <c r="Z126" s="4" t="s">
        <v>348</v>
      </c>
    </row>
    <row r="127" spans="1:26" ht="28.05" customHeight="1" x14ac:dyDescent="0.3">
      <c r="A127" s="5">
        <f t="shared" si="4"/>
        <v>123</v>
      </c>
      <c r="B127" s="23" t="s">
        <v>545</v>
      </c>
      <c r="C127" s="17" t="s">
        <v>268</v>
      </c>
      <c r="D127" s="4" t="s">
        <v>55</v>
      </c>
      <c r="E127" s="4" t="s">
        <v>69</v>
      </c>
      <c r="F127" s="4" t="s">
        <v>69</v>
      </c>
      <c r="G127" s="4" t="s">
        <v>134</v>
      </c>
      <c r="H127" s="4" t="s">
        <v>108</v>
      </c>
      <c r="I127" s="24" t="s">
        <v>152</v>
      </c>
      <c r="J127" s="15">
        <v>2</v>
      </c>
      <c r="K127" s="15">
        <v>4</v>
      </c>
      <c r="L127" s="15">
        <v>4</v>
      </c>
      <c r="M127" s="15">
        <v>1</v>
      </c>
      <c r="N127" s="15">
        <v>4</v>
      </c>
      <c r="O127" s="15">
        <v>4</v>
      </c>
      <c r="P127" s="15" t="s">
        <v>415</v>
      </c>
      <c r="Q127" s="23" t="s">
        <v>416</v>
      </c>
      <c r="R127" s="25">
        <f>ROUND((K127*Parametros!$B$4+L127*Parametros!$B$5+M127*Parametros!$B$6+N127*Parametros!$B$7+O127*Parametros!$B$8)/SUM(Parametros!$B$4:$B$8),2)</f>
        <v>3.4</v>
      </c>
      <c r="S127" s="26">
        <f>IFERROR(INDEX(Parametros!$F$33:$F$42,MATCH(D127,Parametros!$A$33:$A$42,0)),1)</f>
        <v>1.034</v>
      </c>
      <c r="T127" s="27">
        <f>IFERROR(INDEX(Parametros!$B$21:$B$26,MATCH(I127,Parametros!$A$21:$A$26,0)),0)</f>
        <v>0</v>
      </c>
      <c r="U127" s="28">
        <f t="shared" si="5"/>
        <v>3.52</v>
      </c>
      <c r="V127" s="9">
        <f>IF(U127&gt;=Parametros!$B$14,4,IF(U127&gt;=Parametros!$B$13,3,IF(U127&gt;=Parametros!$B$12,2,1)))</f>
        <v>3</v>
      </c>
      <c r="W127" s="5">
        <f>MAX(V127,IF(K127=5,Parametros!$B$17,0),IF(P127="Sim",Parametros!$B$18,0))</f>
        <v>3</v>
      </c>
      <c r="X127" s="5" t="str">
        <f t="shared" si="6"/>
        <v>Alta</v>
      </c>
      <c r="Y127" s="29">
        <f t="shared" si="7"/>
        <v>3034.9998730000002</v>
      </c>
      <c r="Z127" s="4" t="s">
        <v>158</v>
      </c>
    </row>
    <row r="128" spans="1:26" ht="28.05" customHeight="1" x14ac:dyDescent="0.3">
      <c r="A128" s="5">
        <f t="shared" si="4"/>
        <v>124</v>
      </c>
      <c r="B128" s="23" t="s">
        <v>546</v>
      </c>
      <c r="C128" s="17" t="s">
        <v>349</v>
      </c>
      <c r="D128" s="4" t="s">
        <v>54</v>
      </c>
      <c r="E128" s="4" t="s">
        <v>66</v>
      </c>
      <c r="F128" s="4" t="s">
        <v>66</v>
      </c>
      <c r="G128" s="4" t="s">
        <v>171</v>
      </c>
      <c r="H128" s="4" t="s">
        <v>172</v>
      </c>
      <c r="I128" s="24" t="s">
        <v>152</v>
      </c>
      <c r="J128" s="15">
        <v>2</v>
      </c>
      <c r="K128" s="15">
        <v>3</v>
      </c>
      <c r="L128" s="15">
        <v>4</v>
      </c>
      <c r="M128" s="15">
        <v>4</v>
      </c>
      <c r="N128" s="15">
        <v>2</v>
      </c>
      <c r="O128" s="15">
        <v>4</v>
      </c>
      <c r="P128" s="15" t="s">
        <v>415</v>
      </c>
      <c r="Q128" s="23" t="s">
        <v>416</v>
      </c>
      <c r="R128" s="25">
        <f>ROUND((K128*Parametros!$B$4+L128*Parametros!$B$5+M128*Parametros!$B$6+N128*Parametros!$B$7+O128*Parametros!$B$8)/SUM(Parametros!$B$4:$B$8),2)</f>
        <v>3.4</v>
      </c>
      <c r="S128" s="26">
        <f>IFERROR(INDEX(Parametros!$F$33:$F$42,MATCH(D128,Parametros!$A$33:$A$42,0)),1)</f>
        <v>1.034</v>
      </c>
      <c r="T128" s="27">
        <f>IFERROR(INDEX(Parametros!$B$21:$B$26,MATCH(I128,Parametros!$A$21:$A$26,0)),0)</f>
        <v>0</v>
      </c>
      <c r="U128" s="28">
        <f t="shared" si="5"/>
        <v>3.52</v>
      </c>
      <c r="V128" s="9">
        <f>IF(U128&gt;=Parametros!$B$14,4,IF(U128&gt;=Parametros!$B$13,3,IF(U128&gt;=Parametros!$B$12,2,1)))</f>
        <v>3</v>
      </c>
      <c r="W128" s="5">
        <f>MAX(V128,IF(K128=5,Parametros!$B$17,0),IF(P128="Sim",Parametros!$B$18,0))</f>
        <v>3</v>
      </c>
      <c r="X128" s="5" t="str">
        <f t="shared" si="6"/>
        <v>Alta</v>
      </c>
      <c r="Y128" s="29">
        <f t="shared" si="7"/>
        <v>3034.9998719999999</v>
      </c>
      <c r="Z128" s="4" t="s">
        <v>246</v>
      </c>
    </row>
    <row r="129" spans="1:26" ht="28.05" customHeight="1" x14ac:dyDescent="0.3">
      <c r="A129" s="5">
        <f t="shared" si="4"/>
        <v>125</v>
      </c>
      <c r="B129" s="23" t="s">
        <v>547</v>
      </c>
      <c r="C129" s="17" t="s">
        <v>350</v>
      </c>
      <c r="D129" s="4" t="s">
        <v>54</v>
      </c>
      <c r="E129" s="4" t="s">
        <v>63</v>
      </c>
      <c r="F129" s="4" t="s">
        <v>63</v>
      </c>
      <c r="G129" s="4" t="s">
        <v>184</v>
      </c>
      <c r="H129" s="4" t="s">
        <v>185</v>
      </c>
      <c r="I129" s="24" t="s">
        <v>109</v>
      </c>
      <c r="J129" s="15">
        <v>2</v>
      </c>
      <c r="K129" s="15">
        <v>4</v>
      </c>
      <c r="L129" s="15">
        <v>3</v>
      </c>
      <c r="M129" s="15">
        <v>2</v>
      </c>
      <c r="N129" s="15">
        <v>3</v>
      </c>
      <c r="O129" s="15">
        <v>3</v>
      </c>
      <c r="P129" s="15" t="s">
        <v>415</v>
      </c>
      <c r="Q129" s="23" t="s">
        <v>416</v>
      </c>
      <c r="R129" s="25">
        <f>ROUND((K129*Parametros!$B$4+L129*Parametros!$B$5+M129*Parametros!$B$6+N129*Parametros!$B$7+O129*Parametros!$B$8)/SUM(Parametros!$B$4:$B$8),2)</f>
        <v>3.1</v>
      </c>
      <c r="S129" s="26">
        <f>IFERROR(INDEX(Parametros!$F$33:$F$42,MATCH(D129,Parametros!$A$33:$A$42,0)),1)</f>
        <v>1.034</v>
      </c>
      <c r="T129" s="27">
        <f>IFERROR(INDEX(Parametros!$B$21:$B$26,MATCH(I129,Parametros!$A$21:$A$26,0)),0)</f>
        <v>0.3</v>
      </c>
      <c r="U129" s="28">
        <f t="shared" si="5"/>
        <v>3.51</v>
      </c>
      <c r="V129" s="9">
        <f>IF(U129&gt;=Parametros!$B$14,4,IF(U129&gt;=Parametros!$B$13,3,IF(U129&gt;=Parametros!$B$12,2,1)))</f>
        <v>3</v>
      </c>
      <c r="W129" s="5">
        <f>MAX(V129,IF(K129=5,Parametros!$B$17,0),IF(P129="Sim",Parametros!$B$18,0))</f>
        <v>3</v>
      </c>
      <c r="X129" s="5" t="str">
        <f t="shared" si="6"/>
        <v>Alta</v>
      </c>
      <c r="Y129" s="29">
        <f t="shared" si="7"/>
        <v>3034.8998710000001</v>
      </c>
      <c r="Z129" s="4" t="s">
        <v>351</v>
      </c>
    </row>
    <row r="130" spans="1:26" ht="28.05" customHeight="1" x14ac:dyDescent="0.3">
      <c r="A130" s="5">
        <f t="shared" si="4"/>
        <v>126</v>
      </c>
      <c r="B130" s="23" t="s">
        <v>548</v>
      </c>
      <c r="C130" s="17" t="s">
        <v>352</v>
      </c>
      <c r="D130" s="4" t="s">
        <v>54</v>
      </c>
      <c r="E130" s="4" t="s">
        <v>72</v>
      </c>
      <c r="F130" s="4" t="s">
        <v>72</v>
      </c>
      <c r="G130" s="4" t="s">
        <v>171</v>
      </c>
      <c r="H130" s="4" t="s">
        <v>172</v>
      </c>
      <c r="I130" s="24" t="s">
        <v>109</v>
      </c>
      <c r="J130" s="15">
        <v>2</v>
      </c>
      <c r="K130" s="15">
        <v>4</v>
      </c>
      <c r="L130" s="15">
        <v>3</v>
      </c>
      <c r="M130" s="15">
        <v>2</v>
      </c>
      <c r="N130" s="15">
        <v>3</v>
      </c>
      <c r="O130" s="15">
        <v>3</v>
      </c>
      <c r="P130" s="15" t="s">
        <v>415</v>
      </c>
      <c r="Q130" s="23" t="s">
        <v>416</v>
      </c>
      <c r="R130" s="25">
        <f>ROUND((K130*Parametros!$B$4+L130*Parametros!$B$5+M130*Parametros!$B$6+N130*Parametros!$B$7+O130*Parametros!$B$8)/SUM(Parametros!$B$4:$B$8),2)</f>
        <v>3.1</v>
      </c>
      <c r="S130" s="26">
        <f>IFERROR(INDEX(Parametros!$F$33:$F$42,MATCH(D130,Parametros!$A$33:$A$42,0)),1)</f>
        <v>1.034</v>
      </c>
      <c r="T130" s="27">
        <f>IFERROR(INDEX(Parametros!$B$21:$B$26,MATCH(I130,Parametros!$A$21:$A$26,0)),0)</f>
        <v>0.3</v>
      </c>
      <c r="U130" s="28">
        <f t="shared" si="5"/>
        <v>3.51</v>
      </c>
      <c r="V130" s="9">
        <f>IF(U130&gt;=Parametros!$B$14,4,IF(U130&gt;=Parametros!$B$13,3,IF(U130&gt;=Parametros!$B$12,2,1)))</f>
        <v>3</v>
      </c>
      <c r="W130" s="5">
        <f>MAX(V130,IF(K130=5,Parametros!$B$17,0),IF(P130="Sim",Parametros!$B$18,0))</f>
        <v>3</v>
      </c>
      <c r="X130" s="5" t="str">
        <f t="shared" si="6"/>
        <v>Alta</v>
      </c>
      <c r="Y130" s="29">
        <f t="shared" si="7"/>
        <v>3034.8998700000002</v>
      </c>
      <c r="Z130" s="4" t="s">
        <v>351</v>
      </c>
    </row>
    <row r="131" spans="1:26" ht="28.05" customHeight="1" x14ac:dyDescent="0.3">
      <c r="A131" s="5">
        <f t="shared" si="4"/>
        <v>127</v>
      </c>
      <c r="B131" s="23" t="s">
        <v>549</v>
      </c>
      <c r="C131" s="17" t="s">
        <v>269</v>
      </c>
      <c r="D131" s="4" t="s">
        <v>55</v>
      </c>
      <c r="E131" s="4" t="s">
        <v>76</v>
      </c>
      <c r="F131" s="4" t="s">
        <v>76</v>
      </c>
      <c r="G131" s="4" t="s">
        <v>112</v>
      </c>
      <c r="H131" s="4" t="s">
        <v>108</v>
      </c>
      <c r="I131" s="24" t="s">
        <v>152</v>
      </c>
      <c r="J131" s="15">
        <v>3</v>
      </c>
      <c r="K131" s="15">
        <v>4</v>
      </c>
      <c r="L131" s="15">
        <v>4</v>
      </c>
      <c r="M131" s="15">
        <v>1</v>
      </c>
      <c r="N131" s="15">
        <v>4</v>
      </c>
      <c r="O131" s="15">
        <v>4</v>
      </c>
      <c r="P131" s="15" t="s">
        <v>415</v>
      </c>
      <c r="Q131" s="23" t="s">
        <v>416</v>
      </c>
      <c r="R131" s="25">
        <f>ROUND((K131*Parametros!$B$4+L131*Parametros!$B$5+M131*Parametros!$B$6+N131*Parametros!$B$7+O131*Parametros!$B$8)/SUM(Parametros!$B$4:$B$8),2)</f>
        <v>3.4</v>
      </c>
      <c r="S131" s="26">
        <f>IFERROR(INDEX(Parametros!$F$33:$F$42,MATCH(D131,Parametros!$A$33:$A$42,0)),1)</f>
        <v>1.034</v>
      </c>
      <c r="T131" s="27">
        <f>IFERROR(INDEX(Parametros!$B$21:$B$26,MATCH(I131,Parametros!$A$21:$A$26,0)),0)</f>
        <v>0</v>
      </c>
      <c r="U131" s="28">
        <f t="shared" si="5"/>
        <v>3.52</v>
      </c>
      <c r="V131" s="9">
        <f>IF(U131&gt;=Parametros!$B$14,4,IF(U131&gt;=Parametros!$B$13,3,IF(U131&gt;=Parametros!$B$12,2,1)))</f>
        <v>3</v>
      </c>
      <c r="W131" s="5">
        <f>MAX(V131,IF(K131=5,Parametros!$B$17,0),IF(P131="Sim",Parametros!$B$18,0))</f>
        <v>3</v>
      </c>
      <c r="X131" s="5" t="str">
        <f t="shared" si="6"/>
        <v>Alta</v>
      </c>
      <c r="Y131" s="29">
        <f t="shared" si="7"/>
        <v>3034.8998689999999</v>
      </c>
      <c r="Z131" s="4" t="s">
        <v>158</v>
      </c>
    </row>
    <row r="132" spans="1:26" ht="28.05" customHeight="1" x14ac:dyDescent="0.3">
      <c r="A132" s="5">
        <f t="shared" si="4"/>
        <v>128</v>
      </c>
      <c r="B132" s="23" t="s">
        <v>550</v>
      </c>
      <c r="C132" s="17" t="s">
        <v>270</v>
      </c>
      <c r="D132" s="4" t="s">
        <v>55</v>
      </c>
      <c r="E132" s="4" t="s">
        <v>79</v>
      </c>
      <c r="F132" s="4" t="s">
        <v>79</v>
      </c>
      <c r="G132" s="4" t="s">
        <v>134</v>
      </c>
      <c r="H132" s="4" t="s">
        <v>108</v>
      </c>
      <c r="I132" s="24" t="s">
        <v>152</v>
      </c>
      <c r="J132" s="15">
        <v>3</v>
      </c>
      <c r="K132" s="15">
        <v>4</v>
      </c>
      <c r="L132" s="15">
        <v>4</v>
      </c>
      <c r="M132" s="15">
        <v>1</v>
      </c>
      <c r="N132" s="15">
        <v>4</v>
      </c>
      <c r="O132" s="15">
        <v>4</v>
      </c>
      <c r="P132" s="15" t="s">
        <v>415</v>
      </c>
      <c r="Q132" s="23" t="s">
        <v>416</v>
      </c>
      <c r="R132" s="25">
        <f>ROUND((K132*Parametros!$B$4+L132*Parametros!$B$5+M132*Parametros!$B$6+N132*Parametros!$B$7+O132*Parametros!$B$8)/SUM(Parametros!$B$4:$B$8),2)</f>
        <v>3.4</v>
      </c>
      <c r="S132" s="26">
        <f>IFERROR(INDEX(Parametros!$F$33:$F$42,MATCH(D132,Parametros!$A$33:$A$42,0)),1)</f>
        <v>1.034</v>
      </c>
      <c r="T132" s="27">
        <f>IFERROR(INDEX(Parametros!$B$21:$B$26,MATCH(I132,Parametros!$A$21:$A$26,0)),0)</f>
        <v>0</v>
      </c>
      <c r="U132" s="28">
        <f t="shared" si="5"/>
        <v>3.52</v>
      </c>
      <c r="V132" s="9">
        <f>IF(U132&gt;=Parametros!$B$14,4,IF(U132&gt;=Parametros!$B$13,3,IF(U132&gt;=Parametros!$B$12,2,1)))</f>
        <v>3</v>
      </c>
      <c r="W132" s="5">
        <f>MAX(V132,IF(K132=5,Parametros!$B$17,0),IF(P132="Sim",Parametros!$B$18,0))</f>
        <v>3</v>
      </c>
      <c r="X132" s="5" t="str">
        <f t="shared" si="6"/>
        <v>Alta</v>
      </c>
      <c r="Y132" s="29">
        <f t="shared" si="7"/>
        <v>3034.8998679999995</v>
      </c>
      <c r="Z132" s="4" t="s">
        <v>158</v>
      </c>
    </row>
    <row r="133" spans="1:26" ht="28.05" customHeight="1" x14ac:dyDescent="0.3">
      <c r="A133" s="5">
        <f t="shared" ref="A133:A196" si="8">IF(Y133="","",COUNTIF($Y$5:$Y$983,"&gt;"&amp;Y133)+1)</f>
        <v>129</v>
      </c>
      <c r="B133" s="23" t="s">
        <v>551</v>
      </c>
      <c r="C133" s="17" t="s">
        <v>271</v>
      </c>
      <c r="D133" s="4" t="s">
        <v>49</v>
      </c>
      <c r="E133" s="4" t="s">
        <v>81</v>
      </c>
      <c r="F133" s="4" t="s">
        <v>81</v>
      </c>
      <c r="G133" s="4" t="s">
        <v>107</v>
      </c>
      <c r="H133" s="4" t="s">
        <v>108</v>
      </c>
      <c r="I133" s="24" t="s">
        <v>122</v>
      </c>
      <c r="J133" s="15">
        <v>3</v>
      </c>
      <c r="K133" s="15">
        <v>3</v>
      </c>
      <c r="L133" s="15">
        <v>3</v>
      </c>
      <c r="M133" s="15">
        <v>4</v>
      </c>
      <c r="N133" s="15">
        <v>2</v>
      </c>
      <c r="O133" s="15">
        <v>4</v>
      </c>
      <c r="P133" s="15" t="s">
        <v>415</v>
      </c>
      <c r="Q133" s="23" t="s">
        <v>416</v>
      </c>
      <c r="R133" s="25">
        <f>ROUND((K133*Parametros!$B$4+L133*Parametros!$B$5+M133*Parametros!$B$6+N133*Parametros!$B$7+O133*Parametros!$B$8)/SUM(Parametros!$B$4:$B$8),2)</f>
        <v>3.2</v>
      </c>
      <c r="S133" s="26">
        <f>IFERROR(INDEX(Parametros!$F$33:$F$42,MATCH(D133,Parametros!$A$33:$A$42,0)),1)</f>
        <v>1.1000000000000001</v>
      </c>
      <c r="T133" s="27">
        <f>IFERROR(INDEX(Parametros!$B$21:$B$26,MATCH(I133,Parametros!$A$21:$A$26,0)),0)</f>
        <v>0</v>
      </c>
      <c r="U133" s="28">
        <f t="shared" ref="U133:U196" si="9">ROUND(R133*S133+T133,2)</f>
        <v>3.52</v>
      </c>
      <c r="V133" s="9">
        <f>IF(U133&gt;=Parametros!$B$14,4,IF(U133&gt;=Parametros!$B$13,3,IF(U133&gt;=Parametros!$B$12,2,1)))</f>
        <v>3</v>
      </c>
      <c r="W133" s="5">
        <f>MAX(V133,IF(K133=5,Parametros!$B$17,0),IF(P133="Sim",Parametros!$B$18,0))</f>
        <v>3</v>
      </c>
      <c r="X133" s="5" t="str">
        <f t="shared" ref="X133:X196" si="10">CHOOSE(W133,"Baixa","Normal","Alta","Urgente")</f>
        <v>Alta</v>
      </c>
      <c r="Y133" s="29">
        <f t="shared" ref="Y133:Y196" si="11">W133*1000+U133*10-J133/10-ROW()/1000000</f>
        <v>3034.8998669999996</v>
      </c>
      <c r="Z133" s="4" t="s">
        <v>272</v>
      </c>
    </row>
    <row r="134" spans="1:26" ht="28.05" customHeight="1" x14ac:dyDescent="0.3">
      <c r="A134" s="5">
        <f t="shared" si="8"/>
        <v>130</v>
      </c>
      <c r="B134" s="23" t="s">
        <v>552</v>
      </c>
      <c r="C134" s="17" t="s">
        <v>273</v>
      </c>
      <c r="D134" s="4" t="s">
        <v>50</v>
      </c>
      <c r="E134" s="4" t="s">
        <v>75</v>
      </c>
      <c r="F134" s="4" t="s">
        <v>75</v>
      </c>
      <c r="G134" s="4" t="s">
        <v>107</v>
      </c>
      <c r="H134" s="4" t="s">
        <v>108</v>
      </c>
      <c r="I134" s="24" t="s">
        <v>122</v>
      </c>
      <c r="J134" s="15">
        <v>3</v>
      </c>
      <c r="K134" s="15">
        <v>3</v>
      </c>
      <c r="L134" s="15">
        <v>4</v>
      </c>
      <c r="M134" s="15">
        <v>4</v>
      </c>
      <c r="N134" s="15">
        <v>2</v>
      </c>
      <c r="O134" s="15">
        <v>3</v>
      </c>
      <c r="P134" s="15" t="s">
        <v>415</v>
      </c>
      <c r="Q134" s="23" t="s">
        <v>416</v>
      </c>
      <c r="R134" s="25">
        <f>ROUND((K134*Parametros!$B$4+L134*Parametros!$B$5+M134*Parametros!$B$6+N134*Parametros!$B$7+O134*Parametros!$B$8)/SUM(Parametros!$B$4:$B$8),2)</f>
        <v>3.25</v>
      </c>
      <c r="S134" s="26">
        <f>IFERROR(INDEX(Parametros!$F$33:$F$42,MATCH(D134,Parametros!$A$33:$A$42,0)),1)</f>
        <v>1.0840000000000001</v>
      </c>
      <c r="T134" s="27">
        <f>IFERROR(INDEX(Parametros!$B$21:$B$26,MATCH(I134,Parametros!$A$21:$A$26,0)),0)</f>
        <v>0</v>
      </c>
      <c r="U134" s="28">
        <f t="shared" si="9"/>
        <v>3.52</v>
      </c>
      <c r="V134" s="9">
        <f>IF(U134&gt;=Parametros!$B$14,4,IF(U134&gt;=Parametros!$B$13,3,IF(U134&gt;=Parametros!$B$12,2,1)))</f>
        <v>3</v>
      </c>
      <c r="W134" s="5">
        <f>MAX(V134,IF(K134=5,Parametros!$B$17,0),IF(P134="Sim",Parametros!$B$18,0))</f>
        <v>3</v>
      </c>
      <c r="X134" s="5" t="str">
        <f t="shared" si="10"/>
        <v>Alta</v>
      </c>
      <c r="Y134" s="29">
        <f t="shared" si="11"/>
        <v>3034.8998659999997</v>
      </c>
      <c r="Z134" s="4" t="s">
        <v>235</v>
      </c>
    </row>
    <row r="135" spans="1:26" ht="28.05" customHeight="1" x14ac:dyDescent="0.3">
      <c r="A135" s="5">
        <f t="shared" si="8"/>
        <v>131</v>
      </c>
      <c r="B135" s="23" t="s">
        <v>553</v>
      </c>
      <c r="C135" s="17" t="s">
        <v>274</v>
      </c>
      <c r="D135" s="4" t="s">
        <v>50</v>
      </c>
      <c r="E135" s="4" t="s">
        <v>86</v>
      </c>
      <c r="F135" s="4" t="s">
        <v>554</v>
      </c>
      <c r="G135" s="4" t="s">
        <v>107</v>
      </c>
      <c r="H135" s="4" t="s">
        <v>108</v>
      </c>
      <c r="I135" s="24" t="s">
        <v>152</v>
      </c>
      <c r="J135" s="15">
        <v>3</v>
      </c>
      <c r="K135" s="15">
        <v>3</v>
      </c>
      <c r="L135" s="15">
        <v>4</v>
      </c>
      <c r="M135" s="15">
        <v>4</v>
      </c>
      <c r="N135" s="15">
        <v>2</v>
      </c>
      <c r="O135" s="15">
        <v>3</v>
      </c>
      <c r="P135" s="15" t="s">
        <v>415</v>
      </c>
      <c r="Q135" s="23" t="s">
        <v>416</v>
      </c>
      <c r="R135" s="25">
        <f>ROUND((K135*Parametros!$B$4+L135*Parametros!$B$5+M135*Parametros!$B$6+N135*Parametros!$B$7+O135*Parametros!$B$8)/SUM(Parametros!$B$4:$B$8),2)</f>
        <v>3.25</v>
      </c>
      <c r="S135" s="26">
        <f>IFERROR(INDEX(Parametros!$F$33:$F$42,MATCH(D135,Parametros!$A$33:$A$42,0)),1)</f>
        <v>1.0840000000000001</v>
      </c>
      <c r="T135" s="27">
        <f>IFERROR(INDEX(Parametros!$B$21:$B$26,MATCH(I135,Parametros!$A$21:$A$26,0)),0)</f>
        <v>0</v>
      </c>
      <c r="U135" s="28">
        <f t="shared" si="9"/>
        <v>3.52</v>
      </c>
      <c r="V135" s="9">
        <f>IF(U135&gt;=Parametros!$B$14,4,IF(U135&gt;=Parametros!$B$13,3,IF(U135&gt;=Parametros!$B$12,2,1)))</f>
        <v>3</v>
      </c>
      <c r="W135" s="5">
        <f>MAX(V135,IF(K135=5,Parametros!$B$17,0),IF(P135="Sim",Parametros!$B$18,0))</f>
        <v>3</v>
      </c>
      <c r="X135" s="5" t="str">
        <f t="shared" si="10"/>
        <v>Alta</v>
      </c>
      <c r="Y135" s="29">
        <f t="shared" si="11"/>
        <v>3034.8998649999999</v>
      </c>
      <c r="Z135" s="4" t="s">
        <v>235</v>
      </c>
    </row>
    <row r="136" spans="1:26" ht="28.05" customHeight="1" x14ac:dyDescent="0.3">
      <c r="A136" s="5">
        <f t="shared" si="8"/>
        <v>132</v>
      </c>
      <c r="B136" s="23" t="s">
        <v>555</v>
      </c>
      <c r="C136" s="17" t="s">
        <v>353</v>
      </c>
      <c r="D136" s="4" t="s">
        <v>54</v>
      </c>
      <c r="E136" s="4" t="s">
        <v>72</v>
      </c>
      <c r="F136" s="4" t="s">
        <v>72</v>
      </c>
      <c r="G136" s="4" t="s">
        <v>171</v>
      </c>
      <c r="H136" s="4" t="s">
        <v>172</v>
      </c>
      <c r="I136" s="24" t="s">
        <v>152</v>
      </c>
      <c r="J136" s="15">
        <v>3</v>
      </c>
      <c r="K136" s="15">
        <v>4</v>
      </c>
      <c r="L136" s="15">
        <v>3</v>
      </c>
      <c r="M136" s="15">
        <v>2</v>
      </c>
      <c r="N136" s="15">
        <v>5</v>
      </c>
      <c r="O136" s="15">
        <v>3</v>
      </c>
      <c r="P136" s="15" t="s">
        <v>415</v>
      </c>
      <c r="Q136" s="23" t="s">
        <v>416</v>
      </c>
      <c r="R136" s="25">
        <f>ROUND((K136*Parametros!$B$4+L136*Parametros!$B$5+M136*Parametros!$B$6+N136*Parametros!$B$7+O136*Parametros!$B$8)/SUM(Parametros!$B$4:$B$8),2)</f>
        <v>3.4</v>
      </c>
      <c r="S136" s="26">
        <f>IFERROR(INDEX(Parametros!$F$33:$F$42,MATCH(D136,Parametros!$A$33:$A$42,0)),1)</f>
        <v>1.034</v>
      </c>
      <c r="T136" s="27">
        <f>IFERROR(INDEX(Parametros!$B$21:$B$26,MATCH(I136,Parametros!$A$21:$A$26,0)),0)</f>
        <v>0</v>
      </c>
      <c r="U136" s="28">
        <f t="shared" si="9"/>
        <v>3.52</v>
      </c>
      <c r="V136" s="9">
        <f>IF(U136&gt;=Parametros!$B$14,4,IF(U136&gt;=Parametros!$B$13,3,IF(U136&gt;=Parametros!$B$12,2,1)))</f>
        <v>3</v>
      </c>
      <c r="W136" s="5">
        <f>MAX(V136,IF(K136=5,Parametros!$B$17,0),IF(P136="Sim",Parametros!$B$18,0))</f>
        <v>3</v>
      </c>
      <c r="X136" s="5" t="str">
        <f t="shared" si="10"/>
        <v>Alta</v>
      </c>
      <c r="Y136" s="29">
        <f t="shared" si="11"/>
        <v>3034.8998639999995</v>
      </c>
      <c r="Z136" s="4" t="s">
        <v>354</v>
      </c>
    </row>
    <row r="137" spans="1:26" ht="28.05" customHeight="1" x14ac:dyDescent="0.3">
      <c r="A137" s="5">
        <f t="shared" si="8"/>
        <v>133</v>
      </c>
      <c r="B137" s="23" t="s">
        <v>556</v>
      </c>
      <c r="C137" s="17" t="s">
        <v>355</v>
      </c>
      <c r="D137" s="4" t="s">
        <v>52</v>
      </c>
      <c r="E137" s="4" t="s">
        <v>66</v>
      </c>
      <c r="F137" s="4" t="s">
        <v>66</v>
      </c>
      <c r="G137" s="4" t="s">
        <v>171</v>
      </c>
      <c r="H137" s="4" t="s">
        <v>172</v>
      </c>
      <c r="I137" s="24" t="s">
        <v>122</v>
      </c>
      <c r="J137" s="15">
        <v>3</v>
      </c>
      <c r="K137" s="15">
        <v>4</v>
      </c>
      <c r="L137" s="15">
        <v>4</v>
      </c>
      <c r="M137" s="15">
        <v>3</v>
      </c>
      <c r="N137" s="15">
        <v>2</v>
      </c>
      <c r="O137" s="15">
        <v>3</v>
      </c>
      <c r="P137" s="15" t="s">
        <v>415</v>
      </c>
      <c r="Q137" s="23" t="s">
        <v>416</v>
      </c>
      <c r="R137" s="25">
        <f>ROUND((K137*Parametros!$B$4+L137*Parametros!$B$5+M137*Parametros!$B$6+N137*Parametros!$B$7+O137*Parametros!$B$8)/SUM(Parametros!$B$4:$B$8),2)</f>
        <v>3.35</v>
      </c>
      <c r="S137" s="26">
        <f>IFERROR(INDEX(Parametros!$F$33:$F$42,MATCH(D137,Parametros!$A$33:$A$42,0)),1)</f>
        <v>1.05</v>
      </c>
      <c r="T137" s="27">
        <f>IFERROR(INDEX(Parametros!$B$21:$B$26,MATCH(I137,Parametros!$A$21:$A$26,0)),0)</f>
        <v>0</v>
      </c>
      <c r="U137" s="28">
        <f t="shared" si="9"/>
        <v>3.52</v>
      </c>
      <c r="V137" s="9">
        <f>IF(U137&gt;=Parametros!$B$14,4,IF(U137&gt;=Parametros!$B$13,3,IF(U137&gt;=Parametros!$B$12,2,1)))</f>
        <v>3</v>
      </c>
      <c r="W137" s="5">
        <f>MAX(V137,IF(K137=5,Parametros!$B$17,0),IF(P137="Sim",Parametros!$B$18,0))</f>
        <v>3</v>
      </c>
      <c r="X137" s="5" t="str">
        <f t="shared" si="10"/>
        <v>Alta</v>
      </c>
      <c r="Y137" s="29">
        <f t="shared" si="11"/>
        <v>3034.8998629999996</v>
      </c>
      <c r="Z137" s="4" t="s">
        <v>283</v>
      </c>
    </row>
    <row r="138" spans="1:26" ht="28.05" customHeight="1" x14ac:dyDescent="0.3">
      <c r="A138" s="5">
        <f t="shared" si="8"/>
        <v>134</v>
      </c>
      <c r="B138" s="23" t="s">
        <v>557</v>
      </c>
      <c r="C138" s="17" t="s">
        <v>356</v>
      </c>
      <c r="D138" s="4" t="s">
        <v>52</v>
      </c>
      <c r="E138" s="4" t="s">
        <v>66</v>
      </c>
      <c r="F138" s="4" t="s">
        <v>66</v>
      </c>
      <c r="G138" s="4" t="s">
        <v>171</v>
      </c>
      <c r="H138" s="4" t="s">
        <v>172</v>
      </c>
      <c r="I138" s="24" t="s">
        <v>122</v>
      </c>
      <c r="J138" s="15">
        <v>3</v>
      </c>
      <c r="K138" s="15">
        <v>4</v>
      </c>
      <c r="L138" s="15">
        <v>5</v>
      </c>
      <c r="M138" s="15">
        <v>2</v>
      </c>
      <c r="N138" s="15">
        <v>2</v>
      </c>
      <c r="O138" s="15">
        <v>3</v>
      </c>
      <c r="P138" s="15" t="s">
        <v>415</v>
      </c>
      <c r="Q138" s="23" t="s">
        <v>416</v>
      </c>
      <c r="R138" s="25">
        <f>ROUND((K138*Parametros!$B$4+L138*Parametros!$B$5+M138*Parametros!$B$6+N138*Parametros!$B$7+O138*Parametros!$B$8)/SUM(Parametros!$B$4:$B$8),2)</f>
        <v>3.35</v>
      </c>
      <c r="S138" s="26">
        <f>IFERROR(INDEX(Parametros!$F$33:$F$42,MATCH(D138,Parametros!$A$33:$A$42,0)),1)</f>
        <v>1.05</v>
      </c>
      <c r="T138" s="27">
        <f>IFERROR(INDEX(Parametros!$B$21:$B$26,MATCH(I138,Parametros!$A$21:$A$26,0)),0)</f>
        <v>0</v>
      </c>
      <c r="U138" s="28">
        <f t="shared" si="9"/>
        <v>3.52</v>
      </c>
      <c r="V138" s="9">
        <f>IF(U138&gt;=Parametros!$B$14,4,IF(U138&gt;=Parametros!$B$13,3,IF(U138&gt;=Parametros!$B$12,2,1)))</f>
        <v>3</v>
      </c>
      <c r="W138" s="5">
        <f>MAX(V138,IF(K138=5,Parametros!$B$17,0),IF(P138="Sim",Parametros!$B$18,0))</f>
        <v>3</v>
      </c>
      <c r="X138" s="5" t="str">
        <f t="shared" si="10"/>
        <v>Alta</v>
      </c>
      <c r="Y138" s="29">
        <f t="shared" si="11"/>
        <v>3034.8998619999998</v>
      </c>
      <c r="Z138" s="4" t="s">
        <v>291</v>
      </c>
    </row>
    <row r="139" spans="1:26" ht="28.05" customHeight="1" x14ac:dyDescent="0.3">
      <c r="A139" s="5">
        <f t="shared" si="8"/>
        <v>135</v>
      </c>
      <c r="B139" s="23" t="s">
        <v>558</v>
      </c>
      <c r="C139" s="17" t="s">
        <v>275</v>
      </c>
      <c r="D139" s="4" t="s">
        <v>48</v>
      </c>
      <c r="E139" s="4" t="s">
        <v>87</v>
      </c>
      <c r="F139" s="4" t="s">
        <v>87</v>
      </c>
      <c r="G139" s="4" t="s">
        <v>112</v>
      </c>
      <c r="H139" s="4" t="s">
        <v>108</v>
      </c>
      <c r="I139" s="24" t="s">
        <v>152</v>
      </c>
      <c r="J139" s="15">
        <v>3</v>
      </c>
      <c r="K139" s="15">
        <v>3</v>
      </c>
      <c r="L139" s="15">
        <v>3</v>
      </c>
      <c r="M139" s="15">
        <v>4</v>
      </c>
      <c r="N139" s="15">
        <v>2</v>
      </c>
      <c r="O139" s="15">
        <v>4</v>
      </c>
      <c r="P139" s="15" t="s">
        <v>415</v>
      </c>
      <c r="Q139" s="23" t="s">
        <v>416</v>
      </c>
      <c r="R139" s="25">
        <f>ROUND((K139*Parametros!$B$4+L139*Parametros!$B$5+M139*Parametros!$B$6+N139*Parametros!$B$7+O139*Parametros!$B$8)/SUM(Parametros!$B$4:$B$8),2)</f>
        <v>3.2</v>
      </c>
      <c r="S139" s="26">
        <f>IFERROR(INDEX(Parametros!$F$33:$F$42,MATCH(D139,Parametros!$A$33:$A$42,0)),1)</f>
        <v>1.1000000000000001</v>
      </c>
      <c r="T139" s="27">
        <f>IFERROR(INDEX(Parametros!$B$21:$B$26,MATCH(I139,Parametros!$A$21:$A$26,0)),0)</f>
        <v>0</v>
      </c>
      <c r="U139" s="28">
        <f t="shared" si="9"/>
        <v>3.52</v>
      </c>
      <c r="V139" s="9">
        <f>IF(U139&gt;=Parametros!$B$14,4,IF(U139&gt;=Parametros!$B$13,3,IF(U139&gt;=Parametros!$B$12,2,1)))</f>
        <v>3</v>
      </c>
      <c r="W139" s="5">
        <f>MAX(V139,IF(K139=5,Parametros!$B$17,0),IF(P139="Sim",Parametros!$B$18,0))</f>
        <v>3</v>
      </c>
      <c r="X139" s="5" t="str">
        <f t="shared" si="10"/>
        <v>Alta</v>
      </c>
      <c r="Y139" s="29">
        <f t="shared" si="11"/>
        <v>3034.8998609999994</v>
      </c>
      <c r="Z139" s="4" t="s">
        <v>272</v>
      </c>
    </row>
    <row r="140" spans="1:26" ht="28.05" customHeight="1" x14ac:dyDescent="0.3">
      <c r="A140" s="5">
        <f t="shared" si="8"/>
        <v>136</v>
      </c>
      <c r="B140" s="23" t="s">
        <v>559</v>
      </c>
      <c r="C140" s="17" t="s">
        <v>262</v>
      </c>
      <c r="D140" s="4" t="s">
        <v>56</v>
      </c>
      <c r="E140" s="4" t="s">
        <v>78</v>
      </c>
      <c r="F140" s="4" t="s">
        <v>78</v>
      </c>
      <c r="G140" s="4" t="s">
        <v>134</v>
      </c>
      <c r="H140" s="4" t="s">
        <v>108</v>
      </c>
      <c r="I140" s="24" t="s">
        <v>122</v>
      </c>
      <c r="J140" s="15">
        <v>3</v>
      </c>
      <c r="K140" s="15">
        <v>4</v>
      </c>
      <c r="L140" s="15">
        <v>4</v>
      </c>
      <c r="M140" s="15">
        <v>2</v>
      </c>
      <c r="N140" s="15">
        <v>4</v>
      </c>
      <c r="O140" s="15">
        <v>3</v>
      </c>
      <c r="P140" s="15" t="s">
        <v>415</v>
      </c>
      <c r="Q140" s="23" t="s">
        <v>416</v>
      </c>
      <c r="R140" s="25">
        <f>ROUND((K140*Parametros!$B$4+L140*Parametros!$B$5+M140*Parametros!$B$6+N140*Parametros!$B$7+O140*Parametros!$B$8)/SUM(Parametros!$B$4:$B$8),2)</f>
        <v>3.45</v>
      </c>
      <c r="S140" s="26">
        <f>IFERROR(INDEX(Parametros!$F$33:$F$42,MATCH(D140,Parametros!$A$33:$A$42,0)),1)</f>
        <v>1.0169999999999999</v>
      </c>
      <c r="T140" s="27">
        <f>IFERROR(INDEX(Parametros!$B$21:$B$26,MATCH(I140,Parametros!$A$21:$A$26,0)),0)</f>
        <v>0</v>
      </c>
      <c r="U140" s="28">
        <f t="shared" si="9"/>
        <v>3.51</v>
      </c>
      <c r="V140" s="9">
        <f>IF(U140&gt;=Parametros!$B$14,4,IF(U140&gt;=Parametros!$B$13,3,IF(U140&gt;=Parametros!$B$12,2,1)))</f>
        <v>3</v>
      </c>
      <c r="W140" s="5">
        <f>MAX(V140,IF(K140=5,Parametros!$B$17,0),IF(P140="Sim",Parametros!$B$18,0))</f>
        <v>3</v>
      </c>
      <c r="X140" s="5" t="str">
        <f t="shared" si="10"/>
        <v>Alta</v>
      </c>
      <c r="Y140" s="29">
        <f t="shared" si="11"/>
        <v>3034.7998599999996</v>
      </c>
      <c r="Z140" s="4" t="s">
        <v>249</v>
      </c>
    </row>
    <row r="141" spans="1:26" ht="28.05" customHeight="1" x14ac:dyDescent="0.3">
      <c r="A141" s="5">
        <f t="shared" si="8"/>
        <v>137</v>
      </c>
      <c r="B141" s="23" t="s">
        <v>560</v>
      </c>
      <c r="C141" s="17" t="s">
        <v>276</v>
      </c>
      <c r="D141" s="4" t="s">
        <v>50</v>
      </c>
      <c r="E141" s="4" t="s">
        <v>64</v>
      </c>
      <c r="F141" s="4" t="s">
        <v>64</v>
      </c>
      <c r="G141" s="4" t="s">
        <v>134</v>
      </c>
      <c r="H141" s="4" t="s">
        <v>108</v>
      </c>
      <c r="I141" s="24" t="s">
        <v>152</v>
      </c>
      <c r="J141" s="15">
        <v>4</v>
      </c>
      <c r="K141" s="15">
        <v>3</v>
      </c>
      <c r="L141" s="15">
        <v>4</v>
      </c>
      <c r="M141" s="15">
        <v>4</v>
      </c>
      <c r="N141" s="15">
        <v>2</v>
      </c>
      <c r="O141" s="15">
        <v>3</v>
      </c>
      <c r="P141" s="15" t="s">
        <v>415</v>
      </c>
      <c r="Q141" s="23" t="s">
        <v>416</v>
      </c>
      <c r="R141" s="25">
        <f>ROUND((K141*Parametros!$B$4+L141*Parametros!$B$5+M141*Parametros!$B$6+N141*Parametros!$B$7+O141*Parametros!$B$8)/SUM(Parametros!$B$4:$B$8),2)</f>
        <v>3.25</v>
      </c>
      <c r="S141" s="26">
        <f>IFERROR(INDEX(Parametros!$F$33:$F$42,MATCH(D141,Parametros!$A$33:$A$42,0)),1)</f>
        <v>1.0840000000000001</v>
      </c>
      <c r="T141" s="27">
        <f>IFERROR(INDEX(Parametros!$B$21:$B$26,MATCH(I141,Parametros!$A$21:$A$26,0)),0)</f>
        <v>0</v>
      </c>
      <c r="U141" s="28">
        <f t="shared" si="9"/>
        <v>3.52</v>
      </c>
      <c r="V141" s="9">
        <f>IF(U141&gt;=Parametros!$B$14,4,IF(U141&gt;=Parametros!$B$13,3,IF(U141&gt;=Parametros!$B$12,2,1)))</f>
        <v>3</v>
      </c>
      <c r="W141" s="5">
        <f>MAX(V141,IF(K141=5,Parametros!$B$17,0),IF(P141="Sim",Parametros!$B$18,0))</f>
        <v>3</v>
      </c>
      <c r="X141" s="5" t="str">
        <f t="shared" si="10"/>
        <v>Alta</v>
      </c>
      <c r="Y141" s="29">
        <f t="shared" si="11"/>
        <v>3034.7998589999997</v>
      </c>
      <c r="Z141" s="4" t="s">
        <v>235</v>
      </c>
    </row>
    <row r="142" spans="1:26" ht="28.05" customHeight="1" x14ac:dyDescent="0.3">
      <c r="A142" s="5">
        <f t="shared" si="8"/>
        <v>138</v>
      </c>
      <c r="B142" s="23" t="s">
        <v>561</v>
      </c>
      <c r="C142" s="17" t="s">
        <v>277</v>
      </c>
      <c r="D142" s="4" t="s">
        <v>55</v>
      </c>
      <c r="E142" s="4" t="s">
        <v>64</v>
      </c>
      <c r="F142" s="4" t="s">
        <v>64</v>
      </c>
      <c r="G142" s="4" t="s">
        <v>134</v>
      </c>
      <c r="H142" s="4" t="s">
        <v>108</v>
      </c>
      <c r="I142" s="24" t="s">
        <v>109</v>
      </c>
      <c r="J142" s="15">
        <v>3</v>
      </c>
      <c r="K142" s="15">
        <v>4</v>
      </c>
      <c r="L142" s="15">
        <v>4</v>
      </c>
      <c r="M142" s="15">
        <v>1</v>
      </c>
      <c r="N142" s="15">
        <v>3</v>
      </c>
      <c r="O142" s="15">
        <v>3</v>
      </c>
      <c r="P142" s="15" t="s">
        <v>415</v>
      </c>
      <c r="Q142" s="23" t="s">
        <v>416</v>
      </c>
      <c r="R142" s="25">
        <f>ROUND((K142*Parametros!$B$4+L142*Parametros!$B$5+M142*Parametros!$B$6+N142*Parametros!$B$7+O142*Parametros!$B$8)/SUM(Parametros!$B$4:$B$8),2)</f>
        <v>3.1</v>
      </c>
      <c r="S142" s="26">
        <f>IFERROR(INDEX(Parametros!$F$33:$F$42,MATCH(D142,Parametros!$A$33:$A$42,0)),1)</f>
        <v>1.034</v>
      </c>
      <c r="T142" s="27">
        <f>IFERROR(INDEX(Parametros!$B$21:$B$26,MATCH(I142,Parametros!$A$21:$A$26,0)),0)</f>
        <v>0.3</v>
      </c>
      <c r="U142" s="28">
        <f t="shared" si="9"/>
        <v>3.51</v>
      </c>
      <c r="V142" s="9">
        <f>IF(U142&gt;=Parametros!$B$14,4,IF(U142&gt;=Parametros!$B$13,3,IF(U142&gt;=Parametros!$B$12,2,1)))</f>
        <v>3</v>
      </c>
      <c r="W142" s="5">
        <f>MAX(V142,IF(K142=5,Parametros!$B$17,0),IF(P142="Sim",Parametros!$B$18,0))</f>
        <v>3</v>
      </c>
      <c r="X142" s="5" t="str">
        <f t="shared" si="10"/>
        <v>Alta</v>
      </c>
      <c r="Y142" s="29">
        <f t="shared" si="11"/>
        <v>3034.7998579999999</v>
      </c>
      <c r="Z142" s="4" t="s">
        <v>164</v>
      </c>
    </row>
    <row r="143" spans="1:26" ht="28.05" customHeight="1" x14ac:dyDescent="0.3">
      <c r="A143" s="5">
        <f t="shared" si="8"/>
        <v>139</v>
      </c>
      <c r="B143" s="23" t="s">
        <v>562</v>
      </c>
      <c r="C143" s="17" t="s">
        <v>278</v>
      </c>
      <c r="D143" s="4" t="s">
        <v>55</v>
      </c>
      <c r="E143" s="4" t="s">
        <v>64</v>
      </c>
      <c r="F143" s="4" t="s">
        <v>64</v>
      </c>
      <c r="G143" s="4" t="s">
        <v>134</v>
      </c>
      <c r="H143" s="4" t="s">
        <v>108</v>
      </c>
      <c r="I143" s="24" t="s">
        <v>109</v>
      </c>
      <c r="J143" s="15">
        <v>3</v>
      </c>
      <c r="K143" s="15">
        <v>4</v>
      </c>
      <c r="L143" s="15">
        <v>4</v>
      </c>
      <c r="M143" s="15">
        <v>1</v>
      </c>
      <c r="N143" s="15">
        <v>3</v>
      </c>
      <c r="O143" s="15">
        <v>3</v>
      </c>
      <c r="P143" s="15" t="s">
        <v>415</v>
      </c>
      <c r="Q143" s="23" t="s">
        <v>416</v>
      </c>
      <c r="R143" s="25">
        <f>ROUND((K143*Parametros!$B$4+L143*Parametros!$B$5+M143*Parametros!$B$6+N143*Parametros!$B$7+O143*Parametros!$B$8)/SUM(Parametros!$B$4:$B$8),2)</f>
        <v>3.1</v>
      </c>
      <c r="S143" s="26">
        <f>IFERROR(INDEX(Parametros!$F$33:$F$42,MATCH(D143,Parametros!$A$33:$A$42,0)),1)</f>
        <v>1.034</v>
      </c>
      <c r="T143" s="27">
        <f>IFERROR(INDEX(Parametros!$B$21:$B$26,MATCH(I143,Parametros!$A$21:$A$26,0)),0)</f>
        <v>0.3</v>
      </c>
      <c r="U143" s="28">
        <f t="shared" si="9"/>
        <v>3.51</v>
      </c>
      <c r="V143" s="9">
        <f>IF(U143&gt;=Parametros!$B$14,4,IF(U143&gt;=Parametros!$B$13,3,IF(U143&gt;=Parametros!$B$12,2,1)))</f>
        <v>3</v>
      </c>
      <c r="W143" s="5">
        <f>MAX(V143,IF(K143=5,Parametros!$B$17,0),IF(P143="Sim",Parametros!$B$18,0))</f>
        <v>3</v>
      </c>
      <c r="X143" s="5" t="str">
        <f t="shared" si="10"/>
        <v>Alta</v>
      </c>
      <c r="Y143" s="29">
        <f t="shared" si="11"/>
        <v>3034.7998569999995</v>
      </c>
      <c r="Z143" s="4" t="s">
        <v>164</v>
      </c>
    </row>
    <row r="144" spans="1:26" ht="28.05" customHeight="1" x14ac:dyDescent="0.3">
      <c r="A144" s="5">
        <f t="shared" si="8"/>
        <v>140</v>
      </c>
      <c r="B144" s="23" t="s">
        <v>563</v>
      </c>
      <c r="C144" s="17" t="s">
        <v>279</v>
      </c>
      <c r="D144" s="4" t="s">
        <v>55</v>
      </c>
      <c r="E144" s="4" t="s">
        <v>64</v>
      </c>
      <c r="F144" s="4" t="s">
        <v>64</v>
      </c>
      <c r="G144" s="4" t="s">
        <v>134</v>
      </c>
      <c r="H144" s="4" t="s">
        <v>108</v>
      </c>
      <c r="I144" s="24" t="s">
        <v>109</v>
      </c>
      <c r="J144" s="15">
        <v>3</v>
      </c>
      <c r="K144" s="15">
        <v>4</v>
      </c>
      <c r="L144" s="15">
        <v>4</v>
      </c>
      <c r="M144" s="15">
        <v>1</v>
      </c>
      <c r="N144" s="15">
        <v>4</v>
      </c>
      <c r="O144" s="15">
        <v>2</v>
      </c>
      <c r="P144" s="15" t="s">
        <v>415</v>
      </c>
      <c r="Q144" s="23" t="s">
        <v>416</v>
      </c>
      <c r="R144" s="25">
        <f>ROUND((K144*Parametros!$B$4+L144*Parametros!$B$5+M144*Parametros!$B$6+N144*Parametros!$B$7+O144*Parametros!$B$8)/SUM(Parametros!$B$4:$B$8),2)</f>
        <v>3.1</v>
      </c>
      <c r="S144" s="26">
        <f>IFERROR(INDEX(Parametros!$F$33:$F$42,MATCH(D144,Parametros!$A$33:$A$42,0)),1)</f>
        <v>1.034</v>
      </c>
      <c r="T144" s="27">
        <f>IFERROR(INDEX(Parametros!$B$21:$B$26,MATCH(I144,Parametros!$A$21:$A$26,0)),0)</f>
        <v>0.3</v>
      </c>
      <c r="U144" s="28">
        <f t="shared" si="9"/>
        <v>3.51</v>
      </c>
      <c r="V144" s="9">
        <f>IF(U144&gt;=Parametros!$B$14,4,IF(U144&gt;=Parametros!$B$13,3,IF(U144&gt;=Parametros!$B$12,2,1)))</f>
        <v>3</v>
      </c>
      <c r="W144" s="5">
        <f>MAX(V144,IF(K144=5,Parametros!$B$17,0),IF(P144="Sim",Parametros!$B$18,0))</f>
        <v>3</v>
      </c>
      <c r="X144" s="5" t="str">
        <f t="shared" si="10"/>
        <v>Alta</v>
      </c>
      <c r="Y144" s="29">
        <f t="shared" si="11"/>
        <v>3034.7998559999996</v>
      </c>
      <c r="Z144" s="4" t="s">
        <v>179</v>
      </c>
    </row>
    <row r="145" spans="1:26" ht="28.05" customHeight="1" x14ac:dyDescent="0.3">
      <c r="A145" s="5">
        <f t="shared" si="8"/>
        <v>141</v>
      </c>
      <c r="B145" s="23" t="s">
        <v>564</v>
      </c>
      <c r="C145" s="17" t="s">
        <v>280</v>
      </c>
      <c r="D145" s="4" t="s">
        <v>54</v>
      </c>
      <c r="E145" s="4" t="s">
        <v>72</v>
      </c>
      <c r="F145" s="4" t="s">
        <v>72</v>
      </c>
      <c r="G145" s="4" t="s">
        <v>134</v>
      </c>
      <c r="H145" s="4" t="s">
        <v>108</v>
      </c>
      <c r="I145" s="24" t="s">
        <v>152</v>
      </c>
      <c r="J145" s="15">
        <v>4</v>
      </c>
      <c r="K145" s="15">
        <v>3</v>
      </c>
      <c r="L145" s="15">
        <v>4</v>
      </c>
      <c r="M145" s="15">
        <v>4</v>
      </c>
      <c r="N145" s="15">
        <v>2</v>
      </c>
      <c r="O145" s="15">
        <v>4</v>
      </c>
      <c r="P145" s="15" t="s">
        <v>415</v>
      </c>
      <c r="Q145" s="23" t="s">
        <v>416</v>
      </c>
      <c r="R145" s="25">
        <f>ROUND((K145*Parametros!$B$4+L145*Parametros!$B$5+M145*Parametros!$B$6+N145*Parametros!$B$7+O145*Parametros!$B$8)/SUM(Parametros!$B$4:$B$8),2)</f>
        <v>3.4</v>
      </c>
      <c r="S145" s="26">
        <f>IFERROR(INDEX(Parametros!$F$33:$F$42,MATCH(D145,Parametros!$A$33:$A$42,0)),1)</f>
        <v>1.034</v>
      </c>
      <c r="T145" s="27">
        <f>IFERROR(INDEX(Parametros!$B$21:$B$26,MATCH(I145,Parametros!$A$21:$A$26,0)),0)</f>
        <v>0</v>
      </c>
      <c r="U145" s="28">
        <f t="shared" si="9"/>
        <v>3.52</v>
      </c>
      <c r="V145" s="9">
        <f>IF(U145&gt;=Parametros!$B$14,4,IF(U145&gt;=Parametros!$B$13,3,IF(U145&gt;=Parametros!$B$12,2,1)))</f>
        <v>3</v>
      </c>
      <c r="W145" s="5">
        <f>MAX(V145,IF(K145=5,Parametros!$B$17,0),IF(P145="Sim",Parametros!$B$18,0))</f>
        <v>3</v>
      </c>
      <c r="X145" s="5" t="str">
        <f t="shared" si="10"/>
        <v>Alta</v>
      </c>
      <c r="Y145" s="29">
        <f t="shared" si="11"/>
        <v>3034.7998549999998</v>
      </c>
      <c r="Z145" s="4" t="s">
        <v>246</v>
      </c>
    </row>
    <row r="146" spans="1:26" ht="28.05" customHeight="1" x14ac:dyDescent="0.3">
      <c r="A146" s="5">
        <f t="shared" si="8"/>
        <v>142</v>
      </c>
      <c r="B146" s="23" t="s">
        <v>565</v>
      </c>
      <c r="C146" s="17" t="s">
        <v>281</v>
      </c>
      <c r="D146" s="4" t="s">
        <v>54</v>
      </c>
      <c r="E146" s="4" t="s">
        <v>65</v>
      </c>
      <c r="F146" s="4" t="s">
        <v>65</v>
      </c>
      <c r="G146" s="4" t="s">
        <v>134</v>
      </c>
      <c r="H146" s="4" t="s">
        <v>108</v>
      </c>
      <c r="I146" s="24" t="s">
        <v>109</v>
      </c>
      <c r="J146" s="15">
        <v>3</v>
      </c>
      <c r="K146" s="15">
        <v>4</v>
      </c>
      <c r="L146" s="15">
        <v>2</v>
      </c>
      <c r="M146" s="15">
        <v>3</v>
      </c>
      <c r="N146" s="15">
        <v>4</v>
      </c>
      <c r="O146" s="15">
        <v>2</v>
      </c>
      <c r="P146" s="15" t="s">
        <v>415</v>
      </c>
      <c r="Q146" s="23" t="s">
        <v>416</v>
      </c>
      <c r="R146" s="25">
        <f>ROUND((K146*Parametros!$B$4+L146*Parametros!$B$5+M146*Parametros!$B$6+N146*Parametros!$B$7+O146*Parametros!$B$8)/SUM(Parametros!$B$4:$B$8),2)</f>
        <v>3.1</v>
      </c>
      <c r="S146" s="26">
        <f>IFERROR(INDEX(Parametros!$F$33:$F$42,MATCH(D146,Parametros!$A$33:$A$42,0)),1)</f>
        <v>1.034</v>
      </c>
      <c r="T146" s="27">
        <f>IFERROR(INDEX(Parametros!$B$21:$B$26,MATCH(I146,Parametros!$A$21:$A$26,0)),0)</f>
        <v>0.3</v>
      </c>
      <c r="U146" s="28">
        <f t="shared" si="9"/>
        <v>3.51</v>
      </c>
      <c r="V146" s="9">
        <f>IF(U146&gt;=Parametros!$B$14,4,IF(U146&gt;=Parametros!$B$13,3,IF(U146&gt;=Parametros!$B$12,2,1)))</f>
        <v>3</v>
      </c>
      <c r="W146" s="5">
        <f>MAX(V146,IF(K146=5,Parametros!$B$17,0),IF(P146="Sim",Parametros!$B$18,0))</f>
        <v>3</v>
      </c>
      <c r="X146" s="5" t="str">
        <f t="shared" si="10"/>
        <v>Alta</v>
      </c>
      <c r="Y146" s="29">
        <f t="shared" si="11"/>
        <v>3034.7998539999999</v>
      </c>
      <c r="Z146" s="4" t="s">
        <v>237</v>
      </c>
    </row>
    <row r="147" spans="1:26" ht="28.05" customHeight="1" x14ac:dyDescent="0.3">
      <c r="A147" s="5">
        <f t="shared" si="8"/>
        <v>143</v>
      </c>
      <c r="B147" s="23" t="s">
        <v>566</v>
      </c>
      <c r="C147" s="17" t="s">
        <v>282</v>
      </c>
      <c r="D147" s="4" t="s">
        <v>52</v>
      </c>
      <c r="E147" s="4" t="s">
        <v>66</v>
      </c>
      <c r="F147" s="4" t="s">
        <v>66</v>
      </c>
      <c r="G147" s="4" t="s">
        <v>107</v>
      </c>
      <c r="H147" s="4" t="s">
        <v>108</v>
      </c>
      <c r="I147" s="24" t="s">
        <v>122</v>
      </c>
      <c r="J147" s="15">
        <v>4</v>
      </c>
      <c r="K147" s="15">
        <v>4</v>
      </c>
      <c r="L147" s="15">
        <v>4</v>
      </c>
      <c r="M147" s="15">
        <v>3</v>
      </c>
      <c r="N147" s="15">
        <v>2</v>
      </c>
      <c r="O147" s="15">
        <v>3</v>
      </c>
      <c r="P147" s="15" t="s">
        <v>415</v>
      </c>
      <c r="Q147" s="23" t="s">
        <v>416</v>
      </c>
      <c r="R147" s="25">
        <f>ROUND((K147*Parametros!$B$4+L147*Parametros!$B$5+M147*Parametros!$B$6+N147*Parametros!$B$7+O147*Parametros!$B$8)/SUM(Parametros!$B$4:$B$8),2)</f>
        <v>3.35</v>
      </c>
      <c r="S147" s="26">
        <f>IFERROR(INDEX(Parametros!$F$33:$F$42,MATCH(D147,Parametros!$A$33:$A$42,0)),1)</f>
        <v>1.05</v>
      </c>
      <c r="T147" s="27">
        <f>IFERROR(INDEX(Parametros!$B$21:$B$26,MATCH(I147,Parametros!$A$21:$A$26,0)),0)</f>
        <v>0</v>
      </c>
      <c r="U147" s="28">
        <f t="shared" si="9"/>
        <v>3.52</v>
      </c>
      <c r="V147" s="9">
        <f>IF(U147&gt;=Parametros!$B$14,4,IF(U147&gt;=Parametros!$B$13,3,IF(U147&gt;=Parametros!$B$12,2,1)))</f>
        <v>3</v>
      </c>
      <c r="W147" s="5">
        <f>MAX(V147,IF(K147=5,Parametros!$B$17,0),IF(P147="Sim",Parametros!$B$18,0))</f>
        <v>3</v>
      </c>
      <c r="X147" s="5" t="str">
        <f t="shared" si="10"/>
        <v>Alta</v>
      </c>
      <c r="Y147" s="29">
        <f t="shared" si="11"/>
        <v>3034.7998529999995</v>
      </c>
      <c r="Z147" s="4" t="s">
        <v>283</v>
      </c>
    </row>
    <row r="148" spans="1:26" ht="28.05" customHeight="1" x14ac:dyDescent="0.3">
      <c r="A148" s="5">
        <f t="shared" si="8"/>
        <v>144</v>
      </c>
      <c r="B148" s="23" t="s">
        <v>567</v>
      </c>
      <c r="C148" s="17" t="s">
        <v>357</v>
      </c>
      <c r="D148" s="4" t="s">
        <v>52</v>
      </c>
      <c r="E148" s="4" t="s">
        <v>66</v>
      </c>
      <c r="F148" s="4" t="s">
        <v>66</v>
      </c>
      <c r="G148" s="4" t="s">
        <v>184</v>
      </c>
      <c r="H148" s="4" t="s">
        <v>185</v>
      </c>
      <c r="I148" s="24" t="s">
        <v>122</v>
      </c>
      <c r="J148" s="15">
        <v>4</v>
      </c>
      <c r="K148" s="15">
        <v>4</v>
      </c>
      <c r="L148" s="15">
        <v>4</v>
      </c>
      <c r="M148" s="15">
        <v>3</v>
      </c>
      <c r="N148" s="15">
        <v>2</v>
      </c>
      <c r="O148" s="15">
        <v>3</v>
      </c>
      <c r="P148" s="15" t="s">
        <v>415</v>
      </c>
      <c r="Q148" s="23" t="s">
        <v>416</v>
      </c>
      <c r="R148" s="25">
        <f>ROUND((K148*Parametros!$B$4+L148*Parametros!$B$5+M148*Parametros!$B$6+N148*Parametros!$B$7+O148*Parametros!$B$8)/SUM(Parametros!$B$4:$B$8),2)</f>
        <v>3.35</v>
      </c>
      <c r="S148" s="26">
        <f>IFERROR(INDEX(Parametros!$F$33:$F$42,MATCH(D148,Parametros!$A$33:$A$42,0)),1)</f>
        <v>1.05</v>
      </c>
      <c r="T148" s="27">
        <f>IFERROR(INDEX(Parametros!$B$21:$B$26,MATCH(I148,Parametros!$A$21:$A$26,0)),0)</f>
        <v>0</v>
      </c>
      <c r="U148" s="28">
        <f t="shared" si="9"/>
        <v>3.52</v>
      </c>
      <c r="V148" s="9">
        <f>IF(U148&gt;=Parametros!$B$14,4,IF(U148&gt;=Parametros!$B$13,3,IF(U148&gt;=Parametros!$B$12,2,1)))</f>
        <v>3</v>
      </c>
      <c r="W148" s="5">
        <f>MAX(V148,IF(K148=5,Parametros!$B$17,0),IF(P148="Sim",Parametros!$B$18,0))</f>
        <v>3</v>
      </c>
      <c r="X148" s="5" t="str">
        <f t="shared" si="10"/>
        <v>Alta</v>
      </c>
      <c r="Y148" s="29">
        <f t="shared" si="11"/>
        <v>3034.7998519999996</v>
      </c>
      <c r="Z148" s="4" t="s">
        <v>283</v>
      </c>
    </row>
    <row r="149" spans="1:26" ht="28.05" customHeight="1" x14ac:dyDescent="0.3">
      <c r="A149" s="5">
        <f t="shared" si="8"/>
        <v>145</v>
      </c>
      <c r="B149" s="23" t="s">
        <v>568</v>
      </c>
      <c r="C149" s="17" t="s">
        <v>358</v>
      </c>
      <c r="D149" s="4" t="s">
        <v>50</v>
      </c>
      <c r="E149" s="4" t="s">
        <v>73</v>
      </c>
      <c r="F149" s="4" t="s">
        <v>73</v>
      </c>
      <c r="G149" s="4" t="s">
        <v>171</v>
      </c>
      <c r="H149" s="4" t="s">
        <v>172</v>
      </c>
      <c r="I149" s="24" t="s">
        <v>359</v>
      </c>
      <c r="J149" s="15">
        <v>2</v>
      </c>
      <c r="K149" s="15">
        <v>3</v>
      </c>
      <c r="L149" s="15">
        <v>3</v>
      </c>
      <c r="M149" s="15">
        <v>5</v>
      </c>
      <c r="N149" s="15">
        <v>4</v>
      </c>
      <c r="O149" s="15">
        <v>2</v>
      </c>
      <c r="P149" s="15" t="s">
        <v>415</v>
      </c>
      <c r="Q149" s="23" t="s">
        <v>416</v>
      </c>
      <c r="R149" s="25">
        <f>ROUND((K149*Parametros!$B$4+L149*Parametros!$B$5+M149*Parametros!$B$6+N149*Parametros!$B$7+O149*Parametros!$B$8)/SUM(Parametros!$B$4:$B$8),2)</f>
        <v>3.4</v>
      </c>
      <c r="S149" s="26">
        <f>IFERROR(INDEX(Parametros!$F$33:$F$42,MATCH(D149,Parametros!$A$33:$A$42,0)),1)</f>
        <v>1.0840000000000001</v>
      </c>
      <c r="T149" s="27">
        <f>IFERROR(INDEX(Parametros!$B$21:$B$26,MATCH(I149,Parametros!$A$21:$A$26,0)),0)</f>
        <v>-0.2</v>
      </c>
      <c r="U149" s="28">
        <f t="shared" si="9"/>
        <v>3.49</v>
      </c>
      <c r="V149" s="9">
        <f>IF(U149&gt;=Parametros!$B$14,4,IF(U149&gt;=Parametros!$B$13,3,IF(U149&gt;=Parametros!$B$12,2,1)))</f>
        <v>3</v>
      </c>
      <c r="W149" s="5">
        <f>MAX(V149,IF(K149=5,Parametros!$B$17,0),IF(P149="Sim",Parametros!$B$18,0))</f>
        <v>3</v>
      </c>
      <c r="X149" s="5" t="str">
        <f t="shared" si="10"/>
        <v>Alta</v>
      </c>
      <c r="Y149" s="29">
        <f t="shared" si="11"/>
        <v>3034.6998510000003</v>
      </c>
      <c r="Z149" s="4" t="s">
        <v>360</v>
      </c>
    </row>
    <row r="150" spans="1:26" ht="28.05" customHeight="1" x14ac:dyDescent="0.3">
      <c r="A150" s="5">
        <f t="shared" si="8"/>
        <v>146</v>
      </c>
      <c r="B150" s="23" t="s">
        <v>569</v>
      </c>
      <c r="C150" s="17" t="s">
        <v>264</v>
      </c>
      <c r="D150" s="4" t="s">
        <v>56</v>
      </c>
      <c r="E150" s="4" t="s">
        <v>77</v>
      </c>
      <c r="F150" s="4" t="s">
        <v>533</v>
      </c>
      <c r="G150" s="4" t="s">
        <v>112</v>
      </c>
      <c r="H150" s="4" t="s">
        <v>108</v>
      </c>
      <c r="I150" s="24" t="s">
        <v>109</v>
      </c>
      <c r="J150" s="15">
        <v>3</v>
      </c>
      <c r="K150" s="15">
        <v>4</v>
      </c>
      <c r="L150" s="15">
        <v>4</v>
      </c>
      <c r="M150" s="15">
        <v>2</v>
      </c>
      <c r="N150" s="15">
        <v>2</v>
      </c>
      <c r="O150" s="15">
        <v>3</v>
      </c>
      <c r="P150" s="15" t="s">
        <v>415</v>
      </c>
      <c r="Q150" s="23" t="s">
        <v>416</v>
      </c>
      <c r="R150" s="25">
        <f>ROUND((K150*Parametros!$B$4+L150*Parametros!$B$5+M150*Parametros!$B$6+N150*Parametros!$B$7+O150*Parametros!$B$8)/SUM(Parametros!$B$4:$B$8),2)</f>
        <v>3.15</v>
      </c>
      <c r="S150" s="26">
        <f>IFERROR(INDEX(Parametros!$F$33:$F$42,MATCH(D150,Parametros!$A$33:$A$42,0)),1)</f>
        <v>1.0169999999999999</v>
      </c>
      <c r="T150" s="27">
        <f>IFERROR(INDEX(Parametros!$B$21:$B$26,MATCH(I150,Parametros!$A$21:$A$26,0)),0)</f>
        <v>0.3</v>
      </c>
      <c r="U150" s="28">
        <f t="shared" si="9"/>
        <v>3.5</v>
      </c>
      <c r="V150" s="9">
        <f>IF(U150&gt;=Parametros!$B$14,4,IF(U150&gt;=Parametros!$B$13,3,IF(U150&gt;=Parametros!$B$12,2,1)))</f>
        <v>3</v>
      </c>
      <c r="W150" s="5">
        <f>MAX(V150,IF(K150=5,Parametros!$B$17,0),IF(P150="Sim",Parametros!$B$18,0))</f>
        <v>3</v>
      </c>
      <c r="X150" s="5" t="str">
        <f t="shared" si="10"/>
        <v>Alta</v>
      </c>
      <c r="Y150" s="29">
        <f t="shared" si="11"/>
        <v>3034.69985</v>
      </c>
      <c r="Z150" s="4" t="s">
        <v>164</v>
      </c>
    </row>
    <row r="151" spans="1:26" ht="28.05" customHeight="1" x14ac:dyDescent="0.3">
      <c r="A151" s="5">
        <f t="shared" si="8"/>
        <v>147</v>
      </c>
      <c r="B151" s="23" t="s">
        <v>570</v>
      </c>
      <c r="C151" s="17" t="s">
        <v>265</v>
      </c>
      <c r="D151" s="4" t="s">
        <v>56</v>
      </c>
      <c r="E151" s="4" t="s">
        <v>77</v>
      </c>
      <c r="F151" s="4" t="s">
        <v>533</v>
      </c>
      <c r="G151" s="4" t="s">
        <v>112</v>
      </c>
      <c r="H151" s="4" t="s">
        <v>108</v>
      </c>
      <c r="I151" s="24" t="s">
        <v>109</v>
      </c>
      <c r="J151" s="15">
        <v>3</v>
      </c>
      <c r="K151" s="15">
        <v>4</v>
      </c>
      <c r="L151" s="15">
        <v>4</v>
      </c>
      <c r="M151" s="15">
        <v>2</v>
      </c>
      <c r="N151" s="15">
        <v>2</v>
      </c>
      <c r="O151" s="15">
        <v>3</v>
      </c>
      <c r="P151" s="15" t="s">
        <v>415</v>
      </c>
      <c r="Q151" s="23" t="s">
        <v>416</v>
      </c>
      <c r="R151" s="25">
        <f>ROUND((K151*Parametros!$B$4+L151*Parametros!$B$5+M151*Parametros!$B$6+N151*Parametros!$B$7+O151*Parametros!$B$8)/SUM(Parametros!$B$4:$B$8),2)</f>
        <v>3.15</v>
      </c>
      <c r="S151" s="26">
        <f>IFERROR(INDEX(Parametros!$F$33:$F$42,MATCH(D151,Parametros!$A$33:$A$42,0)),1)</f>
        <v>1.0169999999999999</v>
      </c>
      <c r="T151" s="27">
        <f>IFERROR(INDEX(Parametros!$B$21:$B$26,MATCH(I151,Parametros!$A$21:$A$26,0)),0)</f>
        <v>0.3</v>
      </c>
      <c r="U151" s="28">
        <f t="shared" si="9"/>
        <v>3.5</v>
      </c>
      <c r="V151" s="9">
        <f>IF(U151&gt;=Parametros!$B$14,4,IF(U151&gt;=Parametros!$B$13,3,IF(U151&gt;=Parametros!$B$12,2,1)))</f>
        <v>3</v>
      </c>
      <c r="W151" s="5">
        <f>MAX(V151,IF(K151=5,Parametros!$B$17,0),IF(P151="Sim",Parametros!$B$18,0))</f>
        <v>3</v>
      </c>
      <c r="X151" s="5" t="str">
        <f t="shared" si="10"/>
        <v>Alta</v>
      </c>
      <c r="Y151" s="29">
        <f t="shared" si="11"/>
        <v>3034.6998489999996</v>
      </c>
      <c r="Z151" s="4" t="s">
        <v>164</v>
      </c>
    </row>
    <row r="152" spans="1:26" ht="28.05" customHeight="1" x14ac:dyDescent="0.3">
      <c r="A152" s="5">
        <f t="shared" si="8"/>
        <v>148</v>
      </c>
      <c r="B152" s="23" t="s">
        <v>571</v>
      </c>
      <c r="C152" s="17" t="s">
        <v>284</v>
      </c>
      <c r="D152" s="4" t="s">
        <v>56</v>
      </c>
      <c r="E152" s="4" t="s">
        <v>68</v>
      </c>
      <c r="F152" s="4" t="s">
        <v>68</v>
      </c>
      <c r="G152" s="4" t="s">
        <v>112</v>
      </c>
      <c r="H152" s="4" t="s">
        <v>108</v>
      </c>
      <c r="I152" s="24" t="s">
        <v>122</v>
      </c>
      <c r="J152" s="15">
        <v>4</v>
      </c>
      <c r="K152" s="15">
        <v>4</v>
      </c>
      <c r="L152" s="15">
        <v>4</v>
      </c>
      <c r="M152" s="15">
        <v>2</v>
      </c>
      <c r="N152" s="15">
        <v>3</v>
      </c>
      <c r="O152" s="15">
        <v>4</v>
      </c>
      <c r="P152" s="15" t="s">
        <v>415</v>
      </c>
      <c r="Q152" s="23" t="s">
        <v>416</v>
      </c>
      <c r="R152" s="25">
        <f>ROUND((K152*Parametros!$B$4+L152*Parametros!$B$5+M152*Parametros!$B$6+N152*Parametros!$B$7+O152*Parametros!$B$8)/SUM(Parametros!$B$4:$B$8),2)</f>
        <v>3.45</v>
      </c>
      <c r="S152" s="26">
        <f>IFERROR(INDEX(Parametros!$F$33:$F$42,MATCH(D152,Parametros!$A$33:$A$42,0)),1)</f>
        <v>1.0169999999999999</v>
      </c>
      <c r="T152" s="27">
        <f>IFERROR(INDEX(Parametros!$B$21:$B$26,MATCH(I152,Parametros!$A$21:$A$26,0)),0)</f>
        <v>0</v>
      </c>
      <c r="U152" s="28">
        <f t="shared" si="9"/>
        <v>3.51</v>
      </c>
      <c r="V152" s="9">
        <f>IF(U152&gt;=Parametros!$B$14,4,IF(U152&gt;=Parametros!$B$13,3,IF(U152&gt;=Parametros!$B$12,2,1)))</f>
        <v>3</v>
      </c>
      <c r="W152" s="5">
        <f>MAX(V152,IF(K152=5,Parametros!$B$17,0),IF(P152="Sim",Parametros!$B$18,0))</f>
        <v>3</v>
      </c>
      <c r="X152" s="5" t="str">
        <f t="shared" si="10"/>
        <v>Alta</v>
      </c>
      <c r="Y152" s="29">
        <f t="shared" si="11"/>
        <v>3034.6998479999997</v>
      </c>
      <c r="Z152" s="4" t="s">
        <v>224</v>
      </c>
    </row>
    <row r="153" spans="1:26" ht="28.05" customHeight="1" x14ac:dyDescent="0.3">
      <c r="A153" s="5">
        <f t="shared" si="8"/>
        <v>149</v>
      </c>
      <c r="B153" s="23" t="s">
        <v>572</v>
      </c>
      <c r="C153" s="17" t="s">
        <v>285</v>
      </c>
      <c r="D153" s="4" t="s">
        <v>51</v>
      </c>
      <c r="E153" s="4" t="s">
        <v>81</v>
      </c>
      <c r="F153" s="4" t="s">
        <v>81</v>
      </c>
      <c r="G153" s="4" t="s">
        <v>107</v>
      </c>
      <c r="H153" s="4" t="s">
        <v>108</v>
      </c>
      <c r="I153" s="24" t="s">
        <v>152</v>
      </c>
      <c r="J153" s="15">
        <v>2</v>
      </c>
      <c r="K153" s="15">
        <v>3</v>
      </c>
      <c r="L153" s="15">
        <v>5</v>
      </c>
      <c r="M153" s="15">
        <v>3</v>
      </c>
      <c r="N153" s="15">
        <v>2</v>
      </c>
      <c r="O153" s="15">
        <v>3</v>
      </c>
      <c r="P153" s="15" t="s">
        <v>415</v>
      </c>
      <c r="Q153" s="23" t="s">
        <v>416</v>
      </c>
      <c r="R153" s="25">
        <f>ROUND((K153*Parametros!$B$4+L153*Parametros!$B$5+M153*Parametros!$B$6+N153*Parametros!$B$7+O153*Parametros!$B$8)/SUM(Parametros!$B$4:$B$8),2)</f>
        <v>3.25</v>
      </c>
      <c r="S153" s="26">
        <f>IFERROR(INDEX(Parametros!$F$33:$F$42,MATCH(D153,Parametros!$A$33:$A$42,0)),1)</f>
        <v>1.0669999999999999</v>
      </c>
      <c r="T153" s="27">
        <f>IFERROR(INDEX(Parametros!$B$21:$B$26,MATCH(I153,Parametros!$A$21:$A$26,0)),0)</f>
        <v>0</v>
      </c>
      <c r="U153" s="28">
        <f t="shared" si="9"/>
        <v>3.47</v>
      </c>
      <c r="V153" s="9">
        <f>IF(U153&gt;=Parametros!$B$14,4,IF(U153&gt;=Parametros!$B$13,3,IF(U153&gt;=Parametros!$B$12,2,1)))</f>
        <v>3</v>
      </c>
      <c r="W153" s="5">
        <f>MAX(V153,IF(K153=5,Parametros!$B$17,0),IF(P153="Sim",Parametros!$B$18,0))</f>
        <v>3</v>
      </c>
      <c r="X153" s="5" t="str">
        <f t="shared" si="10"/>
        <v>Alta</v>
      </c>
      <c r="Y153" s="29">
        <f t="shared" si="11"/>
        <v>3034.499847</v>
      </c>
      <c r="Z153" s="4" t="s">
        <v>286</v>
      </c>
    </row>
    <row r="154" spans="1:26" ht="28.05" customHeight="1" x14ac:dyDescent="0.3">
      <c r="A154" s="5">
        <f t="shared" si="8"/>
        <v>150</v>
      </c>
      <c r="B154" s="23" t="s">
        <v>573</v>
      </c>
      <c r="C154" s="17" t="s">
        <v>285</v>
      </c>
      <c r="D154" s="4" t="s">
        <v>51</v>
      </c>
      <c r="E154" s="4" t="s">
        <v>82</v>
      </c>
      <c r="F154" s="4" t="s">
        <v>82</v>
      </c>
      <c r="G154" s="4" t="s">
        <v>107</v>
      </c>
      <c r="H154" s="4" t="s">
        <v>108</v>
      </c>
      <c r="I154" s="24" t="s">
        <v>152</v>
      </c>
      <c r="J154" s="15">
        <v>2</v>
      </c>
      <c r="K154" s="15">
        <v>3</v>
      </c>
      <c r="L154" s="15">
        <v>5</v>
      </c>
      <c r="M154" s="15">
        <v>3</v>
      </c>
      <c r="N154" s="15">
        <v>2</v>
      </c>
      <c r="O154" s="15">
        <v>3</v>
      </c>
      <c r="P154" s="15" t="s">
        <v>415</v>
      </c>
      <c r="Q154" s="23" t="s">
        <v>416</v>
      </c>
      <c r="R154" s="25">
        <f>ROUND((K154*Parametros!$B$4+L154*Parametros!$B$5+M154*Parametros!$B$6+N154*Parametros!$B$7+O154*Parametros!$B$8)/SUM(Parametros!$B$4:$B$8),2)</f>
        <v>3.25</v>
      </c>
      <c r="S154" s="26">
        <f>IFERROR(INDEX(Parametros!$F$33:$F$42,MATCH(D154,Parametros!$A$33:$A$42,0)),1)</f>
        <v>1.0669999999999999</v>
      </c>
      <c r="T154" s="27">
        <f>IFERROR(INDEX(Parametros!$B$21:$B$26,MATCH(I154,Parametros!$A$21:$A$26,0)),0)</f>
        <v>0</v>
      </c>
      <c r="U154" s="28">
        <f t="shared" si="9"/>
        <v>3.47</v>
      </c>
      <c r="V154" s="9">
        <f>IF(U154&gt;=Parametros!$B$14,4,IF(U154&gt;=Parametros!$B$13,3,IF(U154&gt;=Parametros!$B$12,2,1)))</f>
        <v>3</v>
      </c>
      <c r="W154" s="5">
        <f>MAX(V154,IF(K154=5,Parametros!$B$17,0),IF(P154="Sim",Parametros!$B$18,0))</f>
        <v>3</v>
      </c>
      <c r="X154" s="5" t="str">
        <f t="shared" si="10"/>
        <v>Alta</v>
      </c>
      <c r="Y154" s="29">
        <f t="shared" si="11"/>
        <v>3034.4998460000002</v>
      </c>
      <c r="Z154" s="4" t="s">
        <v>286</v>
      </c>
    </row>
    <row r="155" spans="1:26" ht="28.05" customHeight="1" x14ac:dyDescent="0.3">
      <c r="A155" s="5">
        <f t="shared" si="8"/>
        <v>151</v>
      </c>
      <c r="B155" s="23" t="s">
        <v>574</v>
      </c>
      <c r="C155" s="17" t="s">
        <v>287</v>
      </c>
      <c r="D155" s="4" t="s">
        <v>51</v>
      </c>
      <c r="E155" s="4" t="s">
        <v>82</v>
      </c>
      <c r="F155" s="4" t="s">
        <v>82</v>
      </c>
      <c r="G155" s="4" t="s">
        <v>107</v>
      </c>
      <c r="H155" s="4" t="s">
        <v>108</v>
      </c>
      <c r="I155" s="24" t="s">
        <v>152</v>
      </c>
      <c r="J155" s="15">
        <v>2</v>
      </c>
      <c r="K155" s="15">
        <v>3</v>
      </c>
      <c r="L155" s="15">
        <v>5</v>
      </c>
      <c r="M155" s="15">
        <v>3</v>
      </c>
      <c r="N155" s="15">
        <v>2</v>
      </c>
      <c r="O155" s="15">
        <v>3</v>
      </c>
      <c r="P155" s="15" t="s">
        <v>415</v>
      </c>
      <c r="Q155" s="23" t="s">
        <v>416</v>
      </c>
      <c r="R155" s="25">
        <f>ROUND((K155*Parametros!$B$4+L155*Parametros!$B$5+M155*Parametros!$B$6+N155*Parametros!$B$7+O155*Parametros!$B$8)/SUM(Parametros!$B$4:$B$8),2)</f>
        <v>3.25</v>
      </c>
      <c r="S155" s="26">
        <f>IFERROR(INDEX(Parametros!$F$33:$F$42,MATCH(D155,Parametros!$A$33:$A$42,0)),1)</f>
        <v>1.0669999999999999</v>
      </c>
      <c r="T155" s="27">
        <f>IFERROR(INDEX(Parametros!$B$21:$B$26,MATCH(I155,Parametros!$A$21:$A$26,0)),0)</f>
        <v>0</v>
      </c>
      <c r="U155" s="28">
        <f t="shared" si="9"/>
        <v>3.47</v>
      </c>
      <c r="V155" s="9">
        <f>IF(U155&gt;=Parametros!$B$14,4,IF(U155&gt;=Parametros!$B$13,3,IF(U155&gt;=Parametros!$B$12,2,1)))</f>
        <v>3</v>
      </c>
      <c r="W155" s="5">
        <f>MAX(V155,IF(K155=5,Parametros!$B$17,0),IF(P155="Sim",Parametros!$B$18,0))</f>
        <v>3</v>
      </c>
      <c r="X155" s="5" t="str">
        <f t="shared" si="10"/>
        <v>Alta</v>
      </c>
      <c r="Y155" s="29">
        <f t="shared" si="11"/>
        <v>3034.4998449999998</v>
      </c>
      <c r="Z155" s="4" t="s">
        <v>286</v>
      </c>
    </row>
    <row r="156" spans="1:26" ht="28.05" customHeight="1" x14ac:dyDescent="0.3">
      <c r="A156" s="5">
        <f t="shared" si="8"/>
        <v>152</v>
      </c>
      <c r="B156" s="23" t="s">
        <v>575</v>
      </c>
      <c r="C156" s="17" t="s">
        <v>268</v>
      </c>
      <c r="D156" s="4" t="s">
        <v>56</v>
      </c>
      <c r="E156" s="4" t="s">
        <v>69</v>
      </c>
      <c r="F156" s="4" t="s">
        <v>69</v>
      </c>
      <c r="G156" s="4" t="s">
        <v>134</v>
      </c>
      <c r="H156" s="4" t="s">
        <v>108</v>
      </c>
      <c r="I156" s="24" t="s">
        <v>152</v>
      </c>
      <c r="J156" s="15">
        <v>2</v>
      </c>
      <c r="K156" s="15">
        <v>4</v>
      </c>
      <c r="L156" s="15">
        <v>4</v>
      </c>
      <c r="M156" s="15">
        <v>1</v>
      </c>
      <c r="N156" s="15">
        <v>4</v>
      </c>
      <c r="O156" s="15">
        <v>4</v>
      </c>
      <c r="P156" s="15" t="s">
        <v>415</v>
      </c>
      <c r="Q156" s="23" t="s">
        <v>416</v>
      </c>
      <c r="R156" s="25">
        <f>ROUND((K156*Parametros!$B$4+L156*Parametros!$B$5+M156*Parametros!$B$6+N156*Parametros!$B$7+O156*Parametros!$B$8)/SUM(Parametros!$B$4:$B$8),2)</f>
        <v>3.4</v>
      </c>
      <c r="S156" s="26">
        <f>IFERROR(INDEX(Parametros!$F$33:$F$42,MATCH(D156,Parametros!$A$33:$A$42,0)),1)</f>
        <v>1.0169999999999999</v>
      </c>
      <c r="T156" s="27">
        <f>IFERROR(INDEX(Parametros!$B$21:$B$26,MATCH(I156,Parametros!$A$21:$A$26,0)),0)</f>
        <v>0</v>
      </c>
      <c r="U156" s="28">
        <f t="shared" si="9"/>
        <v>3.46</v>
      </c>
      <c r="V156" s="9">
        <f>IF(U156&gt;=Parametros!$B$14,4,IF(U156&gt;=Parametros!$B$13,3,IF(U156&gt;=Parametros!$B$12,2,1)))</f>
        <v>3</v>
      </c>
      <c r="W156" s="5">
        <f>MAX(V156,IF(K156=5,Parametros!$B$17,0),IF(P156="Sim",Parametros!$B$18,0))</f>
        <v>3</v>
      </c>
      <c r="X156" s="5" t="str">
        <f t="shared" si="10"/>
        <v>Alta</v>
      </c>
      <c r="Y156" s="29">
        <f t="shared" si="11"/>
        <v>3034.399844</v>
      </c>
      <c r="Z156" s="4" t="s">
        <v>158</v>
      </c>
    </row>
    <row r="157" spans="1:26" ht="28.05" customHeight="1" x14ac:dyDescent="0.3">
      <c r="A157" s="5">
        <f t="shared" si="8"/>
        <v>153</v>
      </c>
      <c r="B157" s="23" t="s">
        <v>576</v>
      </c>
      <c r="C157" s="17" t="s">
        <v>288</v>
      </c>
      <c r="D157" s="4" t="s">
        <v>50</v>
      </c>
      <c r="E157" s="4" t="s">
        <v>65</v>
      </c>
      <c r="F157" s="4" t="s">
        <v>65</v>
      </c>
      <c r="G157" s="4" t="s">
        <v>107</v>
      </c>
      <c r="H157" s="4" t="s">
        <v>108</v>
      </c>
      <c r="I157" s="24" t="s">
        <v>122</v>
      </c>
      <c r="J157" s="15">
        <v>3</v>
      </c>
      <c r="K157" s="15">
        <v>3</v>
      </c>
      <c r="L157" s="15">
        <v>3</v>
      </c>
      <c r="M157" s="15">
        <v>4</v>
      </c>
      <c r="N157" s="15">
        <v>3</v>
      </c>
      <c r="O157" s="15">
        <v>3</v>
      </c>
      <c r="P157" s="15" t="s">
        <v>415</v>
      </c>
      <c r="Q157" s="23" t="s">
        <v>416</v>
      </c>
      <c r="R157" s="25">
        <f>ROUND((K157*Parametros!$B$4+L157*Parametros!$B$5+M157*Parametros!$B$6+N157*Parametros!$B$7+O157*Parametros!$B$8)/SUM(Parametros!$B$4:$B$8),2)</f>
        <v>3.2</v>
      </c>
      <c r="S157" s="26">
        <f>IFERROR(INDEX(Parametros!$F$33:$F$42,MATCH(D157,Parametros!$A$33:$A$42,0)),1)</f>
        <v>1.0840000000000001</v>
      </c>
      <c r="T157" s="27">
        <f>IFERROR(INDEX(Parametros!$B$21:$B$26,MATCH(I157,Parametros!$A$21:$A$26,0)),0)</f>
        <v>0</v>
      </c>
      <c r="U157" s="28">
        <f t="shared" si="9"/>
        <v>3.47</v>
      </c>
      <c r="V157" s="9">
        <f>IF(U157&gt;=Parametros!$B$14,4,IF(U157&gt;=Parametros!$B$13,3,IF(U157&gt;=Parametros!$B$12,2,1)))</f>
        <v>3</v>
      </c>
      <c r="W157" s="5">
        <f>MAX(V157,IF(K157=5,Parametros!$B$17,0),IF(P157="Sim",Parametros!$B$18,0))</f>
        <v>3</v>
      </c>
      <c r="X157" s="5" t="str">
        <f t="shared" si="10"/>
        <v>Alta</v>
      </c>
      <c r="Y157" s="29">
        <f t="shared" si="11"/>
        <v>3034.3998429999997</v>
      </c>
      <c r="Z157" s="4" t="s">
        <v>289</v>
      </c>
    </row>
    <row r="158" spans="1:26" ht="28.05" customHeight="1" x14ac:dyDescent="0.3">
      <c r="A158" s="5">
        <f t="shared" si="8"/>
        <v>154</v>
      </c>
      <c r="B158" s="23" t="s">
        <v>577</v>
      </c>
      <c r="C158" s="17" t="s">
        <v>290</v>
      </c>
      <c r="D158" s="4" t="s">
        <v>53</v>
      </c>
      <c r="E158" s="4" t="s">
        <v>68</v>
      </c>
      <c r="F158" s="4" t="s">
        <v>68</v>
      </c>
      <c r="G158" s="4" t="s">
        <v>112</v>
      </c>
      <c r="H158" s="4" t="s">
        <v>108</v>
      </c>
      <c r="I158" s="24" t="s">
        <v>122</v>
      </c>
      <c r="J158" s="15">
        <v>3</v>
      </c>
      <c r="K158" s="15">
        <v>4</v>
      </c>
      <c r="L158" s="15">
        <v>5</v>
      </c>
      <c r="M158" s="15">
        <v>1</v>
      </c>
      <c r="N158" s="15">
        <v>3</v>
      </c>
      <c r="O158" s="15">
        <v>3</v>
      </c>
      <c r="P158" s="15" t="s">
        <v>415</v>
      </c>
      <c r="Q158" s="23" t="s">
        <v>416</v>
      </c>
      <c r="R158" s="25">
        <f>ROUND((K158*Parametros!$B$4+L158*Parametros!$B$5+M158*Parametros!$B$6+N158*Parametros!$B$7+O158*Parametros!$B$8)/SUM(Parametros!$B$4:$B$8),2)</f>
        <v>3.3</v>
      </c>
      <c r="S158" s="26">
        <f>IFERROR(INDEX(Parametros!$F$33:$F$42,MATCH(D158,Parametros!$A$33:$A$42,0)),1)</f>
        <v>1.05</v>
      </c>
      <c r="T158" s="27">
        <f>IFERROR(INDEX(Parametros!$B$21:$B$26,MATCH(I158,Parametros!$A$21:$A$26,0)),0)</f>
        <v>0</v>
      </c>
      <c r="U158" s="28">
        <f t="shared" si="9"/>
        <v>3.47</v>
      </c>
      <c r="V158" s="9">
        <f>IF(U158&gt;=Parametros!$B$14,4,IF(U158&gt;=Parametros!$B$13,3,IF(U158&gt;=Parametros!$B$12,2,1)))</f>
        <v>3</v>
      </c>
      <c r="W158" s="5">
        <f>MAX(V158,IF(K158=5,Parametros!$B$17,0),IF(P158="Sim",Parametros!$B$18,0))</f>
        <v>3</v>
      </c>
      <c r="X158" s="5" t="str">
        <f t="shared" si="10"/>
        <v>Alta</v>
      </c>
      <c r="Y158" s="29">
        <f t="shared" si="11"/>
        <v>3034.3998419999998</v>
      </c>
      <c r="Z158" s="4" t="s">
        <v>291</v>
      </c>
    </row>
    <row r="159" spans="1:26" ht="28.05" customHeight="1" x14ac:dyDescent="0.3">
      <c r="A159" s="5">
        <f t="shared" si="8"/>
        <v>155</v>
      </c>
      <c r="B159" s="23" t="s">
        <v>578</v>
      </c>
      <c r="C159" s="17" t="s">
        <v>292</v>
      </c>
      <c r="D159" s="4" t="s">
        <v>53</v>
      </c>
      <c r="E159" s="4" t="s">
        <v>68</v>
      </c>
      <c r="F159" s="4" t="s">
        <v>68</v>
      </c>
      <c r="G159" s="4" t="s">
        <v>112</v>
      </c>
      <c r="H159" s="4" t="s">
        <v>108</v>
      </c>
      <c r="I159" s="24" t="s">
        <v>122</v>
      </c>
      <c r="J159" s="15">
        <v>3</v>
      </c>
      <c r="K159" s="15">
        <v>4</v>
      </c>
      <c r="L159" s="15">
        <v>5</v>
      </c>
      <c r="M159" s="15">
        <v>1</v>
      </c>
      <c r="N159" s="15">
        <v>3</v>
      </c>
      <c r="O159" s="15">
        <v>3</v>
      </c>
      <c r="P159" s="15" t="s">
        <v>415</v>
      </c>
      <c r="Q159" s="23" t="s">
        <v>416</v>
      </c>
      <c r="R159" s="25">
        <f>ROUND((K159*Parametros!$B$4+L159*Parametros!$B$5+M159*Parametros!$B$6+N159*Parametros!$B$7+O159*Parametros!$B$8)/SUM(Parametros!$B$4:$B$8),2)</f>
        <v>3.3</v>
      </c>
      <c r="S159" s="26">
        <f>IFERROR(INDEX(Parametros!$F$33:$F$42,MATCH(D159,Parametros!$A$33:$A$42,0)),1)</f>
        <v>1.05</v>
      </c>
      <c r="T159" s="27">
        <f>IFERROR(INDEX(Parametros!$B$21:$B$26,MATCH(I159,Parametros!$A$21:$A$26,0)),0)</f>
        <v>0</v>
      </c>
      <c r="U159" s="28">
        <f t="shared" si="9"/>
        <v>3.47</v>
      </c>
      <c r="V159" s="9">
        <f>IF(U159&gt;=Parametros!$B$14,4,IF(U159&gt;=Parametros!$B$13,3,IF(U159&gt;=Parametros!$B$12,2,1)))</f>
        <v>3</v>
      </c>
      <c r="W159" s="5">
        <f>MAX(V159,IF(K159=5,Parametros!$B$17,0),IF(P159="Sim",Parametros!$B$18,0))</f>
        <v>3</v>
      </c>
      <c r="X159" s="5" t="str">
        <f t="shared" si="10"/>
        <v>Alta</v>
      </c>
      <c r="Y159" s="29">
        <f t="shared" si="11"/>
        <v>3034.3998409999995</v>
      </c>
      <c r="Z159" s="4" t="s">
        <v>291</v>
      </c>
    </row>
    <row r="160" spans="1:26" ht="28.05" customHeight="1" x14ac:dyDescent="0.3">
      <c r="A160" s="5">
        <f t="shared" si="8"/>
        <v>156</v>
      </c>
      <c r="B160" s="23" t="s">
        <v>579</v>
      </c>
      <c r="C160" s="17" t="s">
        <v>293</v>
      </c>
      <c r="D160" s="4" t="s">
        <v>53</v>
      </c>
      <c r="E160" s="4" t="s">
        <v>68</v>
      </c>
      <c r="F160" s="4" t="s">
        <v>68</v>
      </c>
      <c r="G160" s="4" t="s">
        <v>112</v>
      </c>
      <c r="H160" s="4" t="s">
        <v>108</v>
      </c>
      <c r="I160" s="24" t="s">
        <v>122</v>
      </c>
      <c r="J160" s="15">
        <v>3</v>
      </c>
      <c r="K160" s="15">
        <v>4</v>
      </c>
      <c r="L160" s="15">
        <v>5</v>
      </c>
      <c r="M160" s="15">
        <v>1</v>
      </c>
      <c r="N160" s="15">
        <v>3</v>
      </c>
      <c r="O160" s="15">
        <v>3</v>
      </c>
      <c r="P160" s="15" t="s">
        <v>415</v>
      </c>
      <c r="Q160" s="23" t="s">
        <v>416</v>
      </c>
      <c r="R160" s="25">
        <f>ROUND((K160*Parametros!$B$4+L160*Parametros!$B$5+M160*Parametros!$B$6+N160*Parametros!$B$7+O160*Parametros!$B$8)/SUM(Parametros!$B$4:$B$8),2)</f>
        <v>3.3</v>
      </c>
      <c r="S160" s="26">
        <f>IFERROR(INDEX(Parametros!$F$33:$F$42,MATCH(D160,Parametros!$A$33:$A$42,0)),1)</f>
        <v>1.05</v>
      </c>
      <c r="T160" s="27">
        <f>IFERROR(INDEX(Parametros!$B$21:$B$26,MATCH(I160,Parametros!$A$21:$A$26,0)),0)</f>
        <v>0</v>
      </c>
      <c r="U160" s="28">
        <f t="shared" si="9"/>
        <v>3.47</v>
      </c>
      <c r="V160" s="9">
        <f>IF(U160&gt;=Parametros!$B$14,4,IF(U160&gt;=Parametros!$B$13,3,IF(U160&gt;=Parametros!$B$12,2,1)))</f>
        <v>3</v>
      </c>
      <c r="W160" s="5">
        <f>MAX(V160,IF(K160=5,Parametros!$B$17,0),IF(P160="Sim",Parametros!$B$18,0))</f>
        <v>3</v>
      </c>
      <c r="X160" s="5" t="str">
        <f t="shared" si="10"/>
        <v>Alta</v>
      </c>
      <c r="Y160" s="29">
        <f t="shared" si="11"/>
        <v>3034.3998399999996</v>
      </c>
      <c r="Z160" s="4" t="s">
        <v>291</v>
      </c>
    </row>
    <row r="161" spans="1:26" ht="28.05" customHeight="1" x14ac:dyDescent="0.3">
      <c r="A161" s="5">
        <f t="shared" si="8"/>
        <v>157</v>
      </c>
      <c r="B161" s="23" t="s">
        <v>580</v>
      </c>
      <c r="C161" s="17" t="s">
        <v>294</v>
      </c>
      <c r="D161" s="4" t="s">
        <v>55</v>
      </c>
      <c r="E161" s="4" t="s">
        <v>83</v>
      </c>
      <c r="F161" s="4" t="s">
        <v>83</v>
      </c>
      <c r="G161" s="4" t="s">
        <v>134</v>
      </c>
      <c r="H161" s="4" t="s">
        <v>108</v>
      </c>
      <c r="I161" s="24" t="s">
        <v>109</v>
      </c>
      <c r="J161" s="15">
        <v>2</v>
      </c>
      <c r="K161" s="15">
        <v>4</v>
      </c>
      <c r="L161" s="15">
        <v>3</v>
      </c>
      <c r="M161" s="15">
        <v>1</v>
      </c>
      <c r="N161" s="15">
        <v>4</v>
      </c>
      <c r="O161" s="15">
        <v>3</v>
      </c>
      <c r="P161" s="15" t="s">
        <v>415</v>
      </c>
      <c r="Q161" s="23" t="s">
        <v>416</v>
      </c>
      <c r="R161" s="25">
        <f>ROUND((K161*Parametros!$B$4+L161*Parametros!$B$5+M161*Parametros!$B$6+N161*Parametros!$B$7+O161*Parametros!$B$8)/SUM(Parametros!$B$4:$B$8),2)</f>
        <v>3.05</v>
      </c>
      <c r="S161" s="26">
        <f>IFERROR(INDEX(Parametros!$F$33:$F$42,MATCH(D161,Parametros!$A$33:$A$42,0)),1)</f>
        <v>1.034</v>
      </c>
      <c r="T161" s="27">
        <f>IFERROR(INDEX(Parametros!$B$21:$B$26,MATCH(I161,Parametros!$A$21:$A$26,0)),0)</f>
        <v>0.3</v>
      </c>
      <c r="U161" s="28">
        <f t="shared" si="9"/>
        <v>3.45</v>
      </c>
      <c r="V161" s="9">
        <f>IF(U161&gt;=Parametros!$B$14,4,IF(U161&gt;=Parametros!$B$13,3,IF(U161&gt;=Parametros!$B$12,2,1)))</f>
        <v>3</v>
      </c>
      <c r="W161" s="5">
        <f>MAX(V161,IF(K161=5,Parametros!$B$17,0),IF(P161="Sim",Parametros!$B$18,0))</f>
        <v>3</v>
      </c>
      <c r="X161" s="5" t="str">
        <f t="shared" si="10"/>
        <v>Alta</v>
      </c>
      <c r="Y161" s="29">
        <f t="shared" si="11"/>
        <v>3034.2998390000002</v>
      </c>
      <c r="Z161" s="4" t="s">
        <v>237</v>
      </c>
    </row>
    <row r="162" spans="1:26" ht="28.05" customHeight="1" x14ac:dyDescent="0.3">
      <c r="A162" s="5">
        <f t="shared" si="8"/>
        <v>158</v>
      </c>
      <c r="B162" s="23" t="s">
        <v>581</v>
      </c>
      <c r="C162" s="17" t="s">
        <v>295</v>
      </c>
      <c r="D162" s="4" t="s">
        <v>53</v>
      </c>
      <c r="E162" s="4" t="s">
        <v>64</v>
      </c>
      <c r="F162" s="4" t="s">
        <v>64</v>
      </c>
      <c r="G162" s="4" t="s">
        <v>112</v>
      </c>
      <c r="H162" s="4" t="s">
        <v>108</v>
      </c>
      <c r="I162" s="24" t="s">
        <v>109</v>
      </c>
      <c r="J162" s="15">
        <v>2</v>
      </c>
      <c r="K162" s="15">
        <v>4</v>
      </c>
      <c r="L162" s="15">
        <v>4</v>
      </c>
      <c r="M162" s="15">
        <v>2</v>
      </c>
      <c r="N162" s="15">
        <v>2</v>
      </c>
      <c r="O162" s="15">
        <v>2</v>
      </c>
      <c r="P162" s="15" t="s">
        <v>415</v>
      </c>
      <c r="Q162" s="23" t="s">
        <v>416</v>
      </c>
      <c r="R162" s="25">
        <f>ROUND((K162*Parametros!$B$4+L162*Parametros!$B$5+M162*Parametros!$B$6+N162*Parametros!$B$7+O162*Parametros!$B$8)/SUM(Parametros!$B$4:$B$8),2)</f>
        <v>3</v>
      </c>
      <c r="S162" s="26">
        <f>IFERROR(INDEX(Parametros!$F$33:$F$42,MATCH(D162,Parametros!$A$33:$A$42,0)),1)</f>
        <v>1.05</v>
      </c>
      <c r="T162" s="27">
        <f>IFERROR(INDEX(Parametros!$B$21:$B$26,MATCH(I162,Parametros!$A$21:$A$26,0)),0)</f>
        <v>0.3</v>
      </c>
      <c r="U162" s="28">
        <f t="shared" si="9"/>
        <v>3.45</v>
      </c>
      <c r="V162" s="9">
        <f>IF(U162&gt;=Parametros!$B$14,4,IF(U162&gt;=Parametros!$B$13,3,IF(U162&gt;=Parametros!$B$12,2,1)))</f>
        <v>3</v>
      </c>
      <c r="W162" s="5">
        <f>MAX(V162,IF(K162=5,Parametros!$B$17,0),IF(P162="Sim",Parametros!$B$18,0))</f>
        <v>3</v>
      </c>
      <c r="X162" s="5" t="str">
        <f t="shared" si="10"/>
        <v>Alta</v>
      </c>
      <c r="Y162" s="29">
        <f t="shared" si="11"/>
        <v>3034.2998380000004</v>
      </c>
      <c r="Z162" s="4" t="s">
        <v>164</v>
      </c>
    </row>
    <row r="163" spans="1:26" ht="28.05" customHeight="1" x14ac:dyDescent="0.3">
      <c r="A163" s="5">
        <f t="shared" si="8"/>
        <v>159</v>
      </c>
      <c r="B163" s="23" t="s">
        <v>582</v>
      </c>
      <c r="C163" s="17" t="s">
        <v>361</v>
      </c>
      <c r="D163" s="4" t="s">
        <v>52</v>
      </c>
      <c r="E163" s="4" t="s">
        <v>64</v>
      </c>
      <c r="F163" s="4" t="s">
        <v>64</v>
      </c>
      <c r="G163" s="4" t="s">
        <v>171</v>
      </c>
      <c r="H163" s="4" t="s">
        <v>172</v>
      </c>
      <c r="I163" s="24" t="s">
        <v>109</v>
      </c>
      <c r="J163" s="15">
        <v>2</v>
      </c>
      <c r="K163" s="15">
        <v>4</v>
      </c>
      <c r="L163" s="15">
        <v>4</v>
      </c>
      <c r="M163" s="15">
        <v>2</v>
      </c>
      <c r="N163" s="15">
        <v>2</v>
      </c>
      <c r="O163" s="15">
        <v>2</v>
      </c>
      <c r="P163" s="15" t="s">
        <v>415</v>
      </c>
      <c r="Q163" s="23" t="s">
        <v>416</v>
      </c>
      <c r="R163" s="25">
        <f>ROUND((K163*Parametros!$B$4+L163*Parametros!$B$5+M163*Parametros!$B$6+N163*Parametros!$B$7+O163*Parametros!$B$8)/SUM(Parametros!$B$4:$B$8),2)</f>
        <v>3</v>
      </c>
      <c r="S163" s="26">
        <f>IFERROR(INDEX(Parametros!$F$33:$F$42,MATCH(D163,Parametros!$A$33:$A$42,0)),1)</f>
        <v>1.05</v>
      </c>
      <c r="T163" s="27">
        <f>IFERROR(INDEX(Parametros!$B$21:$B$26,MATCH(I163,Parametros!$A$21:$A$26,0)),0)</f>
        <v>0.3</v>
      </c>
      <c r="U163" s="28">
        <f t="shared" si="9"/>
        <v>3.45</v>
      </c>
      <c r="V163" s="9">
        <f>IF(U163&gt;=Parametros!$B$14,4,IF(U163&gt;=Parametros!$B$13,3,IF(U163&gt;=Parametros!$B$12,2,1)))</f>
        <v>3</v>
      </c>
      <c r="W163" s="5">
        <f>MAX(V163,IF(K163=5,Parametros!$B$17,0),IF(P163="Sim",Parametros!$B$18,0))</f>
        <v>3</v>
      </c>
      <c r="X163" s="5" t="str">
        <f t="shared" si="10"/>
        <v>Alta</v>
      </c>
      <c r="Y163" s="29">
        <f t="shared" si="11"/>
        <v>3034.299837</v>
      </c>
      <c r="Z163" s="4" t="s">
        <v>164</v>
      </c>
    </row>
    <row r="164" spans="1:26" ht="28.05" customHeight="1" x14ac:dyDescent="0.3">
      <c r="A164" s="5">
        <f t="shared" si="8"/>
        <v>160</v>
      </c>
      <c r="B164" s="23" t="s">
        <v>583</v>
      </c>
      <c r="C164" s="17" t="s">
        <v>269</v>
      </c>
      <c r="D164" s="4" t="s">
        <v>56</v>
      </c>
      <c r="E164" s="4" t="s">
        <v>76</v>
      </c>
      <c r="F164" s="4" t="s">
        <v>76</v>
      </c>
      <c r="G164" s="4" t="s">
        <v>112</v>
      </c>
      <c r="H164" s="4" t="s">
        <v>108</v>
      </c>
      <c r="I164" s="24" t="s">
        <v>152</v>
      </c>
      <c r="J164" s="15">
        <v>3</v>
      </c>
      <c r="K164" s="15">
        <v>4</v>
      </c>
      <c r="L164" s="15">
        <v>4</v>
      </c>
      <c r="M164" s="15">
        <v>1</v>
      </c>
      <c r="N164" s="15">
        <v>4</v>
      </c>
      <c r="O164" s="15">
        <v>4</v>
      </c>
      <c r="P164" s="15" t="s">
        <v>415</v>
      </c>
      <c r="Q164" s="23" t="s">
        <v>416</v>
      </c>
      <c r="R164" s="25">
        <f>ROUND((K164*Parametros!$B$4+L164*Parametros!$B$5+M164*Parametros!$B$6+N164*Parametros!$B$7+O164*Parametros!$B$8)/SUM(Parametros!$B$4:$B$8),2)</f>
        <v>3.4</v>
      </c>
      <c r="S164" s="26">
        <f>IFERROR(INDEX(Parametros!$F$33:$F$42,MATCH(D164,Parametros!$A$33:$A$42,0)),1)</f>
        <v>1.0169999999999999</v>
      </c>
      <c r="T164" s="27">
        <f>IFERROR(INDEX(Parametros!$B$21:$B$26,MATCH(I164,Parametros!$A$21:$A$26,0)),0)</f>
        <v>0</v>
      </c>
      <c r="U164" s="28">
        <f t="shared" si="9"/>
        <v>3.46</v>
      </c>
      <c r="V164" s="9">
        <f>IF(U164&gt;=Parametros!$B$14,4,IF(U164&gt;=Parametros!$B$13,3,IF(U164&gt;=Parametros!$B$12,2,1)))</f>
        <v>3</v>
      </c>
      <c r="W164" s="5">
        <f>MAX(V164,IF(K164=5,Parametros!$B$17,0),IF(P164="Sim",Parametros!$B$18,0))</f>
        <v>3</v>
      </c>
      <c r="X164" s="5" t="str">
        <f t="shared" si="10"/>
        <v>Alta</v>
      </c>
      <c r="Y164" s="29">
        <f t="shared" si="11"/>
        <v>3034.2998359999997</v>
      </c>
      <c r="Z164" s="4" t="s">
        <v>158</v>
      </c>
    </row>
    <row r="165" spans="1:26" ht="28.05" customHeight="1" x14ac:dyDescent="0.3">
      <c r="A165" s="5">
        <f t="shared" si="8"/>
        <v>161</v>
      </c>
      <c r="B165" s="23" t="s">
        <v>584</v>
      </c>
      <c r="C165" s="17" t="s">
        <v>270</v>
      </c>
      <c r="D165" s="4" t="s">
        <v>56</v>
      </c>
      <c r="E165" s="4" t="s">
        <v>71</v>
      </c>
      <c r="F165" s="4" t="s">
        <v>71</v>
      </c>
      <c r="G165" s="4" t="s">
        <v>112</v>
      </c>
      <c r="H165" s="4" t="s">
        <v>108</v>
      </c>
      <c r="I165" s="24" t="s">
        <v>152</v>
      </c>
      <c r="J165" s="15">
        <v>3</v>
      </c>
      <c r="K165" s="15">
        <v>4</v>
      </c>
      <c r="L165" s="15">
        <v>4</v>
      </c>
      <c r="M165" s="15">
        <v>1</v>
      </c>
      <c r="N165" s="15">
        <v>4</v>
      </c>
      <c r="O165" s="15">
        <v>4</v>
      </c>
      <c r="P165" s="15" t="s">
        <v>415</v>
      </c>
      <c r="Q165" s="23" t="s">
        <v>416</v>
      </c>
      <c r="R165" s="25">
        <f>ROUND((K165*Parametros!$B$4+L165*Parametros!$B$5+M165*Parametros!$B$6+N165*Parametros!$B$7+O165*Parametros!$B$8)/SUM(Parametros!$B$4:$B$8),2)</f>
        <v>3.4</v>
      </c>
      <c r="S165" s="26">
        <f>IFERROR(INDEX(Parametros!$F$33:$F$42,MATCH(D165,Parametros!$A$33:$A$42,0)),1)</f>
        <v>1.0169999999999999</v>
      </c>
      <c r="T165" s="27">
        <f>IFERROR(INDEX(Parametros!$B$21:$B$26,MATCH(I165,Parametros!$A$21:$A$26,0)),0)</f>
        <v>0</v>
      </c>
      <c r="U165" s="28">
        <f t="shared" si="9"/>
        <v>3.46</v>
      </c>
      <c r="V165" s="9">
        <f>IF(U165&gt;=Parametros!$B$14,4,IF(U165&gt;=Parametros!$B$13,3,IF(U165&gt;=Parametros!$B$12,2,1)))</f>
        <v>3</v>
      </c>
      <c r="W165" s="5">
        <f>MAX(V165,IF(K165=5,Parametros!$B$17,0),IF(P165="Sim",Parametros!$B$18,0))</f>
        <v>3</v>
      </c>
      <c r="X165" s="5" t="str">
        <f t="shared" si="10"/>
        <v>Alta</v>
      </c>
      <c r="Y165" s="29">
        <f t="shared" si="11"/>
        <v>3034.2998349999998</v>
      </c>
      <c r="Z165" s="4" t="s">
        <v>158</v>
      </c>
    </row>
    <row r="166" spans="1:26" ht="28.05" customHeight="1" x14ac:dyDescent="0.3">
      <c r="A166" s="5">
        <f t="shared" si="8"/>
        <v>162</v>
      </c>
      <c r="B166" s="23" t="s">
        <v>585</v>
      </c>
      <c r="C166" s="17" t="s">
        <v>296</v>
      </c>
      <c r="D166" s="4" t="s">
        <v>52</v>
      </c>
      <c r="E166" s="4" t="s">
        <v>64</v>
      </c>
      <c r="F166" s="4" t="s">
        <v>64</v>
      </c>
      <c r="G166" s="4" t="s">
        <v>112</v>
      </c>
      <c r="H166" s="4" t="s">
        <v>108</v>
      </c>
      <c r="I166" s="24" t="s">
        <v>131</v>
      </c>
      <c r="J166" s="15">
        <v>4</v>
      </c>
      <c r="K166" s="15">
        <v>3</v>
      </c>
      <c r="L166" s="15">
        <v>4</v>
      </c>
      <c r="M166" s="15">
        <v>2</v>
      </c>
      <c r="N166" s="15">
        <v>4</v>
      </c>
      <c r="O166" s="15">
        <v>4</v>
      </c>
      <c r="P166" s="15" t="s">
        <v>415</v>
      </c>
      <c r="Q166" s="23" t="s">
        <v>416</v>
      </c>
      <c r="R166" s="25">
        <f>ROUND((K166*Parametros!$B$4+L166*Parametros!$B$5+M166*Parametros!$B$6+N166*Parametros!$B$7+O166*Parametros!$B$8)/SUM(Parametros!$B$4:$B$8),2)</f>
        <v>3.3</v>
      </c>
      <c r="S166" s="26">
        <f>IFERROR(INDEX(Parametros!$F$33:$F$42,MATCH(D166,Parametros!$A$33:$A$42,0)),1)</f>
        <v>1.05</v>
      </c>
      <c r="T166" s="27">
        <f>IFERROR(INDEX(Parametros!$B$21:$B$26,MATCH(I166,Parametros!$A$21:$A$26,0)),0)</f>
        <v>0</v>
      </c>
      <c r="U166" s="28">
        <f t="shared" si="9"/>
        <v>3.47</v>
      </c>
      <c r="V166" s="9">
        <f>IF(U166&gt;=Parametros!$B$14,4,IF(U166&gt;=Parametros!$B$13,3,IF(U166&gt;=Parametros!$B$12,2,1)))</f>
        <v>3</v>
      </c>
      <c r="W166" s="5">
        <f>MAX(V166,IF(K166=5,Parametros!$B$17,0),IF(P166="Sim",Parametros!$B$18,0))</f>
        <v>3</v>
      </c>
      <c r="X166" s="5" t="str">
        <f t="shared" si="10"/>
        <v>Alta</v>
      </c>
      <c r="Y166" s="29">
        <f t="shared" si="11"/>
        <v>3034.2998339999999</v>
      </c>
      <c r="Z166" s="4" t="s">
        <v>228</v>
      </c>
    </row>
    <row r="167" spans="1:26" ht="28.05" customHeight="1" x14ac:dyDescent="0.3">
      <c r="A167" s="5">
        <f t="shared" si="8"/>
        <v>163</v>
      </c>
      <c r="B167" s="23" t="s">
        <v>586</v>
      </c>
      <c r="C167" s="17" t="s">
        <v>278</v>
      </c>
      <c r="D167" s="4" t="s">
        <v>56</v>
      </c>
      <c r="E167" s="4" t="s">
        <v>64</v>
      </c>
      <c r="F167" s="4" t="s">
        <v>64</v>
      </c>
      <c r="G167" s="4" t="s">
        <v>134</v>
      </c>
      <c r="H167" s="4" t="s">
        <v>108</v>
      </c>
      <c r="I167" s="24" t="s">
        <v>109</v>
      </c>
      <c r="J167" s="15">
        <v>3</v>
      </c>
      <c r="K167" s="15">
        <v>4</v>
      </c>
      <c r="L167" s="15">
        <v>4</v>
      </c>
      <c r="M167" s="15">
        <v>1</v>
      </c>
      <c r="N167" s="15">
        <v>3</v>
      </c>
      <c r="O167" s="15">
        <v>3</v>
      </c>
      <c r="P167" s="15" t="s">
        <v>415</v>
      </c>
      <c r="Q167" s="23" t="s">
        <v>416</v>
      </c>
      <c r="R167" s="25">
        <f>ROUND((K167*Parametros!$B$4+L167*Parametros!$B$5+M167*Parametros!$B$6+N167*Parametros!$B$7+O167*Parametros!$B$8)/SUM(Parametros!$B$4:$B$8),2)</f>
        <v>3.1</v>
      </c>
      <c r="S167" s="26">
        <f>IFERROR(INDEX(Parametros!$F$33:$F$42,MATCH(D167,Parametros!$A$33:$A$42,0)),1)</f>
        <v>1.0169999999999999</v>
      </c>
      <c r="T167" s="27">
        <f>IFERROR(INDEX(Parametros!$B$21:$B$26,MATCH(I167,Parametros!$A$21:$A$26,0)),0)</f>
        <v>0.3</v>
      </c>
      <c r="U167" s="28">
        <f t="shared" si="9"/>
        <v>3.45</v>
      </c>
      <c r="V167" s="9">
        <f>IF(U167&gt;=Parametros!$B$14,4,IF(U167&gt;=Parametros!$B$13,3,IF(U167&gt;=Parametros!$B$12,2,1)))</f>
        <v>3</v>
      </c>
      <c r="W167" s="5">
        <f>MAX(V167,IF(K167=5,Parametros!$B$17,0),IF(P167="Sim",Parametros!$B$18,0))</f>
        <v>3</v>
      </c>
      <c r="X167" s="5" t="str">
        <f t="shared" si="10"/>
        <v>Alta</v>
      </c>
      <c r="Y167" s="29">
        <f t="shared" si="11"/>
        <v>3034.1998329999997</v>
      </c>
      <c r="Z167" s="4" t="s">
        <v>164</v>
      </c>
    </row>
    <row r="168" spans="1:26" ht="28.05" customHeight="1" x14ac:dyDescent="0.3">
      <c r="A168" s="5">
        <f t="shared" si="8"/>
        <v>164</v>
      </c>
      <c r="B168" s="23" t="s">
        <v>587</v>
      </c>
      <c r="C168" s="17" t="s">
        <v>277</v>
      </c>
      <c r="D168" s="4" t="s">
        <v>56</v>
      </c>
      <c r="E168" s="4" t="s">
        <v>64</v>
      </c>
      <c r="F168" s="4" t="s">
        <v>64</v>
      </c>
      <c r="G168" s="4" t="s">
        <v>134</v>
      </c>
      <c r="H168" s="4" t="s">
        <v>108</v>
      </c>
      <c r="I168" s="24" t="s">
        <v>109</v>
      </c>
      <c r="J168" s="15">
        <v>3</v>
      </c>
      <c r="K168" s="15">
        <v>4</v>
      </c>
      <c r="L168" s="15">
        <v>4</v>
      </c>
      <c r="M168" s="15">
        <v>1</v>
      </c>
      <c r="N168" s="15">
        <v>3</v>
      </c>
      <c r="O168" s="15">
        <v>3</v>
      </c>
      <c r="P168" s="15" t="s">
        <v>415</v>
      </c>
      <c r="Q168" s="23" t="s">
        <v>416</v>
      </c>
      <c r="R168" s="25">
        <f>ROUND((K168*Parametros!$B$4+L168*Parametros!$B$5+M168*Parametros!$B$6+N168*Parametros!$B$7+O168*Parametros!$B$8)/SUM(Parametros!$B$4:$B$8),2)</f>
        <v>3.1</v>
      </c>
      <c r="S168" s="26">
        <f>IFERROR(INDEX(Parametros!$F$33:$F$42,MATCH(D168,Parametros!$A$33:$A$42,0)),1)</f>
        <v>1.0169999999999999</v>
      </c>
      <c r="T168" s="27">
        <f>IFERROR(INDEX(Parametros!$B$21:$B$26,MATCH(I168,Parametros!$A$21:$A$26,0)),0)</f>
        <v>0.3</v>
      </c>
      <c r="U168" s="28">
        <f t="shared" si="9"/>
        <v>3.45</v>
      </c>
      <c r="V168" s="9">
        <f>IF(U168&gt;=Parametros!$B$14,4,IF(U168&gt;=Parametros!$B$13,3,IF(U168&gt;=Parametros!$B$12,2,1)))</f>
        <v>3</v>
      </c>
      <c r="W168" s="5">
        <f>MAX(V168,IF(K168=5,Parametros!$B$17,0),IF(P168="Sim",Parametros!$B$18,0))</f>
        <v>3</v>
      </c>
      <c r="X168" s="5" t="str">
        <f t="shared" si="10"/>
        <v>Alta</v>
      </c>
      <c r="Y168" s="29">
        <f t="shared" si="11"/>
        <v>3034.1998319999998</v>
      </c>
      <c r="Z168" s="4" t="s">
        <v>164</v>
      </c>
    </row>
    <row r="169" spans="1:26" ht="28.05" customHeight="1" x14ac:dyDescent="0.3">
      <c r="A169" s="5">
        <f t="shared" si="8"/>
        <v>165</v>
      </c>
      <c r="B169" s="23" t="s">
        <v>588</v>
      </c>
      <c r="C169" s="17" t="s">
        <v>279</v>
      </c>
      <c r="D169" s="4" t="s">
        <v>56</v>
      </c>
      <c r="E169" s="4" t="s">
        <v>64</v>
      </c>
      <c r="F169" s="4" t="s">
        <v>64</v>
      </c>
      <c r="G169" s="4" t="s">
        <v>134</v>
      </c>
      <c r="H169" s="4" t="s">
        <v>108</v>
      </c>
      <c r="I169" s="24" t="s">
        <v>109</v>
      </c>
      <c r="J169" s="15">
        <v>3</v>
      </c>
      <c r="K169" s="15">
        <v>4</v>
      </c>
      <c r="L169" s="15">
        <v>4</v>
      </c>
      <c r="M169" s="15">
        <v>1</v>
      </c>
      <c r="N169" s="15">
        <v>4</v>
      </c>
      <c r="O169" s="15">
        <v>2</v>
      </c>
      <c r="P169" s="15" t="s">
        <v>415</v>
      </c>
      <c r="Q169" s="23" t="s">
        <v>416</v>
      </c>
      <c r="R169" s="25">
        <f>ROUND((K169*Parametros!$B$4+L169*Parametros!$B$5+M169*Parametros!$B$6+N169*Parametros!$B$7+O169*Parametros!$B$8)/SUM(Parametros!$B$4:$B$8),2)</f>
        <v>3.1</v>
      </c>
      <c r="S169" s="26">
        <f>IFERROR(INDEX(Parametros!$F$33:$F$42,MATCH(D169,Parametros!$A$33:$A$42,0)),1)</f>
        <v>1.0169999999999999</v>
      </c>
      <c r="T169" s="27">
        <f>IFERROR(INDEX(Parametros!$B$21:$B$26,MATCH(I169,Parametros!$A$21:$A$26,0)),0)</f>
        <v>0.3</v>
      </c>
      <c r="U169" s="28">
        <f t="shared" si="9"/>
        <v>3.45</v>
      </c>
      <c r="V169" s="9">
        <f>IF(U169&gt;=Parametros!$B$14,4,IF(U169&gt;=Parametros!$B$13,3,IF(U169&gt;=Parametros!$B$12,2,1)))</f>
        <v>3</v>
      </c>
      <c r="W169" s="5">
        <f>MAX(V169,IF(K169=5,Parametros!$B$17,0),IF(P169="Sim",Parametros!$B$18,0))</f>
        <v>3</v>
      </c>
      <c r="X169" s="5" t="str">
        <f t="shared" si="10"/>
        <v>Alta</v>
      </c>
      <c r="Y169" s="29">
        <f t="shared" si="11"/>
        <v>3034.1998309999999</v>
      </c>
      <c r="Z169" s="4" t="s">
        <v>179</v>
      </c>
    </row>
    <row r="170" spans="1:26" ht="28.05" customHeight="1" x14ac:dyDescent="0.3">
      <c r="A170" s="5">
        <f t="shared" si="8"/>
        <v>166</v>
      </c>
      <c r="B170" s="23" t="s">
        <v>589</v>
      </c>
      <c r="C170" s="17" t="s">
        <v>297</v>
      </c>
      <c r="D170" s="4" t="s">
        <v>55</v>
      </c>
      <c r="E170" s="4" t="s">
        <v>71</v>
      </c>
      <c r="F170" s="4" t="s">
        <v>71</v>
      </c>
      <c r="G170" s="4" t="s">
        <v>134</v>
      </c>
      <c r="H170" s="4" t="s">
        <v>108</v>
      </c>
      <c r="I170" s="24" t="s">
        <v>152</v>
      </c>
      <c r="J170" s="15">
        <v>2</v>
      </c>
      <c r="K170" s="15">
        <v>4</v>
      </c>
      <c r="L170" s="15">
        <v>4</v>
      </c>
      <c r="M170" s="15">
        <v>2</v>
      </c>
      <c r="N170" s="15">
        <v>2</v>
      </c>
      <c r="O170" s="15">
        <v>4</v>
      </c>
      <c r="P170" s="15" t="s">
        <v>415</v>
      </c>
      <c r="Q170" s="23" t="s">
        <v>416</v>
      </c>
      <c r="R170" s="25">
        <f>ROUND((K170*Parametros!$B$4+L170*Parametros!$B$5+M170*Parametros!$B$6+N170*Parametros!$B$7+O170*Parametros!$B$8)/SUM(Parametros!$B$4:$B$8),2)</f>
        <v>3.3</v>
      </c>
      <c r="S170" s="26">
        <f>IFERROR(INDEX(Parametros!$F$33:$F$42,MATCH(D170,Parametros!$A$33:$A$42,0)),1)</f>
        <v>1.034</v>
      </c>
      <c r="T170" s="27">
        <f>IFERROR(INDEX(Parametros!$B$21:$B$26,MATCH(I170,Parametros!$A$21:$A$26,0)),0)</f>
        <v>0</v>
      </c>
      <c r="U170" s="28">
        <f t="shared" si="9"/>
        <v>3.41</v>
      </c>
      <c r="V170" s="9">
        <f>IF(U170&gt;=Parametros!$B$14,4,IF(U170&gt;=Parametros!$B$13,3,IF(U170&gt;=Parametros!$B$12,2,1)))</f>
        <v>3</v>
      </c>
      <c r="W170" s="5">
        <f>MAX(V170,IF(K170=5,Parametros!$B$17,0),IF(P170="Sim",Parametros!$B$18,0))</f>
        <v>3</v>
      </c>
      <c r="X170" s="5" t="str">
        <f t="shared" si="10"/>
        <v>Alta</v>
      </c>
      <c r="Y170" s="29">
        <f t="shared" si="11"/>
        <v>3033.8998300000003</v>
      </c>
      <c r="Z170" s="4" t="s">
        <v>224</v>
      </c>
    </row>
    <row r="171" spans="1:26" ht="28.05" customHeight="1" x14ac:dyDescent="0.3">
      <c r="A171" s="5">
        <f t="shared" si="8"/>
        <v>167</v>
      </c>
      <c r="B171" s="23" t="s">
        <v>590</v>
      </c>
      <c r="C171" s="17" t="s">
        <v>294</v>
      </c>
      <c r="D171" s="4" t="s">
        <v>56</v>
      </c>
      <c r="E171" s="4" t="s">
        <v>83</v>
      </c>
      <c r="F171" s="4" t="s">
        <v>83</v>
      </c>
      <c r="G171" s="4" t="s">
        <v>134</v>
      </c>
      <c r="H171" s="4" t="s">
        <v>108</v>
      </c>
      <c r="I171" s="24" t="s">
        <v>109</v>
      </c>
      <c r="J171" s="15">
        <v>2</v>
      </c>
      <c r="K171" s="15">
        <v>4</v>
      </c>
      <c r="L171" s="15">
        <v>3</v>
      </c>
      <c r="M171" s="15">
        <v>1</v>
      </c>
      <c r="N171" s="15">
        <v>4</v>
      </c>
      <c r="O171" s="15">
        <v>3</v>
      </c>
      <c r="P171" s="15" t="s">
        <v>415</v>
      </c>
      <c r="Q171" s="23" t="s">
        <v>416</v>
      </c>
      <c r="R171" s="25">
        <f>ROUND((K171*Parametros!$B$4+L171*Parametros!$B$5+M171*Parametros!$B$6+N171*Parametros!$B$7+O171*Parametros!$B$8)/SUM(Parametros!$B$4:$B$8),2)</f>
        <v>3.05</v>
      </c>
      <c r="S171" s="26">
        <f>IFERROR(INDEX(Parametros!$F$33:$F$42,MATCH(D171,Parametros!$A$33:$A$42,0)),1)</f>
        <v>1.0169999999999999</v>
      </c>
      <c r="T171" s="27">
        <f>IFERROR(INDEX(Parametros!$B$21:$B$26,MATCH(I171,Parametros!$A$21:$A$26,0)),0)</f>
        <v>0.3</v>
      </c>
      <c r="U171" s="28">
        <f t="shared" si="9"/>
        <v>3.4</v>
      </c>
      <c r="V171" s="9">
        <f>IF(U171&gt;=Parametros!$B$14,4,IF(U171&gt;=Parametros!$B$13,3,IF(U171&gt;=Parametros!$B$12,2,1)))</f>
        <v>3</v>
      </c>
      <c r="W171" s="5">
        <f>MAX(V171,IF(K171=5,Parametros!$B$17,0),IF(P171="Sim",Parametros!$B$18,0))</f>
        <v>3</v>
      </c>
      <c r="X171" s="5" t="str">
        <f t="shared" si="10"/>
        <v>Alta</v>
      </c>
      <c r="Y171" s="29">
        <f t="shared" si="11"/>
        <v>3033.799829</v>
      </c>
      <c r="Z171" s="4" t="s">
        <v>237</v>
      </c>
    </row>
    <row r="172" spans="1:26" ht="28.05" customHeight="1" x14ac:dyDescent="0.3">
      <c r="A172" s="5">
        <f t="shared" si="8"/>
        <v>168</v>
      </c>
      <c r="B172" s="23" t="s">
        <v>591</v>
      </c>
      <c r="C172" s="17" t="s">
        <v>362</v>
      </c>
      <c r="D172" s="4" t="s">
        <v>53</v>
      </c>
      <c r="E172" s="4" t="s">
        <v>68</v>
      </c>
      <c r="F172" s="4" t="s">
        <v>68</v>
      </c>
      <c r="G172" s="4" t="s">
        <v>171</v>
      </c>
      <c r="H172" s="4" t="s">
        <v>172</v>
      </c>
      <c r="I172" s="24" t="s">
        <v>109</v>
      </c>
      <c r="J172" s="15">
        <v>2</v>
      </c>
      <c r="K172" s="15">
        <v>4</v>
      </c>
      <c r="L172" s="15">
        <v>4</v>
      </c>
      <c r="M172" s="15">
        <v>1</v>
      </c>
      <c r="N172" s="15">
        <v>2</v>
      </c>
      <c r="O172" s="15">
        <v>3</v>
      </c>
      <c r="P172" s="15" t="s">
        <v>415</v>
      </c>
      <c r="Q172" s="23" t="s">
        <v>416</v>
      </c>
      <c r="R172" s="25">
        <f>ROUND((K172*Parametros!$B$4+L172*Parametros!$B$5+M172*Parametros!$B$6+N172*Parametros!$B$7+O172*Parametros!$B$8)/SUM(Parametros!$B$4:$B$8),2)</f>
        <v>2.95</v>
      </c>
      <c r="S172" s="26">
        <f>IFERROR(INDEX(Parametros!$F$33:$F$42,MATCH(D172,Parametros!$A$33:$A$42,0)),1)</f>
        <v>1.05</v>
      </c>
      <c r="T172" s="27">
        <f>IFERROR(INDEX(Parametros!$B$21:$B$26,MATCH(I172,Parametros!$A$21:$A$26,0)),0)</f>
        <v>0.3</v>
      </c>
      <c r="U172" s="28">
        <f t="shared" si="9"/>
        <v>3.4</v>
      </c>
      <c r="V172" s="9">
        <f>IF(U172&gt;=Parametros!$B$14,4,IF(U172&gt;=Parametros!$B$13,3,IF(U172&gt;=Parametros!$B$12,2,1)))</f>
        <v>3</v>
      </c>
      <c r="W172" s="5">
        <f>MAX(V172,IF(K172=5,Parametros!$B$17,0),IF(P172="Sim",Parametros!$B$18,0))</f>
        <v>3</v>
      </c>
      <c r="X172" s="5" t="str">
        <f t="shared" si="10"/>
        <v>Alta</v>
      </c>
      <c r="Y172" s="29">
        <f t="shared" si="11"/>
        <v>3033.7998280000002</v>
      </c>
      <c r="Z172" s="4" t="s">
        <v>164</v>
      </c>
    </row>
    <row r="173" spans="1:26" ht="28.05" customHeight="1" x14ac:dyDescent="0.3">
      <c r="A173" s="5">
        <f t="shared" si="8"/>
        <v>169</v>
      </c>
      <c r="B173" s="23" t="s">
        <v>592</v>
      </c>
      <c r="C173" s="17" t="s">
        <v>363</v>
      </c>
      <c r="D173" s="4" t="s">
        <v>51</v>
      </c>
      <c r="E173" s="4" t="s">
        <v>81</v>
      </c>
      <c r="F173" s="4" t="s">
        <v>81</v>
      </c>
      <c r="G173" s="4" t="s">
        <v>171</v>
      </c>
      <c r="H173" s="4" t="s">
        <v>172</v>
      </c>
      <c r="I173" s="24" t="s">
        <v>122</v>
      </c>
      <c r="J173" s="15">
        <v>3</v>
      </c>
      <c r="K173" s="15">
        <v>3</v>
      </c>
      <c r="L173" s="15">
        <v>4</v>
      </c>
      <c r="M173" s="15">
        <v>3</v>
      </c>
      <c r="N173" s="15">
        <v>3</v>
      </c>
      <c r="O173" s="15">
        <v>3</v>
      </c>
      <c r="P173" s="15" t="s">
        <v>415</v>
      </c>
      <c r="Q173" s="23" t="s">
        <v>416</v>
      </c>
      <c r="R173" s="25">
        <f>ROUND((K173*Parametros!$B$4+L173*Parametros!$B$5+M173*Parametros!$B$6+N173*Parametros!$B$7+O173*Parametros!$B$8)/SUM(Parametros!$B$4:$B$8),2)</f>
        <v>3.2</v>
      </c>
      <c r="S173" s="26">
        <f>IFERROR(INDEX(Parametros!$F$33:$F$42,MATCH(D173,Parametros!$A$33:$A$42,0)),1)</f>
        <v>1.0669999999999999</v>
      </c>
      <c r="T173" s="27">
        <f>IFERROR(INDEX(Parametros!$B$21:$B$26,MATCH(I173,Parametros!$A$21:$A$26,0)),0)</f>
        <v>0</v>
      </c>
      <c r="U173" s="28">
        <f t="shared" si="9"/>
        <v>3.41</v>
      </c>
      <c r="V173" s="9">
        <f>IF(U173&gt;=Parametros!$B$14,4,IF(U173&gt;=Parametros!$B$13,3,IF(U173&gt;=Parametros!$B$12,2,1)))</f>
        <v>3</v>
      </c>
      <c r="W173" s="5">
        <f>MAX(V173,IF(K173=5,Parametros!$B$17,0),IF(P173="Sim",Parametros!$B$18,0))</f>
        <v>3</v>
      </c>
      <c r="X173" s="5" t="str">
        <f t="shared" si="10"/>
        <v>Alta</v>
      </c>
      <c r="Y173" s="29">
        <f t="shared" si="11"/>
        <v>3033.7998269999998</v>
      </c>
      <c r="Z173" s="4" t="s">
        <v>309</v>
      </c>
    </row>
    <row r="174" spans="1:26" ht="28.05" customHeight="1" x14ac:dyDescent="0.3">
      <c r="A174" s="5">
        <f t="shared" si="8"/>
        <v>170</v>
      </c>
      <c r="B174" s="23" t="s">
        <v>593</v>
      </c>
      <c r="C174" s="17" t="s">
        <v>364</v>
      </c>
      <c r="D174" s="4" t="s">
        <v>51</v>
      </c>
      <c r="E174" s="4" t="s">
        <v>86</v>
      </c>
      <c r="F174" s="4" t="s">
        <v>554</v>
      </c>
      <c r="G174" s="4" t="s">
        <v>171</v>
      </c>
      <c r="H174" s="4" t="s">
        <v>172</v>
      </c>
      <c r="I174" s="24" t="s">
        <v>122</v>
      </c>
      <c r="J174" s="15">
        <v>3</v>
      </c>
      <c r="K174" s="15">
        <v>3</v>
      </c>
      <c r="L174" s="15">
        <v>4</v>
      </c>
      <c r="M174" s="15">
        <v>3</v>
      </c>
      <c r="N174" s="15">
        <v>3</v>
      </c>
      <c r="O174" s="15">
        <v>3</v>
      </c>
      <c r="P174" s="15" t="s">
        <v>415</v>
      </c>
      <c r="Q174" s="23" t="s">
        <v>416</v>
      </c>
      <c r="R174" s="25">
        <f>ROUND((K174*Parametros!$B$4+L174*Parametros!$B$5+M174*Parametros!$B$6+N174*Parametros!$B$7+O174*Parametros!$B$8)/SUM(Parametros!$B$4:$B$8),2)</f>
        <v>3.2</v>
      </c>
      <c r="S174" s="26">
        <f>IFERROR(INDEX(Parametros!$F$33:$F$42,MATCH(D174,Parametros!$A$33:$A$42,0)),1)</f>
        <v>1.0669999999999999</v>
      </c>
      <c r="T174" s="27">
        <f>IFERROR(INDEX(Parametros!$B$21:$B$26,MATCH(I174,Parametros!$A$21:$A$26,0)),0)</f>
        <v>0</v>
      </c>
      <c r="U174" s="28">
        <f t="shared" si="9"/>
        <v>3.41</v>
      </c>
      <c r="V174" s="9">
        <f>IF(U174&gt;=Parametros!$B$14,4,IF(U174&gt;=Parametros!$B$13,3,IF(U174&gt;=Parametros!$B$12,2,1)))</f>
        <v>3</v>
      </c>
      <c r="W174" s="5">
        <f>MAX(V174,IF(K174=5,Parametros!$B$17,0),IF(P174="Sim",Parametros!$B$18,0))</f>
        <v>3</v>
      </c>
      <c r="X174" s="5" t="str">
        <f t="shared" si="10"/>
        <v>Alta</v>
      </c>
      <c r="Y174" s="29">
        <f t="shared" si="11"/>
        <v>3033.7998259999999</v>
      </c>
      <c r="Z174" s="4" t="s">
        <v>309</v>
      </c>
    </row>
    <row r="175" spans="1:26" ht="28.05" customHeight="1" x14ac:dyDescent="0.3">
      <c r="A175" s="5">
        <f t="shared" si="8"/>
        <v>171</v>
      </c>
      <c r="B175" s="23" t="s">
        <v>594</v>
      </c>
      <c r="C175" s="17" t="s">
        <v>365</v>
      </c>
      <c r="D175" s="4" t="s">
        <v>51</v>
      </c>
      <c r="E175" s="4" t="s">
        <v>86</v>
      </c>
      <c r="F175" s="4" t="s">
        <v>554</v>
      </c>
      <c r="G175" s="4" t="s">
        <v>171</v>
      </c>
      <c r="H175" s="4" t="s">
        <v>172</v>
      </c>
      <c r="I175" s="24" t="s">
        <v>122</v>
      </c>
      <c r="J175" s="15">
        <v>3</v>
      </c>
      <c r="K175" s="15">
        <v>3</v>
      </c>
      <c r="L175" s="15">
        <v>4</v>
      </c>
      <c r="M175" s="15">
        <v>3</v>
      </c>
      <c r="N175" s="15">
        <v>3</v>
      </c>
      <c r="O175" s="15">
        <v>3</v>
      </c>
      <c r="P175" s="15" t="s">
        <v>415</v>
      </c>
      <c r="Q175" s="23" t="s">
        <v>416</v>
      </c>
      <c r="R175" s="25">
        <f>ROUND((K175*Parametros!$B$4+L175*Parametros!$B$5+M175*Parametros!$B$6+N175*Parametros!$B$7+O175*Parametros!$B$8)/SUM(Parametros!$B$4:$B$8),2)</f>
        <v>3.2</v>
      </c>
      <c r="S175" s="26">
        <f>IFERROR(INDEX(Parametros!$F$33:$F$42,MATCH(D175,Parametros!$A$33:$A$42,0)),1)</f>
        <v>1.0669999999999999</v>
      </c>
      <c r="T175" s="27">
        <f>IFERROR(INDEX(Parametros!$B$21:$B$26,MATCH(I175,Parametros!$A$21:$A$26,0)),0)</f>
        <v>0</v>
      </c>
      <c r="U175" s="28">
        <f t="shared" si="9"/>
        <v>3.41</v>
      </c>
      <c r="V175" s="9">
        <f>IF(U175&gt;=Parametros!$B$14,4,IF(U175&gt;=Parametros!$B$13,3,IF(U175&gt;=Parametros!$B$12,2,1)))</f>
        <v>3</v>
      </c>
      <c r="W175" s="5">
        <f>MAX(V175,IF(K175=5,Parametros!$B$17,0),IF(P175="Sim",Parametros!$B$18,0))</f>
        <v>3</v>
      </c>
      <c r="X175" s="5" t="str">
        <f t="shared" si="10"/>
        <v>Alta</v>
      </c>
      <c r="Y175" s="29">
        <f t="shared" si="11"/>
        <v>3033.7998249999996</v>
      </c>
      <c r="Z175" s="4" t="s">
        <v>309</v>
      </c>
    </row>
    <row r="176" spans="1:26" ht="28.05" customHeight="1" x14ac:dyDescent="0.3">
      <c r="A176" s="5">
        <f t="shared" si="8"/>
        <v>172</v>
      </c>
      <c r="B176" s="23" t="s">
        <v>595</v>
      </c>
      <c r="C176" s="17" t="s">
        <v>366</v>
      </c>
      <c r="D176" s="4" t="s">
        <v>51</v>
      </c>
      <c r="E176" s="4" t="s">
        <v>69</v>
      </c>
      <c r="F176" s="4" t="s">
        <v>69</v>
      </c>
      <c r="G176" s="4" t="s">
        <v>171</v>
      </c>
      <c r="H176" s="4" t="s">
        <v>172</v>
      </c>
      <c r="I176" s="24" t="s">
        <v>122</v>
      </c>
      <c r="J176" s="15">
        <v>3</v>
      </c>
      <c r="K176" s="15">
        <v>3</v>
      </c>
      <c r="L176" s="15">
        <v>4</v>
      </c>
      <c r="M176" s="15">
        <v>3</v>
      </c>
      <c r="N176" s="15">
        <v>3</v>
      </c>
      <c r="O176" s="15">
        <v>3</v>
      </c>
      <c r="P176" s="15" t="s">
        <v>415</v>
      </c>
      <c r="Q176" s="23" t="s">
        <v>416</v>
      </c>
      <c r="R176" s="25">
        <f>ROUND((K176*Parametros!$B$4+L176*Parametros!$B$5+M176*Parametros!$B$6+N176*Parametros!$B$7+O176*Parametros!$B$8)/SUM(Parametros!$B$4:$B$8),2)</f>
        <v>3.2</v>
      </c>
      <c r="S176" s="26">
        <f>IFERROR(INDEX(Parametros!$F$33:$F$42,MATCH(D176,Parametros!$A$33:$A$42,0)),1)</f>
        <v>1.0669999999999999</v>
      </c>
      <c r="T176" s="27">
        <f>IFERROR(INDEX(Parametros!$B$21:$B$26,MATCH(I176,Parametros!$A$21:$A$26,0)),0)</f>
        <v>0</v>
      </c>
      <c r="U176" s="28">
        <f t="shared" si="9"/>
        <v>3.41</v>
      </c>
      <c r="V176" s="9">
        <f>IF(U176&gt;=Parametros!$B$14,4,IF(U176&gt;=Parametros!$B$13,3,IF(U176&gt;=Parametros!$B$12,2,1)))</f>
        <v>3</v>
      </c>
      <c r="W176" s="5">
        <f>MAX(V176,IF(K176=5,Parametros!$B$17,0),IF(P176="Sim",Parametros!$B$18,0))</f>
        <v>3</v>
      </c>
      <c r="X176" s="5" t="str">
        <f t="shared" si="10"/>
        <v>Alta</v>
      </c>
      <c r="Y176" s="29">
        <f t="shared" si="11"/>
        <v>3033.7998239999997</v>
      </c>
      <c r="Z176" s="4" t="s">
        <v>309</v>
      </c>
    </row>
    <row r="177" spans="1:26" ht="28.05" customHeight="1" x14ac:dyDescent="0.3">
      <c r="A177" s="5">
        <f t="shared" si="8"/>
        <v>173</v>
      </c>
      <c r="B177" s="23" t="s">
        <v>596</v>
      </c>
      <c r="C177" s="17" t="s">
        <v>367</v>
      </c>
      <c r="D177" s="4" t="s">
        <v>51</v>
      </c>
      <c r="E177" s="4" t="s">
        <v>81</v>
      </c>
      <c r="F177" s="4" t="s">
        <v>81</v>
      </c>
      <c r="G177" s="4" t="s">
        <v>171</v>
      </c>
      <c r="H177" s="4" t="s">
        <v>172</v>
      </c>
      <c r="I177" s="24" t="s">
        <v>122</v>
      </c>
      <c r="J177" s="15">
        <v>3</v>
      </c>
      <c r="K177" s="15">
        <v>3</v>
      </c>
      <c r="L177" s="15">
        <v>4</v>
      </c>
      <c r="M177" s="15">
        <v>3</v>
      </c>
      <c r="N177" s="15">
        <v>3</v>
      </c>
      <c r="O177" s="15">
        <v>3</v>
      </c>
      <c r="P177" s="15" t="s">
        <v>415</v>
      </c>
      <c r="Q177" s="23" t="s">
        <v>416</v>
      </c>
      <c r="R177" s="25">
        <f>ROUND((K177*Parametros!$B$4+L177*Parametros!$B$5+M177*Parametros!$B$6+N177*Parametros!$B$7+O177*Parametros!$B$8)/SUM(Parametros!$B$4:$B$8),2)</f>
        <v>3.2</v>
      </c>
      <c r="S177" s="26">
        <f>IFERROR(INDEX(Parametros!$F$33:$F$42,MATCH(D177,Parametros!$A$33:$A$42,0)),1)</f>
        <v>1.0669999999999999</v>
      </c>
      <c r="T177" s="27">
        <f>IFERROR(INDEX(Parametros!$B$21:$B$26,MATCH(I177,Parametros!$A$21:$A$26,0)),0)</f>
        <v>0</v>
      </c>
      <c r="U177" s="28">
        <f t="shared" si="9"/>
        <v>3.41</v>
      </c>
      <c r="V177" s="9">
        <f>IF(U177&gt;=Parametros!$B$14,4,IF(U177&gt;=Parametros!$B$13,3,IF(U177&gt;=Parametros!$B$12,2,1)))</f>
        <v>3</v>
      </c>
      <c r="W177" s="5">
        <f>MAX(V177,IF(K177=5,Parametros!$B$17,0),IF(P177="Sim",Parametros!$B$18,0))</f>
        <v>3</v>
      </c>
      <c r="X177" s="5" t="str">
        <f t="shared" si="10"/>
        <v>Alta</v>
      </c>
      <c r="Y177" s="29">
        <f t="shared" si="11"/>
        <v>3033.7998229999998</v>
      </c>
      <c r="Z177" s="4" t="s">
        <v>309</v>
      </c>
    </row>
    <row r="178" spans="1:26" ht="28.05" customHeight="1" x14ac:dyDescent="0.3">
      <c r="A178" s="5">
        <f t="shared" si="8"/>
        <v>174</v>
      </c>
      <c r="B178" s="23" t="s">
        <v>597</v>
      </c>
      <c r="C178" s="17" t="s">
        <v>368</v>
      </c>
      <c r="D178" s="4" t="s">
        <v>51</v>
      </c>
      <c r="E178" s="4" t="s">
        <v>81</v>
      </c>
      <c r="F178" s="4" t="s">
        <v>81</v>
      </c>
      <c r="G178" s="4" t="s">
        <v>171</v>
      </c>
      <c r="H178" s="4" t="s">
        <v>172</v>
      </c>
      <c r="I178" s="24" t="s">
        <v>122</v>
      </c>
      <c r="J178" s="15">
        <v>3</v>
      </c>
      <c r="K178" s="15">
        <v>3</v>
      </c>
      <c r="L178" s="15">
        <v>4</v>
      </c>
      <c r="M178" s="15">
        <v>3</v>
      </c>
      <c r="N178" s="15">
        <v>3</v>
      </c>
      <c r="O178" s="15">
        <v>3</v>
      </c>
      <c r="P178" s="15" t="s">
        <v>415</v>
      </c>
      <c r="Q178" s="23" t="s">
        <v>416</v>
      </c>
      <c r="R178" s="25">
        <f>ROUND((K178*Parametros!$B$4+L178*Parametros!$B$5+M178*Parametros!$B$6+N178*Parametros!$B$7+O178*Parametros!$B$8)/SUM(Parametros!$B$4:$B$8),2)</f>
        <v>3.2</v>
      </c>
      <c r="S178" s="26">
        <f>IFERROR(INDEX(Parametros!$F$33:$F$42,MATCH(D178,Parametros!$A$33:$A$42,0)),1)</f>
        <v>1.0669999999999999</v>
      </c>
      <c r="T178" s="27">
        <f>IFERROR(INDEX(Parametros!$B$21:$B$26,MATCH(I178,Parametros!$A$21:$A$26,0)),0)</f>
        <v>0</v>
      </c>
      <c r="U178" s="28">
        <f t="shared" si="9"/>
        <v>3.41</v>
      </c>
      <c r="V178" s="9">
        <f>IF(U178&gt;=Parametros!$B$14,4,IF(U178&gt;=Parametros!$B$13,3,IF(U178&gt;=Parametros!$B$12,2,1)))</f>
        <v>3</v>
      </c>
      <c r="W178" s="5">
        <f>MAX(V178,IF(K178=5,Parametros!$B$17,0),IF(P178="Sim",Parametros!$B$18,0))</f>
        <v>3</v>
      </c>
      <c r="X178" s="5" t="str">
        <f t="shared" si="10"/>
        <v>Alta</v>
      </c>
      <c r="Y178" s="29">
        <f t="shared" si="11"/>
        <v>3033.7998219999999</v>
      </c>
      <c r="Z178" s="4" t="s">
        <v>309</v>
      </c>
    </row>
    <row r="179" spans="1:26" ht="28.05" customHeight="1" x14ac:dyDescent="0.3">
      <c r="A179" s="5">
        <f t="shared" si="8"/>
        <v>175</v>
      </c>
      <c r="B179" s="23" t="s">
        <v>598</v>
      </c>
      <c r="C179" s="17" t="s">
        <v>369</v>
      </c>
      <c r="D179" s="4" t="s">
        <v>51</v>
      </c>
      <c r="E179" s="4" t="s">
        <v>81</v>
      </c>
      <c r="F179" s="4" t="s">
        <v>81</v>
      </c>
      <c r="G179" s="4" t="s">
        <v>171</v>
      </c>
      <c r="H179" s="4" t="s">
        <v>172</v>
      </c>
      <c r="I179" s="24" t="s">
        <v>122</v>
      </c>
      <c r="J179" s="15">
        <v>3</v>
      </c>
      <c r="K179" s="15">
        <v>3</v>
      </c>
      <c r="L179" s="15">
        <v>4</v>
      </c>
      <c r="M179" s="15">
        <v>3</v>
      </c>
      <c r="N179" s="15">
        <v>3</v>
      </c>
      <c r="O179" s="15">
        <v>3</v>
      </c>
      <c r="P179" s="15" t="s">
        <v>415</v>
      </c>
      <c r="Q179" s="23" t="s">
        <v>416</v>
      </c>
      <c r="R179" s="25">
        <f>ROUND((K179*Parametros!$B$4+L179*Parametros!$B$5+M179*Parametros!$B$6+N179*Parametros!$B$7+O179*Parametros!$B$8)/SUM(Parametros!$B$4:$B$8),2)</f>
        <v>3.2</v>
      </c>
      <c r="S179" s="26">
        <f>IFERROR(INDEX(Parametros!$F$33:$F$42,MATCH(D179,Parametros!$A$33:$A$42,0)),1)</f>
        <v>1.0669999999999999</v>
      </c>
      <c r="T179" s="27">
        <f>IFERROR(INDEX(Parametros!$B$21:$B$26,MATCH(I179,Parametros!$A$21:$A$26,0)),0)</f>
        <v>0</v>
      </c>
      <c r="U179" s="28">
        <f t="shared" si="9"/>
        <v>3.41</v>
      </c>
      <c r="V179" s="9">
        <f>IF(U179&gt;=Parametros!$B$14,4,IF(U179&gt;=Parametros!$B$13,3,IF(U179&gt;=Parametros!$B$12,2,1)))</f>
        <v>3</v>
      </c>
      <c r="W179" s="5">
        <f>MAX(V179,IF(K179=5,Parametros!$B$17,0),IF(P179="Sim",Parametros!$B$18,0))</f>
        <v>3</v>
      </c>
      <c r="X179" s="5" t="str">
        <f t="shared" si="10"/>
        <v>Alta</v>
      </c>
      <c r="Y179" s="29">
        <f t="shared" si="11"/>
        <v>3033.7998209999996</v>
      </c>
      <c r="Z179" s="4" t="s">
        <v>309</v>
      </c>
    </row>
    <row r="180" spans="1:26" ht="28.05" customHeight="1" x14ac:dyDescent="0.3">
      <c r="A180" s="5">
        <f t="shared" si="8"/>
        <v>176</v>
      </c>
      <c r="B180" s="23" t="s">
        <v>599</v>
      </c>
      <c r="C180" s="17" t="s">
        <v>370</v>
      </c>
      <c r="D180" s="4" t="s">
        <v>51</v>
      </c>
      <c r="E180" s="4" t="s">
        <v>82</v>
      </c>
      <c r="F180" s="4" t="s">
        <v>82</v>
      </c>
      <c r="G180" s="4" t="s">
        <v>171</v>
      </c>
      <c r="H180" s="4" t="s">
        <v>172</v>
      </c>
      <c r="I180" s="24" t="s">
        <v>122</v>
      </c>
      <c r="J180" s="15">
        <v>3</v>
      </c>
      <c r="K180" s="15">
        <v>3</v>
      </c>
      <c r="L180" s="15">
        <v>4</v>
      </c>
      <c r="M180" s="15">
        <v>3</v>
      </c>
      <c r="N180" s="15">
        <v>3</v>
      </c>
      <c r="O180" s="15">
        <v>3</v>
      </c>
      <c r="P180" s="15" t="s">
        <v>415</v>
      </c>
      <c r="Q180" s="23" t="s">
        <v>416</v>
      </c>
      <c r="R180" s="25">
        <f>ROUND((K180*Parametros!$B$4+L180*Parametros!$B$5+M180*Parametros!$B$6+N180*Parametros!$B$7+O180*Parametros!$B$8)/SUM(Parametros!$B$4:$B$8),2)</f>
        <v>3.2</v>
      </c>
      <c r="S180" s="26">
        <f>IFERROR(INDEX(Parametros!$F$33:$F$42,MATCH(D180,Parametros!$A$33:$A$42,0)),1)</f>
        <v>1.0669999999999999</v>
      </c>
      <c r="T180" s="27">
        <f>IFERROR(INDEX(Parametros!$B$21:$B$26,MATCH(I180,Parametros!$A$21:$A$26,0)),0)</f>
        <v>0</v>
      </c>
      <c r="U180" s="28">
        <f t="shared" si="9"/>
        <v>3.41</v>
      </c>
      <c r="V180" s="9">
        <f>IF(U180&gt;=Parametros!$B$14,4,IF(U180&gt;=Parametros!$B$13,3,IF(U180&gt;=Parametros!$B$12,2,1)))</f>
        <v>3</v>
      </c>
      <c r="W180" s="5">
        <f>MAX(V180,IF(K180=5,Parametros!$B$17,0),IF(P180="Sim",Parametros!$B$18,0))</f>
        <v>3</v>
      </c>
      <c r="X180" s="5" t="str">
        <f t="shared" si="10"/>
        <v>Alta</v>
      </c>
      <c r="Y180" s="29">
        <f t="shared" si="11"/>
        <v>3033.7998199999997</v>
      </c>
      <c r="Z180" s="4" t="s">
        <v>309</v>
      </c>
    </row>
    <row r="181" spans="1:26" ht="28.05" customHeight="1" x14ac:dyDescent="0.3">
      <c r="A181" s="5">
        <f t="shared" si="8"/>
        <v>177</v>
      </c>
      <c r="B181" s="23" t="s">
        <v>600</v>
      </c>
      <c r="C181" s="17" t="s">
        <v>371</v>
      </c>
      <c r="D181" s="4" t="s">
        <v>51</v>
      </c>
      <c r="E181" s="4" t="s">
        <v>82</v>
      </c>
      <c r="F181" s="4" t="s">
        <v>82</v>
      </c>
      <c r="G181" s="4" t="s">
        <v>171</v>
      </c>
      <c r="H181" s="4" t="s">
        <v>172</v>
      </c>
      <c r="I181" s="24" t="s">
        <v>122</v>
      </c>
      <c r="J181" s="15">
        <v>3</v>
      </c>
      <c r="K181" s="15">
        <v>3</v>
      </c>
      <c r="L181" s="15">
        <v>4</v>
      </c>
      <c r="M181" s="15">
        <v>3</v>
      </c>
      <c r="N181" s="15">
        <v>3</v>
      </c>
      <c r="O181" s="15">
        <v>3</v>
      </c>
      <c r="P181" s="15" t="s">
        <v>415</v>
      </c>
      <c r="Q181" s="23" t="s">
        <v>416</v>
      </c>
      <c r="R181" s="25">
        <f>ROUND((K181*Parametros!$B$4+L181*Parametros!$B$5+M181*Parametros!$B$6+N181*Parametros!$B$7+O181*Parametros!$B$8)/SUM(Parametros!$B$4:$B$8),2)</f>
        <v>3.2</v>
      </c>
      <c r="S181" s="26">
        <f>IFERROR(INDEX(Parametros!$F$33:$F$42,MATCH(D181,Parametros!$A$33:$A$42,0)),1)</f>
        <v>1.0669999999999999</v>
      </c>
      <c r="T181" s="27">
        <f>IFERROR(INDEX(Parametros!$B$21:$B$26,MATCH(I181,Parametros!$A$21:$A$26,0)),0)</f>
        <v>0</v>
      </c>
      <c r="U181" s="28">
        <f t="shared" si="9"/>
        <v>3.41</v>
      </c>
      <c r="V181" s="9">
        <f>IF(U181&gt;=Parametros!$B$14,4,IF(U181&gt;=Parametros!$B$13,3,IF(U181&gt;=Parametros!$B$12,2,1)))</f>
        <v>3</v>
      </c>
      <c r="W181" s="5">
        <f>MAX(V181,IF(K181=5,Parametros!$B$17,0),IF(P181="Sim",Parametros!$B$18,0))</f>
        <v>3</v>
      </c>
      <c r="X181" s="5" t="str">
        <f t="shared" si="10"/>
        <v>Alta</v>
      </c>
      <c r="Y181" s="29">
        <f t="shared" si="11"/>
        <v>3033.7998189999998</v>
      </c>
      <c r="Z181" s="4" t="s">
        <v>309</v>
      </c>
    </row>
    <row r="182" spans="1:26" ht="28.05" customHeight="1" x14ac:dyDescent="0.3">
      <c r="A182" s="5">
        <f t="shared" si="8"/>
        <v>178</v>
      </c>
      <c r="B182" s="23" t="s">
        <v>601</v>
      </c>
      <c r="C182" s="17" t="s">
        <v>372</v>
      </c>
      <c r="D182" s="4" t="s">
        <v>51</v>
      </c>
      <c r="E182" s="4" t="s">
        <v>82</v>
      </c>
      <c r="F182" s="4" t="s">
        <v>82</v>
      </c>
      <c r="G182" s="4" t="s">
        <v>171</v>
      </c>
      <c r="H182" s="4" t="s">
        <v>172</v>
      </c>
      <c r="I182" s="24" t="s">
        <v>122</v>
      </c>
      <c r="J182" s="15">
        <v>3</v>
      </c>
      <c r="K182" s="15">
        <v>3</v>
      </c>
      <c r="L182" s="15">
        <v>4</v>
      </c>
      <c r="M182" s="15">
        <v>3</v>
      </c>
      <c r="N182" s="15">
        <v>3</v>
      </c>
      <c r="O182" s="15">
        <v>3</v>
      </c>
      <c r="P182" s="15" t="s">
        <v>415</v>
      </c>
      <c r="Q182" s="23" t="s">
        <v>416</v>
      </c>
      <c r="R182" s="25">
        <f>ROUND((K182*Parametros!$B$4+L182*Parametros!$B$5+M182*Parametros!$B$6+N182*Parametros!$B$7+O182*Parametros!$B$8)/SUM(Parametros!$B$4:$B$8),2)</f>
        <v>3.2</v>
      </c>
      <c r="S182" s="26">
        <f>IFERROR(INDEX(Parametros!$F$33:$F$42,MATCH(D182,Parametros!$A$33:$A$42,0)),1)</f>
        <v>1.0669999999999999</v>
      </c>
      <c r="T182" s="27">
        <f>IFERROR(INDEX(Parametros!$B$21:$B$26,MATCH(I182,Parametros!$A$21:$A$26,0)),0)</f>
        <v>0</v>
      </c>
      <c r="U182" s="28">
        <f t="shared" si="9"/>
        <v>3.41</v>
      </c>
      <c r="V182" s="9">
        <f>IF(U182&gt;=Parametros!$B$14,4,IF(U182&gt;=Parametros!$B$13,3,IF(U182&gt;=Parametros!$B$12,2,1)))</f>
        <v>3</v>
      </c>
      <c r="W182" s="5">
        <f>MAX(V182,IF(K182=5,Parametros!$B$17,0),IF(P182="Sim",Parametros!$B$18,0))</f>
        <v>3</v>
      </c>
      <c r="X182" s="5" t="str">
        <f t="shared" si="10"/>
        <v>Alta</v>
      </c>
      <c r="Y182" s="29">
        <f t="shared" si="11"/>
        <v>3033.7998179999995</v>
      </c>
      <c r="Z182" s="4" t="s">
        <v>309</v>
      </c>
    </row>
    <row r="183" spans="1:26" ht="28.05" customHeight="1" x14ac:dyDescent="0.3">
      <c r="A183" s="5">
        <f t="shared" si="8"/>
        <v>179</v>
      </c>
      <c r="B183" s="23" t="s">
        <v>602</v>
      </c>
      <c r="C183" s="17" t="s">
        <v>373</v>
      </c>
      <c r="D183" s="4" t="s">
        <v>51</v>
      </c>
      <c r="E183" s="4" t="s">
        <v>82</v>
      </c>
      <c r="F183" s="4" t="s">
        <v>82</v>
      </c>
      <c r="G183" s="4" t="s">
        <v>171</v>
      </c>
      <c r="H183" s="4" t="s">
        <v>172</v>
      </c>
      <c r="I183" s="24" t="s">
        <v>122</v>
      </c>
      <c r="J183" s="15">
        <v>3</v>
      </c>
      <c r="K183" s="15">
        <v>3</v>
      </c>
      <c r="L183" s="15">
        <v>4</v>
      </c>
      <c r="M183" s="15">
        <v>3</v>
      </c>
      <c r="N183" s="15">
        <v>3</v>
      </c>
      <c r="O183" s="15">
        <v>3</v>
      </c>
      <c r="P183" s="15" t="s">
        <v>415</v>
      </c>
      <c r="Q183" s="23" t="s">
        <v>416</v>
      </c>
      <c r="R183" s="25">
        <f>ROUND((K183*Parametros!$B$4+L183*Parametros!$B$5+M183*Parametros!$B$6+N183*Parametros!$B$7+O183*Parametros!$B$8)/SUM(Parametros!$B$4:$B$8),2)</f>
        <v>3.2</v>
      </c>
      <c r="S183" s="26">
        <f>IFERROR(INDEX(Parametros!$F$33:$F$42,MATCH(D183,Parametros!$A$33:$A$42,0)),1)</f>
        <v>1.0669999999999999</v>
      </c>
      <c r="T183" s="27">
        <f>IFERROR(INDEX(Parametros!$B$21:$B$26,MATCH(I183,Parametros!$A$21:$A$26,0)),0)</f>
        <v>0</v>
      </c>
      <c r="U183" s="28">
        <f t="shared" si="9"/>
        <v>3.41</v>
      </c>
      <c r="V183" s="9">
        <f>IF(U183&gt;=Parametros!$B$14,4,IF(U183&gt;=Parametros!$B$13,3,IF(U183&gt;=Parametros!$B$12,2,1)))</f>
        <v>3</v>
      </c>
      <c r="W183" s="5">
        <f>MAX(V183,IF(K183=5,Parametros!$B$17,0),IF(P183="Sim",Parametros!$B$18,0))</f>
        <v>3</v>
      </c>
      <c r="X183" s="5" t="str">
        <f t="shared" si="10"/>
        <v>Alta</v>
      </c>
      <c r="Y183" s="29">
        <f t="shared" si="11"/>
        <v>3033.7998169999996</v>
      </c>
      <c r="Z183" s="4" t="s">
        <v>309</v>
      </c>
    </row>
    <row r="184" spans="1:26" ht="28.05" customHeight="1" x14ac:dyDescent="0.3">
      <c r="A184" s="5">
        <f t="shared" si="8"/>
        <v>180</v>
      </c>
      <c r="B184" s="23" t="s">
        <v>603</v>
      </c>
      <c r="C184" s="17" t="s">
        <v>374</v>
      </c>
      <c r="D184" s="4" t="s">
        <v>51</v>
      </c>
      <c r="E184" s="4" t="s">
        <v>194</v>
      </c>
      <c r="F184" s="4" t="s">
        <v>194</v>
      </c>
      <c r="G184" s="4" t="s">
        <v>171</v>
      </c>
      <c r="H184" s="4" t="s">
        <v>172</v>
      </c>
      <c r="I184" s="24" t="s">
        <v>122</v>
      </c>
      <c r="J184" s="15">
        <v>3</v>
      </c>
      <c r="K184" s="15">
        <v>3</v>
      </c>
      <c r="L184" s="15">
        <v>4</v>
      </c>
      <c r="M184" s="15">
        <v>3</v>
      </c>
      <c r="N184" s="15">
        <v>3</v>
      </c>
      <c r="O184" s="15">
        <v>3</v>
      </c>
      <c r="P184" s="15" t="s">
        <v>415</v>
      </c>
      <c r="Q184" s="23" t="s">
        <v>416</v>
      </c>
      <c r="R184" s="25">
        <f>ROUND((K184*Parametros!$B$4+L184*Parametros!$B$5+M184*Parametros!$B$6+N184*Parametros!$B$7+O184*Parametros!$B$8)/SUM(Parametros!$B$4:$B$8),2)</f>
        <v>3.2</v>
      </c>
      <c r="S184" s="26">
        <f>IFERROR(INDEX(Parametros!$F$33:$F$42,MATCH(D184,Parametros!$A$33:$A$42,0)),1)</f>
        <v>1.0669999999999999</v>
      </c>
      <c r="T184" s="27">
        <f>IFERROR(INDEX(Parametros!$B$21:$B$26,MATCH(I184,Parametros!$A$21:$A$26,0)),0)</f>
        <v>0</v>
      </c>
      <c r="U184" s="28">
        <f t="shared" si="9"/>
        <v>3.41</v>
      </c>
      <c r="V184" s="9">
        <f>IF(U184&gt;=Parametros!$B$14,4,IF(U184&gt;=Parametros!$B$13,3,IF(U184&gt;=Parametros!$B$12,2,1)))</f>
        <v>3</v>
      </c>
      <c r="W184" s="5">
        <f>MAX(V184,IF(K184=5,Parametros!$B$17,0),IF(P184="Sim",Parametros!$B$18,0))</f>
        <v>3</v>
      </c>
      <c r="X184" s="5" t="str">
        <f t="shared" si="10"/>
        <v>Alta</v>
      </c>
      <c r="Y184" s="29">
        <f t="shared" si="11"/>
        <v>3033.7998159999997</v>
      </c>
      <c r="Z184" s="4" t="s">
        <v>309</v>
      </c>
    </row>
    <row r="185" spans="1:26" ht="28.05" customHeight="1" x14ac:dyDescent="0.3">
      <c r="A185" s="5">
        <f t="shared" si="8"/>
        <v>181</v>
      </c>
      <c r="B185" s="23" t="s">
        <v>604</v>
      </c>
      <c r="C185" s="17" t="s">
        <v>375</v>
      </c>
      <c r="D185" s="4" t="s">
        <v>51</v>
      </c>
      <c r="E185" s="4" t="s">
        <v>194</v>
      </c>
      <c r="F185" s="4" t="s">
        <v>194</v>
      </c>
      <c r="G185" s="4" t="s">
        <v>171</v>
      </c>
      <c r="H185" s="4" t="s">
        <v>172</v>
      </c>
      <c r="I185" s="24" t="s">
        <v>122</v>
      </c>
      <c r="J185" s="15">
        <v>3</v>
      </c>
      <c r="K185" s="15">
        <v>3</v>
      </c>
      <c r="L185" s="15">
        <v>4</v>
      </c>
      <c r="M185" s="15">
        <v>3</v>
      </c>
      <c r="N185" s="15">
        <v>3</v>
      </c>
      <c r="O185" s="15">
        <v>3</v>
      </c>
      <c r="P185" s="15" t="s">
        <v>415</v>
      </c>
      <c r="Q185" s="23" t="s">
        <v>416</v>
      </c>
      <c r="R185" s="25">
        <f>ROUND((K185*Parametros!$B$4+L185*Parametros!$B$5+M185*Parametros!$B$6+N185*Parametros!$B$7+O185*Parametros!$B$8)/SUM(Parametros!$B$4:$B$8),2)</f>
        <v>3.2</v>
      </c>
      <c r="S185" s="26">
        <f>IFERROR(INDEX(Parametros!$F$33:$F$42,MATCH(D185,Parametros!$A$33:$A$42,0)),1)</f>
        <v>1.0669999999999999</v>
      </c>
      <c r="T185" s="27">
        <f>IFERROR(INDEX(Parametros!$B$21:$B$26,MATCH(I185,Parametros!$A$21:$A$26,0)),0)</f>
        <v>0</v>
      </c>
      <c r="U185" s="28">
        <f t="shared" si="9"/>
        <v>3.41</v>
      </c>
      <c r="V185" s="9">
        <f>IF(U185&gt;=Parametros!$B$14,4,IF(U185&gt;=Parametros!$B$13,3,IF(U185&gt;=Parametros!$B$12,2,1)))</f>
        <v>3</v>
      </c>
      <c r="W185" s="5">
        <f>MAX(V185,IF(K185=5,Parametros!$B$17,0),IF(P185="Sim",Parametros!$B$18,0))</f>
        <v>3</v>
      </c>
      <c r="X185" s="5" t="str">
        <f t="shared" si="10"/>
        <v>Alta</v>
      </c>
      <c r="Y185" s="29">
        <f t="shared" si="11"/>
        <v>3033.7998149999999</v>
      </c>
      <c r="Z185" s="4" t="s">
        <v>309</v>
      </c>
    </row>
    <row r="186" spans="1:26" ht="28.05" customHeight="1" x14ac:dyDescent="0.3">
      <c r="A186" s="5">
        <f t="shared" si="8"/>
        <v>182</v>
      </c>
      <c r="B186" s="23" t="s">
        <v>605</v>
      </c>
      <c r="C186" s="17" t="s">
        <v>376</v>
      </c>
      <c r="D186" s="4" t="s">
        <v>51</v>
      </c>
      <c r="E186" s="4" t="s">
        <v>194</v>
      </c>
      <c r="F186" s="4" t="s">
        <v>194</v>
      </c>
      <c r="G186" s="4" t="s">
        <v>171</v>
      </c>
      <c r="H186" s="4" t="s">
        <v>172</v>
      </c>
      <c r="I186" s="24" t="s">
        <v>122</v>
      </c>
      <c r="J186" s="15">
        <v>3</v>
      </c>
      <c r="K186" s="15">
        <v>3</v>
      </c>
      <c r="L186" s="15">
        <v>4</v>
      </c>
      <c r="M186" s="15">
        <v>3</v>
      </c>
      <c r="N186" s="15">
        <v>3</v>
      </c>
      <c r="O186" s="15">
        <v>3</v>
      </c>
      <c r="P186" s="15" t="s">
        <v>415</v>
      </c>
      <c r="Q186" s="23" t="s">
        <v>416</v>
      </c>
      <c r="R186" s="25">
        <f>ROUND((K186*Parametros!$B$4+L186*Parametros!$B$5+M186*Parametros!$B$6+N186*Parametros!$B$7+O186*Parametros!$B$8)/SUM(Parametros!$B$4:$B$8),2)</f>
        <v>3.2</v>
      </c>
      <c r="S186" s="26">
        <f>IFERROR(INDEX(Parametros!$F$33:$F$42,MATCH(D186,Parametros!$A$33:$A$42,0)),1)</f>
        <v>1.0669999999999999</v>
      </c>
      <c r="T186" s="27">
        <f>IFERROR(INDEX(Parametros!$B$21:$B$26,MATCH(I186,Parametros!$A$21:$A$26,0)),0)</f>
        <v>0</v>
      </c>
      <c r="U186" s="28">
        <f t="shared" si="9"/>
        <v>3.41</v>
      </c>
      <c r="V186" s="9">
        <f>IF(U186&gt;=Parametros!$B$14,4,IF(U186&gt;=Parametros!$B$13,3,IF(U186&gt;=Parametros!$B$12,2,1)))</f>
        <v>3</v>
      </c>
      <c r="W186" s="5">
        <f>MAX(V186,IF(K186=5,Parametros!$B$17,0),IF(P186="Sim",Parametros!$B$18,0))</f>
        <v>3</v>
      </c>
      <c r="X186" s="5" t="str">
        <f t="shared" si="10"/>
        <v>Alta</v>
      </c>
      <c r="Y186" s="29">
        <f t="shared" si="11"/>
        <v>3033.7998139999995</v>
      </c>
      <c r="Z186" s="4" t="s">
        <v>309</v>
      </c>
    </row>
    <row r="187" spans="1:26" ht="28.05" customHeight="1" x14ac:dyDescent="0.3">
      <c r="A187" s="5">
        <f t="shared" si="8"/>
        <v>183</v>
      </c>
      <c r="B187" s="23" t="s">
        <v>606</v>
      </c>
      <c r="C187" s="17" t="s">
        <v>377</v>
      </c>
      <c r="D187" s="4" t="s">
        <v>51</v>
      </c>
      <c r="E187" s="4" t="s">
        <v>194</v>
      </c>
      <c r="F187" s="4" t="s">
        <v>194</v>
      </c>
      <c r="G187" s="4" t="s">
        <v>171</v>
      </c>
      <c r="H187" s="4" t="s">
        <v>172</v>
      </c>
      <c r="I187" s="24" t="s">
        <v>122</v>
      </c>
      <c r="J187" s="15">
        <v>3</v>
      </c>
      <c r="K187" s="15">
        <v>3</v>
      </c>
      <c r="L187" s="15">
        <v>4</v>
      </c>
      <c r="M187" s="15">
        <v>3</v>
      </c>
      <c r="N187" s="15">
        <v>3</v>
      </c>
      <c r="O187" s="15">
        <v>3</v>
      </c>
      <c r="P187" s="15" t="s">
        <v>415</v>
      </c>
      <c r="Q187" s="23" t="s">
        <v>416</v>
      </c>
      <c r="R187" s="25">
        <f>ROUND((K187*Parametros!$B$4+L187*Parametros!$B$5+M187*Parametros!$B$6+N187*Parametros!$B$7+O187*Parametros!$B$8)/SUM(Parametros!$B$4:$B$8),2)</f>
        <v>3.2</v>
      </c>
      <c r="S187" s="26">
        <f>IFERROR(INDEX(Parametros!$F$33:$F$42,MATCH(D187,Parametros!$A$33:$A$42,0)),1)</f>
        <v>1.0669999999999999</v>
      </c>
      <c r="T187" s="27">
        <f>IFERROR(INDEX(Parametros!$B$21:$B$26,MATCH(I187,Parametros!$A$21:$A$26,0)),0)</f>
        <v>0</v>
      </c>
      <c r="U187" s="28">
        <f t="shared" si="9"/>
        <v>3.41</v>
      </c>
      <c r="V187" s="9">
        <f>IF(U187&gt;=Parametros!$B$14,4,IF(U187&gt;=Parametros!$B$13,3,IF(U187&gt;=Parametros!$B$12,2,1)))</f>
        <v>3</v>
      </c>
      <c r="W187" s="5">
        <f>MAX(V187,IF(K187=5,Parametros!$B$17,0),IF(P187="Sim",Parametros!$B$18,0))</f>
        <v>3</v>
      </c>
      <c r="X187" s="5" t="str">
        <f t="shared" si="10"/>
        <v>Alta</v>
      </c>
      <c r="Y187" s="29">
        <f t="shared" si="11"/>
        <v>3033.7998129999996</v>
      </c>
      <c r="Z187" s="4" t="s">
        <v>309</v>
      </c>
    </row>
    <row r="188" spans="1:26" ht="28.05" customHeight="1" x14ac:dyDescent="0.3">
      <c r="A188" s="5">
        <f t="shared" si="8"/>
        <v>184</v>
      </c>
      <c r="B188" s="23" t="s">
        <v>607</v>
      </c>
      <c r="C188" s="17" t="s">
        <v>378</v>
      </c>
      <c r="D188" s="4" t="s">
        <v>51</v>
      </c>
      <c r="E188" s="4" t="s">
        <v>194</v>
      </c>
      <c r="F188" s="4" t="s">
        <v>194</v>
      </c>
      <c r="G188" s="4" t="s">
        <v>171</v>
      </c>
      <c r="H188" s="4" t="s">
        <v>172</v>
      </c>
      <c r="I188" s="24" t="s">
        <v>122</v>
      </c>
      <c r="J188" s="15">
        <v>3</v>
      </c>
      <c r="K188" s="15">
        <v>3</v>
      </c>
      <c r="L188" s="15">
        <v>4</v>
      </c>
      <c r="M188" s="15">
        <v>3</v>
      </c>
      <c r="N188" s="15">
        <v>3</v>
      </c>
      <c r="O188" s="15">
        <v>3</v>
      </c>
      <c r="P188" s="15" t="s">
        <v>415</v>
      </c>
      <c r="Q188" s="23" t="s">
        <v>416</v>
      </c>
      <c r="R188" s="25">
        <f>ROUND((K188*Parametros!$B$4+L188*Parametros!$B$5+M188*Parametros!$B$6+N188*Parametros!$B$7+O188*Parametros!$B$8)/SUM(Parametros!$B$4:$B$8),2)</f>
        <v>3.2</v>
      </c>
      <c r="S188" s="26">
        <f>IFERROR(INDEX(Parametros!$F$33:$F$42,MATCH(D188,Parametros!$A$33:$A$42,0)),1)</f>
        <v>1.0669999999999999</v>
      </c>
      <c r="T188" s="27">
        <f>IFERROR(INDEX(Parametros!$B$21:$B$26,MATCH(I188,Parametros!$A$21:$A$26,0)),0)</f>
        <v>0</v>
      </c>
      <c r="U188" s="28">
        <f t="shared" si="9"/>
        <v>3.41</v>
      </c>
      <c r="V188" s="9">
        <f>IF(U188&gt;=Parametros!$B$14,4,IF(U188&gt;=Parametros!$B$13,3,IF(U188&gt;=Parametros!$B$12,2,1)))</f>
        <v>3</v>
      </c>
      <c r="W188" s="5">
        <f>MAX(V188,IF(K188=5,Parametros!$B$17,0),IF(P188="Sim",Parametros!$B$18,0))</f>
        <v>3</v>
      </c>
      <c r="X188" s="5" t="str">
        <f t="shared" si="10"/>
        <v>Alta</v>
      </c>
      <c r="Y188" s="29">
        <f t="shared" si="11"/>
        <v>3033.7998119999997</v>
      </c>
      <c r="Z188" s="4" t="s">
        <v>309</v>
      </c>
    </row>
    <row r="189" spans="1:26" ht="28.05" customHeight="1" x14ac:dyDescent="0.3">
      <c r="A189" s="5">
        <f t="shared" si="8"/>
        <v>185</v>
      </c>
      <c r="B189" s="23" t="s">
        <v>608</v>
      </c>
      <c r="C189" s="17" t="s">
        <v>298</v>
      </c>
      <c r="D189" s="4" t="s">
        <v>53</v>
      </c>
      <c r="E189" s="4" t="s">
        <v>76</v>
      </c>
      <c r="F189" s="4" t="s">
        <v>76</v>
      </c>
      <c r="G189" s="4" t="s">
        <v>112</v>
      </c>
      <c r="H189" s="4" t="s">
        <v>108</v>
      </c>
      <c r="I189" s="24" t="s">
        <v>122</v>
      </c>
      <c r="J189" s="15">
        <v>3</v>
      </c>
      <c r="K189" s="15">
        <v>4</v>
      </c>
      <c r="L189" s="15">
        <v>4</v>
      </c>
      <c r="M189" s="15">
        <v>1</v>
      </c>
      <c r="N189" s="15">
        <v>4</v>
      </c>
      <c r="O189" s="15">
        <v>3</v>
      </c>
      <c r="P189" s="15" t="s">
        <v>415</v>
      </c>
      <c r="Q189" s="23" t="s">
        <v>416</v>
      </c>
      <c r="R189" s="25">
        <f>ROUND((K189*Parametros!$B$4+L189*Parametros!$B$5+M189*Parametros!$B$6+N189*Parametros!$B$7+O189*Parametros!$B$8)/SUM(Parametros!$B$4:$B$8),2)</f>
        <v>3.25</v>
      </c>
      <c r="S189" s="26">
        <f>IFERROR(INDEX(Parametros!$F$33:$F$42,MATCH(D189,Parametros!$A$33:$A$42,0)),1)</f>
        <v>1.05</v>
      </c>
      <c r="T189" s="27">
        <f>IFERROR(INDEX(Parametros!$B$21:$B$26,MATCH(I189,Parametros!$A$21:$A$26,0)),0)</f>
        <v>0</v>
      </c>
      <c r="U189" s="28">
        <f t="shared" si="9"/>
        <v>3.41</v>
      </c>
      <c r="V189" s="9">
        <f>IF(U189&gt;=Parametros!$B$14,4,IF(U189&gt;=Parametros!$B$13,3,IF(U189&gt;=Parametros!$B$12,2,1)))</f>
        <v>3</v>
      </c>
      <c r="W189" s="5">
        <f>MAX(V189,IF(K189=5,Parametros!$B$17,0),IF(P189="Sim",Parametros!$B$18,0))</f>
        <v>3</v>
      </c>
      <c r="X189" s="5" t="str">
        <f t="shared" si="10"/>
        <v>Alta</v>
      </c>
      <c r="Y189" s="29">
        <f t="shared" si="11"/>
        <v>3033.7998109999999</v>
      </c>
      <c r="Z189" s="4" t="s">
        <v>249</v>
      </c>
    </row>
    <row r="190" spans="1:26" ht="28.05" customHeight="1" x14ac:dyDescent="0.3">
      <c r="A190" s="5">
        <f t="shared" si="8"/>
        <v>186</v>
      </c>
      <c r="B190" s="23" t="s">
        <v>609</v>
      </c>
      <c r="C190" s="17" t="s">
        <v>379</v>
      </c>
      <c r="D190" s="4" t="s">
        <v>53</v>
      </c>
      <c r="E190" s="4" t="s">
        <v>77</v>
      </c>
      <c r="F190" s="4" t="s">
        <v>77</v>
      </c>
      <c r="G190" s="4" t="s">
        <v>171</v>
      </c>
      <c r="H190" s="4" t="s">
        <v>172</v>
      </c>
      <c r="I190" s="24" t="s">
        <v>109</v>
      </c>
      <c r="J190" s="15">
        <v>3</v>
      </c>
      <c r="K190" s="15">
        <v>4</v>
      </c>
      <c r="L190" s="15">
        <v>4</v>
      </c>
      <c r="M190" s="15">
        <v>1</v>
      </c>
      <c r="N190" s="15">
        <v>2</v>
      </c>
      <c r="O190" s="15">
        <v>3</v>
      </c>
      <c r="P190" s="15" t="s">
        <v>415</v>
      </c>
      <c r="Q190" s="23" t="s">
        <v>416</v>
      </c>
      <c r="R190" s="25">
        <f>ROUND((K190*Parametros!$B$4+L190*Parametros!$B$5+M190*Parametros!$B$6+N190*Parametros!$B$7+O190*Parametros!$B$8)/SUM(Parametros!$B$4:$B$8),2)</f>
        <v>2.95</v>
      </c>
      <c r="S190" s="26">
        <f>IFERROR(INDEX(Parametros!$F$33:$F$42,MATCH(D190,Parametros!$A$33:$A$42,0)),1)</f>
        <v>1.05</v>
      </c>
      <c r="T190" s="27">
        <f>IFERROR(INDEX(Parametros!$B$21:$B$26,MATCH(I190,Parametros!$A$21:$A$26,0)),0)</f>
        <v>0.3</v>
      </c>
      <c r="U190" s="28">
        <f t="shared" si="9"/>
        <v>3.4</v>
      </c>
      <c r="V190" s="9">
        <f>IF(U190&gt;=Parametros!$B$14,4,IF(U190&gt;=Parametros!$B$13,3,IF(U190&gt;=Parametros!$B$12,2,1)))</f>
        <v>3</v>
      </c>
      <c r="W190" s="5">
        <f>MAX(V190,IF(K190=5,Parametros!$B$17,0),IF(P190="Sim",Parametros!$B$18,0))</f>
        <v>3</v>
      </c>
      <c r="X190" s="5" t="str">
        <f t="shared" si="10"/>
        <v>Alta</v>
      </c>
      <c r="Y190" s="29">
        <f t="shared" si="11"/>
        <v>3033.6998099999996</v>
      </c>
      <c r="Z190" s="4" t="s">
        <v>164</v>
      </c>
    </row>
    <row r="191" spans="1:26" ht="28.05" customHeight="1" x14ac:dyDescent="0.3">
      <c r="A191" s="5">
        <f t="shared" si="8"/>
        <v>187</v>
      </c>
      <c r="B191" s="23" t="s">
        <v>610</v>
      </c>
      <c r="C191" s="17" t="s">
        <v>299</v>
      </c>
      <c r="D191" s="4" t="s">
        <v>53</v>
      </c>
      <c r="E191" s="4" t="s">
        <v>68</v>
      </c>
      <c r="F191" s="4" t="s">
        <v>68</v>
      </c>
      <c r="G191" s="4" t="s">
        <v>112</v>
      </c>
      <c r="H191" s="4" t="s">
        <v>108</v>
      </c>
      <c r="I191" s="24" t="s">
        <v>131</v>
      </c>
      <c r="J191" s="15">
        <v>4</v>
      </c>
      <c r="K191" s="15">
        <v>4</v>
      </c>
      <c r="L191" s="15">
        <v>4</v>
      </c>
      <c r="M191" s="15">
        <v>1</v>
      </c>
      <c r="N191" s="15">
        <v>4</v>
      </c>
      <c r="O191" s="15">
        <v>3</v>
      </c>
      <c r="P191" s="15" t="s">
        <v>415</v>
      </c>
      <c r="Q191" s="23" t="s">
        <v>416</v>
      </c>
      <c r="R191" s="25">
        <f>ROUND((K191*Parametros!$B$4+L191*Parametros!$B$5+M191*Parametros!$B$6+N191*Parametros!$B$7+O191*Parametros!$B$8)/SUM(Parametros!$B$4:$B$8),2)</f>
        <v>3.25</v>
      </c>
      <c r="S191" s="26">
        <f>IFERROR(INDEX(Parametros!$F$33:$F$42,MATCH(D191,Parametros!$A$33:$A$42,0)),1)</f>
        <v>1.05</v>
      </c>
      <c r="T191" s="27">
        <f>IFERROR(INDEX(Parametros!$B$21:$B$26,MATCH(I191,Parametros!$A$21:$A$26,0)),0)</f>
        <v>0</v>
      </c>
      <c r="U191" s="28">
        <f t="shared" si="9"/>
        <v>3.41</v>
      </c>
      <c r="V191" s="9">
        <f>IF(U191&gt;=Parametros!$B$14,4,IF(U191&gt;=Parametros!$B$13,3,IF(U191&gt;=Parametros!$B$12,2,1)))</f>
        <v>3</v>
      </c>
      <c r="W191" s="5">
        <f>MAX(V191,IF(K191=5,Parametros!$B$17,0),IF(P191="Sim",Parametros!$B$18,0))</f>
        <v>3</v>
      </c>
      <c r="X191" s="5" t="str">
        <f t="shared" si="10"/>
        <v>Alta</v>
      </c>
      <c r="Y191" s="29">
        <f t="shared" si="11"/>
        <v>3033.6998089999997</v>
      </c>
      <c r="Z191" s="4" t="s">
        <v>249</v>
      </c>
    </row>
    <row r="192" spans="1:26" ht="28.05" customHeight="1" x14ac:dyDescent="0.3">
      <c r="A192" s="5">
        <f t="shared" si="8"/>
        <v>188</v>
      </c>
      <c r="B192" s="23" t="s">
        <v>611</v>
      </c>
      <c r="C192" s="17" t="s">
        <v>380</v>
      </c>
      <c r="D192" s="4" t="s">
        <v>52</v>
      </c>
      <c r="E192" s="4" t="s">
        <v>84</v>
      </c>
      <c r="F192" s="4" t="s">
        <v>84</v>
      </c>
      <c r="G192" s="4" t="s">
        <v>171</v>
      </c>
      <c r="H192" s="4" t="s">
        <v>172</v>
      </c>
      <c r="I192" s="24" t="s">
        <v>152</v>
      </c>
      <c r="J192" s="15">
        <v>1</v>
      </c>
      <c r="K192" s="15">
        <v>4</v>
      </c>
      <c r="L192" s="15">
        <v>3</v>
      </c>
      <c r="M192" s="15">
        <v>1</v>
      </c>
      <c r="N192" s="15">
        <v>3</v>
      </c>
      <c r="O192" s="15">
        <v>5</v>
      </c>
      <c r="P192" s="15" t="s">
        <v>415</v>
      </c>
      <c r="Q192" s="23" t="s">
        <v>416</v>
      </c>
      <c r="R192" s="25">
        <f>ROUND((K192*Parametros!$B$4+L192*Parametros!$B$5+M192*Parametros!$B$6+N192*Parametros!$B$7+O192*Parametros!$B$8)/SUM(Parametros!$B$4:$B$8),2)</f>
        <v>3.2</v>
      </c>
      <c r="S192" s="26">
        <f>IFERROR(INDEX(Parametros!$F$33:$F$42,MATCH(D192,Parametros!$A$33:$A$42,0)),1)</f>
        <v>1.05</v>
      </c>
      <c r="T192" s="27">
        <f>IFERROR(INDEX(Parametros!$B$21:$B$26,MATCH(I192,Parametros!$A$21:$A$26,0)),0)</f>
        <v>0</v>
      </c>
      <c r="U192" s="28">
        <f t="shared" si="9"/>
        <v>3.36</v>
      </c>
      <c r="V192" s="9">
        <f>IF(U192&gt;=Parametros!$B$14,4,IF(U192&gt;=Parametros!$B$13,3,IF(U192&gt;=Parametros!$B$12,2,1)))</f>
        <v>3</v>
      </c>
      <c r="W192" s="5">
        <f>MAX(V192,IF(K192=5,Parametros!$B$17,0),IF(P192="Sim",Parametros!$B$18,0))</f>
        <v>3</v>
      </c>
      <c r="X192" s="5" t="str">
        <f t="shared" si="10"/>
        <v>Alta</v>
      </c>
      <c r="Y192" s="29">
        <f t="shared" si="11"/>
        <v>3033.499808</v>
      </c>
      <c r="Z192" s="4" t="s">
        <v>381</v>
      </c>
    </row>
    <row r="193" spans="1:26" ht="28.05" customHeight="1" x14ac:dyDescent="0.3">
      <c r="A193" s="5">
        <f t="shared" si="8"/>
        <v>189</v>
      </c>
      <c r="B193" s="23" t="s">
        <v>612</v>
      </c>
      <c r="C193" s="17" t="s">
        <v>297</v>
      </c>
      <c r="D193" s="4" t="s">
        <v>56</v>
      </c>
      <c r="E193" s="4" t="s">
        <v>71</v>
      </c>
      <c r="F193" s="4" t="s">
        <v>71</v>
      </c>
      <c r="G193" s="4" t="s">
        <v>134</v>
      </c>
      <c r="H193" s="4" t="s">
        <v>108</v>
      </c>
      <c r="I193" s="24" t="s">
        <v>152</v>
      </c>
      <c r="J193" s="15">
        <v>2</v>
      </c>
      <c r="K193" s="15">
        <v>4</v>
      </c>
      <c r="L193" s="15">
        <v>4</v>
      </c>
      <c r="M193" s="15">
        <v>2</v>
      </c>
      <c r="N193" s="15">
        <v>2</v>
      </c>
      <c r="O193" s="15">
        <v>4</v>
      </c>
      <c r="P193" s="15" t="s">
        <v>415</v>
      </c>
      <c r="Q193" s="23" t="s">
        <v>416</v>
      </c>
      <c r="R193" s="25">
        <f>ROUND((K193*Parametros!$B$4+L193*Parametros!$B$5+M193*Parametros!$B$6+N193*Parametros!$B$7+O193*Parametros!$B$8)/SUM(Parametros!$B$4:$B$8),2)</f>
        <v>3.3</v>
      </c>
      <c r="S193" s="26">
        <f>IFERROR(INDEX(Parametros!$F$33:$F$42,MATCH(D193,Parametros!$A$33:$A$42,0)),1)</f>
        <v>1.0169999999999999</v>
      </c>
      <c r="T193" s="27">
        <f>IFERROR(INDEX(Parametros!$B$21:$B$26,MATCH(I193,Parametros!$A$21:$A$26,0)),0)</f>
        <v>0</v>
      </c>
      <c r="U193" s="28">
        <f t="shared" si="9"/>
        <v>3.36</v>
      </c>
      <c r="V193" s="9">
        <f>IF(U193&gt;=Parametros!$B$14,4,IF(U193&gt;=Parametros!$B$13,3,IF(U193&gt;=Parametros!$B$12,2,1)))</f>
        <v>3</v>
      </c>
      <c r="W193" s="5">
        <f>MAX(V193,IF(K193=5,Parametros!$B$17,0),IF(P193="Sim",Parametros!$B$18,0))</f>
        <v>3</v>
      </c>
      <c r="X193" s="5" t="str">
        <f t="shared" si="10"/>
        <v>Alta</v>
      </c>
      <c r="Y193" s="29">
        <f t="shared" si="11"/>
        <v>3033.3998070000002</v>
      </c>
      <c r="Z193" s="4" t="s">
        <v>224</v>
      </c>
    </row>
    <row r="194" spans="1:26" ht="28.05" customHeight="1" x14ac:dyDescent="0.3">
      <c r="A194" s="5">
        <f t="shared" si="8"/>
        <v>190</v>
      </c>
      <c r="B194" s="23" t="s">
        <v>613</v>
      </c>
      <c r="C194" s="17" t="s">
        <v>382</v>
      </c>
      <c r="D194" s="4" t="s">
        <v>49</v>
      </c>
      <c r="E194" s="4" t="s">
        <v>81</v>
      </c>
      <c r="F194" s="4" t="s">
        <v>81</v>
      </c>
      <c r="G194" s="4" t="s">
        <v>171</v>
      </c>
      <c r="H194" s="4" t="s">
        <v>172</v>
      </c>
      <c r="I194" s="24" t="s">
        <v>152</v>
      </c>
      <c r="J194" s="15">
        <v>2</v>
      </c>
      <c r="K194" s="15">
        <v>2</v>
      </c>
      <c r="L194" s="15">
        <v>3</v>
      </c>
      <c r="M194" s="15">
        <v>4</v>
      </c>
      <c r="N194" s="15">
        <v>4</v>
      </c>
      <c r="O194" s="15">
        <v>3</v>
      </c>
      <c r="P194" s="15" t="s">
        <v>415</v>
      </c>
      <c r="Q194" s="23" t="s">
        <v>416</v>
      </c>
      <c r="R194" s="25">
        <f>ROUND((K194*Parametros!$B$4+L194*Parametros!$B$5+M194*Parametros!$B$6+N194*Parametros!$B$7+O194*Parametros!$B$8)/SUM(Parametros!$B$4:$B$8),2)</f>
        <v>3.05</v>
      </c>
      <c r="S194" s="26">
        <f>IFERROR(INDEX(Parametros!$F$33:$F$42,MATCH(D194,Parametros!$A$33:$A$42,0)),1)</f>
        <v>1.1000000000000001</v>
      </c>
      <c r="T194" s="27">
        <f>IFERROR(INDEX(Parametros!$B$21:$B$26,MATCH(I194,Parametros!$A$21:$A$26,0)),0)</f>
        <v>0</v>
      </c>
      <c r="U194" s="28">
        <f t="shared" si="9"/>
        <v>3.36</v>
      </c>
      <c r="V194" s="9">
        <f>IF(U194&gt;=Parametros!$B$14,4,IF(U194&gt;=Parametros!$B$13,3,IF(U194&gt;=Parametros!$B$12,2,1)))</f>
        <v>3</v>
      </c>
      <c r="W194" s="5">
        <f>MAX(V194,IF(K194=5,Parametros!$B$17,0),IF(P194="Sim",Parametros!$B$18,0))</f>
        <v>3</v>
      </c>
      <c r="X194" s="5" t="str">
        <f t="shared" si="10"/>
        <v>Alta</v>
      </c>
      <c r="Y194" s="29">
        <f t="shared" si="11"/>
        <v>3033.3998059999999</v>
      </c>
      <c r="Z194" s="4" t="s">
        <v>258</v>
      </c>
    </row>
    <row r="195" spans="1:26" ht="28.05" customHeight="1" x14ac:dyDescent="0.3">
      <c r="A195" s="5">
        <f t="shared" si="8"/>
        <v>191</v>
      </c>
      <c r="B195" s="23" t="s">
        <v>614</v>
      </c>
      <c r="C195" s="17" t="s">
        <v>300</v>
      </c>
      <c r="D195" s="4" t="s">
        <v>54</v>
      </c>
      <c r="E195" s="4" t="s">
        <v>69</v>
      </c>
      <c r="F195" s="4" t="s">
        <v>427</v>
      </c>
      <c r="G195" s="4" t="s">
        <v>112</v>
      </c>
      <c r="H195" s="4" t="s">
        <v>108</v>
      </c>
      <c r="I195" s="24" t="s">
        <v>122</v>
      </c>
      <c r="J195" s="15">
        <v>3</v>
      </c>
      <c r="K195" s="15">
        <v>4</v>
      </c>
      <c r="L195" s="15">
        <v>3</v>
      </c>
      <c r="M195" s="15">
        <v>2</v>
      </c>
      <c r="N195" s="15">
        <v>4</v>
      </c>
      <c r="O195" s="15">
        <v>3</v>
      </c>
      <c r="P195" s="15" t="s">
        <v>415</v>
      </c>
      <c r="Q195" s="23" t="s">
        <v>416</v>
      </c>
      <c r="R195" s="25">
        <f>ROUND((K195*Parametros!$B$4+L195*Parametros!$B$5+M195*Parametros!$B$6+N195*Parametros!$B$7+O195*Parametros!$B$8)/SUM(Parametros!$B$4:$B$8),2)</f>
        <v>3.25</v>
      </c>
      <c r="S195" s="26">
        <f>IFERROR(INDEX(Parametros!$F$33:$F$42,MATCH(D195,Parametros!$A$33:$A$42,0)),1)</f>
        <v>1.034</v>
      </c>
      <c r="T195" s="27">
        <f>IFERROR(INDEX(Parametros!$B$21:$B$26,MATCH(I195,Parametros!$A$21:$A$26,0)),0)</f>
        <v>0</v>
      </c>
      <c r="U195" s="28">
        <f t="shared" si="9"/>
        <v>3.36</v>
      </c>
      <c r="V195" s="9">
        <f>IF(U195&gt;=Parametros!$B$14,4,IF(U195&gt;=Parametros!$B$13,3,IF(U195&gt;=Parametros!$B$12,2,1)))</f>
        <v>3</v>
      </c>
      <c r="W195" s="5">
        <f>MAX(V195,IF(K195=5,Parametros!$B$17,0),IF(P195="Sim",Parametros!$B$18,0))</f>
        <v>3</v>
      </c>
      <c r="X195" s="5" t="str">
        <f t="shared" si="10"/>
        <v>Alta</v>
      </c>
      <c r="Y195" s="29">
        <f t="shared" si="11"/>
        <v>3033.2998049999997</v>
      </c>
      <c r="Z195" s="4" t="s">
        <v>301</v>
      </c>
    </row>
    <row r="196" spans="1:26" ht="28.05" customHeight="1" x14ac:dyDescent="0.3">
      <c r="A196" s="5">
        <f t="shared" si="8"/>
        <v>192</v>
      </c>
      <c r="B196" s="23" t="s">
        <v>615</v>
      </c>
      <c r="C196" s="17" t="s">
        <v>302</v>
      </c>
      <c r="D196" s="4" t="s">
        <v>55</v>
      </c>
      <c r="E196" s="4" t="s">
        <v>77</v>
      </c>
      <c r="F196" s="4" t="s">
        <v>77</v>
      </c>
      <c r="G196" s="4" t="s">
        <v>134</v>
      </c>
      <c r="H196" s="4" t="s">
        <v>108</v>
      </c>
      <c r="I196" s="24" t="s">
        <v>152</v>
      </c>
      <c r="J196" s="15">
        <v>3</v>
      </c>
      <c r="K196" s="15">
        <v>4</v>
      </c>
      <c r="L196" s="15">
        <v>4</v>
      </c>
      <c r="M196" s="15">
        <v>1</v>
      </c>
      <c r="N196" s="15">
        <v>3</v>
      </c>
      <c r="O196" s="15">
        <v>4</v>
      </c>
      <c r="P196" s="15" t="s">
        <v>415</v>
      </c>
      <c r="Q196" s="23" t="s">
        <v>416</v>
      </c>
      <c r="R196" s="25">
        <f>ROUND((K196*Parametros!$B$4+L196*Parametros!$B$5+M196*Parametros!$B$6+N196*Parametros!$B$7+O196*Parametros!$B$8)/SUM(Parametros!$B$4:$B$8),2)</f>
        <v>3.25</v>
      </c>
      <c r="S196" s="26">
        <f>IFERROR(INDEX(Parametros!$F$33:$F$42,MATCH(D196,Parametros!$A$33:$A$42,0)),1)</f>
        <v>1.034</v>
      </c>
      <c r="T196" s="27">
        <f>IFERROR(INDEX(Parametros!$B$21:$B$26,MATCH(I196,Parametros!$A$21:$A$26,0)),0)</f>
        <v>0</v>
      </c>
      <c r="U196" s="28">
        <f t="shared" si="9"/>
        <v>3.36</v>
      </c>
      <c r="V196" s="9">
        <f>IF(U196&gt;=Parametros!$B$14,4,IF(U196&gt;=Parametros!$B$13,3,IF(U196&gt;=Parametros!$B$12,2,1)))</f>
        <v>3</v>
      </c>
      <c r="W196" s="5">
        <f>MAX(V196,IF(K196=5,Parametros!$B$17,0),IF(P196="Sim",Parametros!$B$18,0))</f>
        <v>3</v>
      </c>
      <c r="X196" s="5" t="str">
        <f t="shared" si="10"/>
        <v>Alta</v>
      </c>
      <c r="Y196" s="29">
        <f t="shared" si="11"/>
        <v>3033.2998039999998</v>
      </c>
      <c r="Z196" s="4" t="s">
        <v>224</v>
      </c>
    </row>
    <row r="197" spans="1:26" ht="28.05" customHeight="1" x14ac:dyDescent="0.3">
      <c r="A197" s="5">
        <f t="shared" ref="A197:A260" si="12">IF(Y197="","",COUNTIF($Y$5:$Y$983,"&gt;"&amp;Y197)+1)</f>
        <v>193</v>
      </c>
      <c r="B197" s="23" t="s">
        <v>616</v>
      </c>
      <c r="C197" s="17" t="s">
        <v>303</v>
      </c>
      <c r="D197" s="4" t="s">
        <v>55</v>
      </c>
      <c r="E197" s="4" t="s">
        <v>84</v>
      </c>
      <c r="F197" s="4" t="s">
        <v>84</v>
      </c>
      <c r="G197" s="4" t="s">
        <v>134</v>
      </c>
      <c r="H197" s="4" t="s">
        <v>108</v>
      </c>
      <c r="I197" s="24" t="s">
        <v>152</v>
      </c>
      <c r="J197" s="15">
        <v>3</v>
      </c>
      <c r="K197" s="15">
        <v>4</v>
      </c>
      <c r="L197" s="15">
        <v>4</v>
      </c>
      <c r="M197" s="15">
        <v>1</v>
      </c>
      <c r="N197" s="15">
        <v>3</v>
      </c>
      <c r="O197" s="15">
        <v>4</v>
      </c>
      <c r="P197" s="15" t="s">
        <v>415</v>
      </c>
      <c r="Q197" s="23" t="s">
        <v>416</v>
      </c>
      <c r="R197" s="25">
        <f>ROUND((K197*Parametros!$B$4+L197*Parametros!$B$5+M197*Parametros!$B$6+N197*Parametros!$B$7+O197*Parametros!$B$8)/SUM(Parametros!$B$4:$B$8),2)</f>
        <v>3.25</v>
      </c>
      <c r="S197" s="26">
        <f>IFERROR(INDEX(Parametros!$F$33:$F$42,MATCH(D197,Parametros!$A$33:$A$42,0)),1)</f>
        <v>1.034</v>
      </c>
      <c r="T197" s="27">
        <f>IFERROR(INDEX(Parametros!$B$21:$B$26,MATCH(I197,Parametros!$A$21:$A$26,0)),0)</f>
        <v>0</v>
      </c>
      <c r="U197" s="28">
        <f t="shared" ref="U197:U260" si="13">ROUND(R197*S197+T197,2)</f>
        <v>3.36</v>
      </c>
      <c r="V197" s="9">
        <f>IF(U197&gt;=Parametros!$B$14,4,IF(U197&gt;=Parametros!$B$13,3,IF(U197&gt;=Parametros!$B$12,2,1)))</f>
        <v>3</v>
      </c>
      <c r="W197" s="5">
        <f>MAX(V197,IF(K197=5,Parametros!$B$17,0),IF(P197="Sim",Parametros!$B$18,0))</f>
        <v>3</v>
      </c>
      <c r="X197" s="5" t="str">
        <f t="shared" ref="X197:X260" si="14">CHOOSE(W197,"Baixa","Normal","Alta","Urgente")</f>
        <v>Alta</v>
      </c>
      <c r="Y197" s="29">
        <f t="shared" ref="Y197:Y260" si="15">W197*1000+U197*10-J197/10-ROW()/1000000</f>
        <v>3033.2998029999999</v>
      </c>
      <c r="Z197" s="4" t="s">
        <v>224</v>
      </c>
    </row>
    <row r="198" spans="1:26" ht="28.05" customHeight="1" x14ac:dyDescent="0.3">
      <c r="A198" s="5">
        <f t="shared" si="12"/>
        <v>194</v>
      </c>
      <c r="B198" s="23" t="s">
        <v>617</v>
      </c>
      <c r="C198" s="17" t="s">
        <v>304</v>
      </c>
      <c r="D198" s="4" t="s">
        <v>50</v>
      </c>
      <c r="E198" s="4" t="s">
        <v>70</v>
      </c>
      <c r="F198" s="4" t="s">
        <v>70</v>
      </c>
      <c r="G198" s="4" t="s">
        <v>112</v>
      </c>
      <c r="H198" s="4" t="s">
        <v>108</v>
      </c>
      <c r="I198" s="24" t="s">
        <v>122</v>
      </c>
      <c r="J198" s="15">
        <v>3</v>
      </c>
      <c r="K198" s="15">
        <v>3</v>
      </c>
      <c r="L198" s="15">
        <v>4</v>
      </c>
      <c r="M198" s="15">
        <v>4</v>
      </c>
      <c r="N198" s="15">
        <v>1</v>
      </c>
      <c r="O198" s="15">
        <v>3</v>
      </c>
      <c r="P198" s="15" t="s">
        <v>415</v>
      </c>
      <c r="Q198" s="23" t="s">
        <v>416</v>
      </c>
      <c r="R198" s="25">
        <f>ROUND((K198*Parametros!$B$4+L198*Parametros!$B$5+M198*Parametros!$B$6+N198*Parametros!$B$7+O198*Parametros!$B$8)/SUM(Parametros!$B$4:$B$8),2)</f>
        <v>3.1</v>
      </c>
      <c r="S198" s="26">
        <f>IFERROR(INDEX(Parametros!$F$33:$F$42,MATCH(D198,Parametros!$A$33:$A$42,0)),1)</f>
        <v>1.0840000000000001</v>
      </c>
      <c r="T198" s="27">
        <f>IFERROR(INDEX(Parametros!$B$21:$B$26,MATCH(I198,Parametros!$A$21:$A$26,0)),0)</f>
        <v>0</v>
      </c>
      <c r="U198" s="28">
        <f t="shared" si="13"/>
        <v>3.36</v>
      </c>
      <c r="V198" s="9">
        <f>IF(U198&gt;=Parametros!$B$14,4,IF(U198&gt;=Parametros!$B$13,3,IF(U198&gt;=Parametros!$B$12,2,1)))</f>
        <v>3</v>
      </c>
      <c r="W198" s="5">
        <f>MAX(V198,IF(K198=5,Parametros!$B$17,0),IF(P198="Sim",Parametros!$B$18,0))</f>
        <v>3</v>
      </c>
      <c r="X198" s="5" t="str">
        <f t="shared" si="14"/>
        <v>Alta</v>
      </c>
      <c r="Y198" s="29">
        <f t="shared" si="15"/>
        <v>3033.2998019999995</v>
      </c>
      <c r="Z198" s="4" t="s">
        <v>235</v>
      </c>
    </row>
    <row r="199" spans="1:26" ht="28.05" customHeight="1" x14ac:dyDescent="0.3">
      <c r="A199" s="5">
        <f t="shared" si="12"/>
        <v>195</v>
      </c>
      <c r="B199" s="23" t="s">
        <v>618</v>
      </c>
      <c r="C199" s="17" t="s">
        <v>305</v>
      </c>
      <c r="D199" s="4" t="s">
        <v>50</v>
      </c>
      <c r="E199" s="4" t="s">
        <v>70</v>
      </c>
      <c r="F199" s="4" t="s">
        <v>70</v>
      </c>
      <c r="G199" s="4" t="s">
        <v>112</v>
      </c>
      <c r="H199" s="4" t="s">
        <v>108</v>
      </c>
      <c r="I199" s="24" t="s">
        <v>122</v>
      </c>
      <c r="J199" s="15">
        <v>3</v>
      </c>
      <c r="K199" s="15">
        <v>3</v>
      </c>
      <c r="L199" s="15">
        <v>4</v>
      </c>
      <c r="M199" s="15">
        <v>4</v>
      </c>
      <c r="N199" s="15">
        <v>1</v>
      </c>
      <c r="O199" s="15">
        <v>3</v>
      </c>
      <c r="P199" s="15" t="s">
        <v>415</v>
      </c>
      <c r="Q199" s="23" t="s">
        <v>416</v>
      </c>
      <c r="R199" s="25">
        <f>ROUND((K199*Parametros!$B$4+L199*Parametros!$B$5+M199*Parametros!$B$6+N199*Parametros!$B$7+O199*Parametros!$B$8)/SUM(Parametros!$B$4:$B$8),2)</f>
        <v>3.1</v>
      </c>
      <c r="S199" s="26">
        <f>IFERROR(INDEX(Parametros!$F$33:$F$42,MATCH(D199,Parametros!$A$33:$A$42,0)),1)</f>
        <v>1.0840000000000001</v>
      </c>
      <c r="T199" s="27">
        <f>IFERROR(INDEX(Parametros!$B$21:$B$26,MATCH(I199,Parametros!$A$21:$A$26,0)),0)</f>
        <v>0</v>
      </c>
      <c r="U199" s="28">
        <f t="shared" si="13"/>
        <v>3.36</v>
      </c>
      <c r="V199" s="9">
        <f>IF(U199&gt;=Parametros!$B$14,4,IF(U199&gt;=Parametros!$B$13,3,IF(U199&gt;=Parametros!$B$12,2,1)))</f>
        <v>3</v>
      </c>
      <c r="W199" s="5">
        <f>MAX(V199,IF(K199=5,Parametros!$B$17,0),IF(P199="Sim",Parametros!$B$18,0))</f>
        <v>3</v>
      </c>
      <c r="X199" s="5" t="str">
        <f t="shared" si="14"/>
        <v>Alta</v>
      </c>
      <c r="Y199" s="29">
        <f t="shared" si="15"/>
        <v>3033.2998009999997</v>
      </c>
      <c r="Z199" s="4" t="s">
        <v>235</v>
      </c>
    </row>
    <row r="200" spans="1:26" ht="28.05" customHeight="1" x14ac:dyDescent="0.3">
      <c r="A200" s="5">
        <f t="shared" si="12"/>
        <v>196</v>
      </c>
      <c r="B200" s="23" t="s">
        <v>619</v>
      </c>
      <c r="C200" s="17" t="s">
        <v>306</v>
      </c>
      <c r="D200" s="4" t="s">
        <v>55</v>
      </c>
      <c r="E200" s="4" t="s">
        <v>64</v>
      </c>
      <c r="F200" s="4" t="s">
        <v>64</v>
      </c>
      <c r="G200" s="4" t="s">
        <v>134</v>
      </c>
      <c r="H200" s="4" t="s">
        <v>108</v>
      </c>
      <c r="I200" s="24" t="s">
        <v>109</v>
      </c>
      <c r="J200" s="15">
        <v>3</v>
      </c>
      <c r="K200" s="15">
        <v>4</v>
      </c>
      <c r="L200" s="15">
        <v>4</v>
      </c>
      <c r="M200" s="15">
        <v>1</v>
      </c>
      <c r="N200" s="15">
        <v>2</v>
      </c>
      <c r="O200" s="15">
        <v>3</v>
      </c>
      <c r="P200" s="15" t="s">
        <v>415</v>
      </c>
      <c r="Q200" s="23" t="s">
        <v>416</v>
      </c>
      <c r="R200" s="25">
        <f>ROUND((K200*Parametros!$B$4+L200*Parametros!$B$5+M200*Parametros!$B$6+N200*Parametros!$B$7+O200*Parametros!$B$8)/SUM(Parametros!$B$4:$B$8),2)</f>
        <v>2.95</v>
      </c>
      <c r="S200" s="26">
        <f>IFERROR(INDEX(Parametros!$F$33:$F$42,MATCH(D200,Parametros!$A$33:$A$42,0)),1)</f>
        <v>1.034</v>
      </c>
      <c r="T200" s="27">
        <f>IFERROR(INDEX(Parametros!$B$21:$B$26,MATCH(I200,Parametros!$A$21:$A$26,0)),0)</f>
        <v>0.3</v>
      </c>
      <c r="U200" s="28">
        <f t="shared" si="13"/>
        <v>3.35</v>
      </c>
      <c r="V200" s="9">
        <f>IF(U200&gt;=Parametros!$B$14,4,IF(U200&gt;=Parametros!$B$13,3,IF(U200&gt;=Parametros!$B$12,2,1)))</f>
        <v>3</v>
      </c>
      <c r="W200" s="5">
        <f>MAX(V200,IF(K200=5,Parametros!$B$17,0),IF(P200="Sim",Parametros!$B$18,0))</f>
        <v>3</v>
      </c>
      <c r="X200" s="5" t="str">
        <f t="shared" si="14"/>
        <v>Alta</v>
      </c>
      <c r="Y200" s="29">
        <f t="shared" si="15"/>
        <v>3033.1997999999999</v>
      </c>
      <c r="Z200" s="4" t="s">
        <v>164</v>
      </c>
    </row>
    <row r="201" spans="1:26" ht="28.05" customHeight="1" x14ac:dyDescent="0.3">
      <c r="A201" s="5">
        <f t="shared" si="12"/>
        <v>197</v>
      </c>
      <c r="B201" s="23" t="s">
        <v>620</v>
      </c>
      <c r="C201" s="17" t="s">
        <v>307</v>
      </c>
      <c r="D201" s="4" t="s">
        <v>54</v>
      </c>
      <c r="E201" s="4" t="s">
        <v>70</v>
      </c>
      <c r="F201" s="4" t="s">
        <v>70</v>
      </c>
      <c r="G201" s="4" t="s">
        <v>112</v>
      </c>
      <c r="H201" s="4" t="s">
        <v>108</v>
      </c>
      <c r="I201" s="24" t="s">
        <v>152</v>
      </c>
      <c r="J201" s="15">
        <v>4</v>
      </c>
      <c r="K201" s="15">
        <v>3</v>
      </c>
      <c r="L201" s="15">
        <v>4</v>
      </c>
      <c r="M201" s="15">
        <v>4</v>
      </c>
      <c r="N201" s="15">
        <v>2</v>
      </c>
      <c r="O201" s="15">
        <v>3</v>
      </c>
      <c r="P201" s="15" t="s">
        <v>415</v>
      </c>
      <c r="Q201" s="23" t="s">
        <v>416</v>
      </c>
      <c r="R201" s="25">
        <f>ROUND((K201*Parametros!$B$4+L201*Parametros!$B$5+M201*Parametros!$B$6+N201*Parametros!$B$7+O201*Parametros!$B$8)/SUM(Parametros!$B$4:$B$8),2)</f>
        <v>3.25</v>
      </c>
      <c r="S201" s="26">
        <f>IFERROR(INDEX(Parametros!$F$33:$F$42,MATCH(D201,Parametros!$A$33:$A$42,0)),1)</f>
        <v>1.034</v>
      </c>
      <c r="T201" s="27">
        <f>IFERROR(INDEX(Parametros!$B$21:$B$26,MATCH(I201,Parametros!$A$21:$A$26,0)),0)</f>
        <v>0</v>
      </c>
      <c r="U201" s="28">
        <f t="shared" si="13"/>
        <v>3.36</v>
      </c>
      <c r="V201" s="9">
        <f>IF(U201&gt;=Parametros!$B$14,4,IF(U201&gt;=Parametros!$B$13,3,IF(U201&gt;=Parametros!$B$12,2,1)))</f>
        <v>3</v>
      </c>
      <c r="W201" s="5">
        <f>MAX(V201,IF(K201=5,Parametros!$B$17,0),IF(P201="Sim",Parametros!$B$18,0))</f>
        <v>3</v>
      </c>
      <c r="X201" s="5" t="str">
        <f t="shared" si="14"/>
        <v>Alta</v>
      </c>
      <c r="Y201" s="29">
        <f t="shared" si="15"/>
        <v>3033.199799</v>
      </c>
      <c r="Z201" s="4" t="s">
        <v>235</v>
      </c>
    </row>
    <row r="202" spans="1:26" ht="28.05" customHeight="1" x14ac:dyDescent="0.3">
      <c r="A202" s="5">
        <f t="shared" si="12"/>
        <v>198</v>
      </c>
      <c r="B202" s="23" t="s">
        <v>621</v>
      </c>
      <c r="C202" s="17" t="s">
        <v>383</v>
      </c>
      <c r="D202" s="4" t="s">
        <v>52</v>
      </c>
      <c r="E202" s="4" t="s">
        <v>66</v>
      </c>
      <c r="F202" s="4" t="s">
        <v>66</v>
      </c>
      <c r="G202" s="4" t="s">
        <v>171</v>
      </c>
      <c r="H202" s="4" t="s">
        <v>172</v>
      </c>
      <c r="I202" s="24" t="s">
        <v>131</v>
      </c>
      <c r="J202" s="15">
        <v>4</v>
      </c>
      <c r="K202" s="15">
        <v>3</v>
      </c>
      <c r="L202" s="15">
        <v>4</v>
      </c>
      <c r="M202" s="15">
        <v>3</v>
      </c>
      <c r="N202" s="15">
        <v>2</v>
      </c>
      <c r="O202" s="15">
        <v>4</v>
      </c>
      <c r="P202" s="15" t="s">
        <v>415</v>
      </c>
      <c r="Q202" s="23" t="s">
        <v>416</v>
      </c>
      <c r="R202" s="25">
        <f>ROUND((K202*Parametros!$B$4+L202*Parametros!$B$5+M202*Parametros!$B$6+N202*Parametros!$B$7+O202*Parametros!$B$8)/SUM(Parametros!$B$4:$B$8),2)</f>
        <v>3.2</v>
      </c>
      <c r="S202" s="26">
        <f>IFERROR(INDEX(Parametros!$F$33:$F$42,MATCH(D202,Parametros!$A$33:$A$42,0)),1)</f>
        <v>1.05</v>
      </c>
      <c r="T202" s="27">
        <f>IFERROR(INDEX(Parametros!$B$21:$B$26,MATCH(I202,Parametros!$A$21:$A$26,0)),0)</f>
        <v>0</v>
      </c>
      <c r="U202" s="28">
        <f t="shared" si="13"/>
        <v>3.36</v>
      </c>
      <c r="V202" s="9">
        <f>IF(U202&gt;=Parametros!$B$14,4,IF(U202&gt;=Parametros!$B$13,3,IF(U202&gt;=Parametros!$B$12,2,1)))</f>
        <v>3</v>
      </c>
      <c r="W202" s="5">
        <f>MAX(V202,IF(K202=5,Parametros!$B$17,0),IF(P202="Sim",Parametros!$B$18,0))</f>
        <v>3</v>
      </c>
      <c r="X202" s="5" t="str">
        <f t="shared" si="14"/>
        <v>Alta</v>
      </c>
      <c r="Y202" s="29">
        <f t="shared" si="15"/>
        <v>3033.1997979999996</v>
      </c>
      <c r="Z202" s="4" t="s">
        <v>320</v>
      </c>
    </row>
    <row r="203" spans="1:26" ht="28.05" customHeight="1" x14ac:dyDescent="0.3">
      <c r="A203" s="5">
        <f t="shared" si="12"/>
        <v>199</v>
      </c>
      <c r="B203" s="23" t="s">
        <v>622</v>
      </c>
      <c r="C203" s="17" t="s">
        <v>308</v>
      </c>
      <c r="D203" s="4" t="s">
        <v>54</v>
      </c>
      <c r="E203" s="4" t="s">
        <v>69</v>
      </c>
      <c r="F203" s="4" t="s">
        <v>69</v>
      </c>
      <c r="G203" s="4" t="s">
        <v>112</v>
      </c>
      <c r="H203" s="4" t="s">
        <v>108</v>
      </c>
      <c r="I203" s="24" t="s">
        <v>152</v>
      </c>
      <c r="J203" s="15">
        <v>2</v>
      </c>
      <c r="K203" s="15">
        <v>3</v>
      </c>
      <c r="L203" s="15">
        <v>4</v>
      </c>
      <c r="M203" s="15">
        <v>3</v>
      </c>
      <c r="N203" s="15">
        <v>3</v>
      </c>
      <c r="O203" s="15">
        <v>3</v>
      </c>
      <c r="P203" s="15" t="s">
        <v>415</v>
      </c>
      <c r="Q203" s="23" t="s">
        <v>416</v>
      </c>
      <c r="R203" s="25">
        <f>ROUND((K203*Parametros!$B$4+L203*Parametros!$B$5+M203*Parametros!$B$6+N203*Parametros!$B$7+O203*Parametros!$B$8)/SUM(Parametros!$B$4:$B$8),2)</f>
        <v>3.2</v>
      </c>
      <c r="S203" s="26">
        <f>IFERROR(INDEX(Parametros!$F$33:$F$42,MATCH(D203,Parametros!$A$33:$A$42,0)),1)</f>
        <v>1.034</v>
      </c>
      <c r="T203" s="27">
        <f>IFERROR(INDEX(Parametros!$B$21:$B$26,MATCH(I203,Parametros!$A$21:$A$26,0)),0)</f>
        <v>0</v>
      </c>
      <c r="U203" s="28">
        <f t="shared" si="13"/>
        <v>3.31</v>
      </c>
      <c r="V203" s="9">
        <f>IF(U203&gt;=Parametros!$B$14,4,IF(U203&gt;=Parametros!$B$13,3,IF(U203&gt;=Parametros!$B$12,2,1)))</f>
        <v>3</v>
      </c>
      <c r="W203" s="5">
        <f>MAX(V203,IF(K203=5,Parametros!$B$17,0),IF(P203="Sim",Parametros!$B$18,0))</f>
        <v>3</v>
      </c>
      <c r="X203" s="5" t="str">
        <f t="shared" si="14"/>
        <v>Alta</v>
      </c>
      <c r="Y203" s="29">
        <f t="shared" si="15"/>
        <v>3032.899797</v>
      </c>
      <c r="Z203" s="4" t="s">
        <v>309</v>
      </c>
    </row>
    <row r="204" spans="1:26" ht="28.05" customHeight="1" x14ac:dyDescent="0.3">
      <c r="A204" s="5">
        <f t="shared" si="12"/>
        <v>200</v>
      </c>
      <c r="B204" s="23" t="s">
        <v>623</v>
      </c>
      <c r="C204" s="17" t="s">
        <v>310</v>
      </c>
      <c r="D204" s="4" t="s">
        <v>54</v>
      </c>
      <c r="E204" s="4" t="s">
        <v>69</v>
      </c>
      <c r="F204" s="4" t="s">
        <v>69</v>
      </c>
      <c r="G204" s="4" t="s">
        <v>112</v>
      </c>
      <c r="H204" s="4" t="s">
        <v>108</v>
      </c>
      <c r="I204" s="24" t="s">
        <v>152</v>
      </c>
      <c r="J204" s="15">
        <v>2</v>
      </c>
      <c r="K204" s="15">
        <v>4</v>
      </c>
      <c r="L204" s="15">
        <v>3</v>
      </c>
      <c r="M204" s="15">
        <v>1</v>
      </c>
      <c r="N204" s="15">
        <v>4</v>
      </c>
      <c r="O204" s="15">
        <v>4</v>
      </c>
      <c r="P204" s="15" t="s">
        <v>415</v>
      </c>
      <c r="Q204" s="23" t="s">
        <v>416</v>
      </c>
      <c r="R204" s="25">
        <f>ROUND((K204*Parametros!$B$4+L204*Parametros!$B$5+M204*Parametros!$B$6+N204*Parametros!$B$7+O204*Parametros!$B$8)/SUM(Parametros!$B$4:$B$8),2)</f>
        <v>3.2</v>
      </c>
      <c r="S204" s="26">
        <f>IFERROR(INDEX(Parametros!$F$33:$F$42,MATCH(D204,Parametros!$A$33:$A$42,0)),1)</f>
        <v>1.034</v>
      </c>
      <c r="T204" s="27">
        <f>IFERROR(INDEX(Parametros!$B$21:$B$26,MATCH(I204,Parametros!$A$21:$A$26,0)),0)</f>
        <v>0</v>
      </c>
      <c r="U204" s="28">
        <f t="shared" si="13"/>
        <v>3.31</v>
      </c>
      <c r="V204" s="9">
        <f>IF(U204&gt;=Parametros!$B$14,4,IF(U204&gt;=Parametros!$B$13,3,IF(U204&gt;=Parametros!$B$12,2,1)))</f>
        <v>3</v>
      </c>
      <c r="W204" s="5">
        <f>MAX(V204,IF(K204=5,Parametros!$B$17,0),IF(P204="Sim",Parametros!$B$18,0))</f>
        <v>3</v>
      </c>
      <c r="X204" s="5" t="str">
        <f t="shared" si="14"/>
        <v>Alta</v>
      </c>
      <c r="Y204" s="29">
        <f t="shared" si="15"/>
        <v>3032.8997960000002</v>
      </c>
      <c r="Z204" s="4" t="s">
        <v>311</v>
      </c>
    </row>
    <row r="205" spans="1:26" ht="28.05" customHeight="1" x14ac:dyDescent="0.3">
      <c r="A205" s="5">
        <f t="shared" si="12"/>
        <v>201</v>
      </c>
      <c r="B205" s="23" t="s">
        <v>624</v>
      </c>
      <c r="C205" s="17" t="s">
        <v>384</v>
      </c>
      <c r="D205" s="4" t="s">
        <v>52</v>
      </c>
      <c r="E205" s="4" t="s">
        <v>66</v>
      </c>
      <c r="F205" s="4" t="s">
        <v>66</v>
      </c>
      <c r="G205" s="4" t="s">
        <v>171</v>
      </c>
      <c r="H205" s="4" t="s">
        <v>172</v>
      </c>
      <c r="I205" s="24" t="s">
        <v>152</v>
      </c>
      <c r="J205" s="15">
        <v>2</v>
      </c>
      <c r="K205" s="15">
        <v>4</v>
      </c>
      <c r="L205" s="15">
        <v>3</v>
      </c>
      <c r="M205" s="15">
        <v>3</v>
      </c>
      <c r="N205" s="15">
        <v>2</v>
      </c>
      <c r="O205" s="15">
        <v>3</v>
      </c>
      <c r="P205" s="15" t="s">
        <v>415</v>
      </c>
      <c r="Q205" s="23" t="s">
        <v>416</v>
      </c>
      <c r="R205" s="25">
        <f>ROUND((K205*Parametros!$B$4+L205*Parametros!$B$5+M205*Parametros!$B$6+N205*Parametros!$B$7+O205*Parametros!$B$8)/SUM(Parametros!$B$4:$B$8),2)</f>
        <v>3.15</v>
      </c>
      <c r="S205" s="26">
        <f>IFERROR(INDEX(Parametros!$F$33:$F$42,MATCH(D205,Parametros!$A$33:$A$42,0)),1)</f>
        <v>1.05</v>
      </c>
      <c r="T205" s="27">
        <f>IFERROR(INDEX(Parametros!$B$21:$B$26,MATCH(I205,Parametros!$A$21:$A$26,0)),0)</f>
        <v>0</v>
      </c>
      <c r="U205" s="28">
        <f t="shared" si="13"/>
        <v>3.31</v>
      </c>
      <c r="V205" s="9">
        <f>IF(U205&gt;=Parametros!$B$14,4,IF(U205&gt;=Parametros!$B$13,3,IF(U205&gt;=Parametros!$B$12,2,1)))</f>
        <v>3</v>
      </c>
      <c r="W205" s="5">
        <f>MAX(V205,IF(K205=5,Parametros!$B$17,0),IF(P205="Sim",Parametros!$B$18,0))</f>
        <v>3</v>
      </c>
      <c r="X205" s="5" t="str">
        <f t="shared" si="14"/>
        <v>Alta</v>
      </c>
      <c r="Y205" s="29">
        <f t="shared" si="15"/>
        <v>3032.8997950000003</v>
      </c>
      <c r="Z205" s="4" t="s">
        <v>385</v>
      </c>
    </row>
    <row r="206" spans="1:26" ht="28.05" customHeight="1" x14ac:dyDescent="0.3">
      <c r="A206" s="5">
        <f t="shared" si="12"/>
        <v>202</v>
      </c>
      <c r="B206" s="23" t="s">
        <v>625</v>
      </c>
      <c r="C206" s="17" t="s">
        <v>386</v>
      </c>
      <c r="D206" s="4" t="s">
        <v>54</v>
      </c>
      <c r="E206" s="4" t="s">
        <v>64</v>
      </c>
      <c r="F206" s="4" t="s">
        <v>64</v>
      </c>
      <c r="G206" s="4" t="s">
        <v>171</v>
      </c>
      <c r="H206" s="4" t="s">
        <v>172</v>
      </c>
      <c r="I206" s="24" t="s">
        <v>109</v>
      </c>
      <c r="J206" s="15">
        <v>2</v>
      </c>
      <c r="K206" s="15">
        <v>4</v>
      </c>
      <c r="L206" s="15">
        <v>3</v>
      </c>
      <c r="M206" s="15">
        <v>1</v>
      </c>
      <c r="N206" s="15">
        <v>3</v>
      </c>
      <c r="O206" s="15">
        <v>3</v>
      </c>
      <c r="P206" s="15" t="s">
        <v>415</v>
      </c>
      <c r="Q206" s="23" t="s">
        <v>416</v>
      </c>
      <c r="R206" s="25">
        <f>ROUND((K206*Parametros!$B$4+L206*Parametros!$B$5+M206*Parametros!$B$6+N206*Parametros!$B$7+O206*Parametros!$B$8)/SUM(Parametros!$B$4:$B$8),2)</f>
        <v>2.9</v>
      </c>
      <c r="S206" s="26">
        <f>IFERROR(INDEX(Parametros!$F$33:$F$42,MATCH(D206,Parametros!$A$33:$A$42,0)),1)</f>
        <v>1.034</v>
      </c>
      <c r="T206" s="27">
        <f>IFERROR(INDEX(Parametros!$B$21:$B$26,MATCH(I206,Parametros!$A$21:$A$26,0)),0)</f>
        <v>0.3</v>
      </c>
      <c r="U206" s="28">
        <f t="shared" si="13"/>
        <v>3.3</v>
      </c>
      <c r="V206" s="9">
        <f>IF(U206&gt;=Parametros!$B$14,4,IF(U206&gt;=Parametros!$B$13,3,IF(U206&gt;=Parametros!$B$12,2,1)))</f>
        <v>3</v>
      </c>
      <c r="W206" s="5">
        <f>MAX(V206,IF(K206=5,Parametros!$B$17,0),IF(P206="Sim",Parametros!$B$18,0))</f>
        <v>3</v>
      </c>
      <c r="X206" s="5" t="str">
        <f t="shared" si="14"/>
        <v>Alta</v>
      </c>
      <c r="Y206" s="29">
        <f t="shared" si="15"/>
        <v>3032.799794</v>
      </c>
      <c r="Z206" s="4" t="s">
        <v>351</v>
      </c>
    </row>
    <row r="207" spans="1:26" ht="28.05" customHeight="1" x14ac:dyDescent="0.3">
      <c r="A207" s="5">
        <f t="shared" si="12"/>
        <v>203</v>
      </c>
      <c r="B207" s="23" t="s">
        <v>626</v>
      </c>
      <c r="C207" s="17" t="s">
        <v>387</v>
      </c>
      <c r="D207" s="4" t="s">
        <v>54</v>
      </c>
      <c r="E207" s="4" t="s">
        <v>64</v>
      </c>
      <c r="F207" s="4" t="s">
        <v>64</v>
      </c>
      <c r="G207" s="4" t="s">
        <v>171</v>
      </c>
      <c r="H207" s="4" t="s">
        <v>172</v>
      </c>
      <c r="I207" s="24" t="s">
        <v>109</v>
      </c>
      <c r="J207" s="15">
        <v>2</v>
      </c>
      <c r="K207" s="15">
        <v>4</v>
      </c>
      <c r="L207" s="15">
        <v>3</v>
      </c>
      <c r="M207" s="15">
        <v>1</v>
      </c>
      <c r="N207" s="15">
        <v>3</v>
      </c>
      <c r="O207" s="15">
        <v>3</v>
      </c>
      <c r="P207" s="15" t="s">
        <v>415</v>
      </c>
      <c r="Q207" s="23" t="s">
        <v>416</v>
      </c>
      <c r="R207" s="25">
        <f>ROUND((K207*Parametros!$B$4+L207*Parametros!$B$5+M207*Parametros!$B$6+N207*Parametros!$B$7+O207*Parametros!$B$8)/SUM(Parametros!$B$4:$B$8),2)</f>
        <v>2.9</v>
      </c>
      <c r="S207" s="26">
        <f>IFERROR(INDEX(Parametros!$F$33:$F$42,MATCH(D207,Parametros!$A$33:$A$42,0)),1)</f>
        <v>1.034</v>
      </c>
      <c r="T207" s="27">
        <f>IFERROR(INDEX(Parametros!$B$21:$B$26,MATCH(I207,Parametros!$A$21:$A$26,0)),0)</f>
        <v>0.3</v>
      </c>
      <c r="U207" s="28">
        <f t="shared" si="13"/>
        <v>3.3</v>
      </c>
      <c r="V207" s="9">
        <f>IF(U207&gt;=Parametros!$B$14,4,IF(U207&gt;=Parametros!$B$13,3,IF(U207&gt;=Parametros!$B$12,2,1)))</f>
        <v>3</v>
      </c>
      <c r="W207" s="5">
        <f>MAX(V207,IF(K207=5,Parametros!$B$17,0),IF(P207="Sim",Parametros!$B$18,0))</f>
        <v>3</v>
      </c>
      <c r="X207" s="5" t="str">
        <f t="shared" si="14"/>
        <v>Alta</v>
      </c>
      <c r="Y207" s="29">
        <f t="shared" si="15"/>
        <v>3032.7997930000001</v>
      </c>
      <c r="Z207" s="4" t="s">
        <v>351</v>
      </c>
    </row>
    <row r="208" spans="1:26" ht="28.05" customHeight="1" x14ac:dyDescent="0.3">
      <c r="A208" s="5">
        <f t="shared" si="12"/>
        <v>204</v>
      </c>
      <c r="B208" s="23" t="s">
        <v>627</v>
      </c>
      <c r="C208" s="17" t="s">
        <v>302</v>
      </c>
      <c r="D208" s="4" t="s">
        <v>56</v>
      </c>
      <c r="E208" s="4" t="s">
        <v>77</v>
      </c>
      <c r="F208" s="4" t="s">
        <v>77</v>
      </c>
      <c r="G208" s="4" t="s">
        <v>134</v>
      </c>
      <c r="H208" s="4" t="s">
        <v>108</v>
      </c>
      <c r="I208" s="24" t="s">
        <v>152</v>
      </c>
      <c r="J208" s="15">
        <v>3</v>
      </c>
      <c r="K208" s="15">
        <v>4</v>
      </c>
      <c r="L208" s="15">
        <v>4</v>
      </c>
      <c r="M208" s="15">
        <v>1</v>
      </c>
      <c r="N208" s="15">
        <v>3</v>
      </c>
      <c r="O208" s="15">
        <v>4</v>
      </c>
      <c r="P208" s="15" t="s">
        <v>415</v>
      </c>
      <c r="Q208" s="23" t="s">
        <v>416</v>
      </c>
      <c r="R208" s="25">
        <f>ROUND((K208*Parametros!$B$4+L208*Parametros!$B$5+M208*Parametros!$B$6+N208*Parametros!$B$7+O208*Parametros!$B$8)/SUM(Parametros!$B$4:$B$8),2)</f>
        <v>3.25</v>
      </c>
      <c r="S208" s="26">
        <f>IFERROR(INDEX(Parametros!$F$33:$F$42,MATCH(D208,Parametros!$A$33:$A$42,0)),1)</f>
        <v>1.0169999999999999</v>
      </c>
      <c r="T208" s="27">
        <f>IFERROR(INDEX(Parametros!$B$21:$B$26,MATCH(I208,Parametros!$A$21:$A$26,0)),0)</f>
        <v>0</v>
      </c>
      <c r="U208" s="28">
        <f t="shared" si="13"/>
        <v>3.31</v>
      </c>
      <c r="V208" s="9">
        <f>IF(U208&gt;=Parametros!$B$14,4,IF(U208&gt;=Parametros!$B$13,3,IF(U208&gt;=Parametros!$B$12,2,1)))</f>
        <v>3</v>
      </c>
      <c r="W208" s="5">
        <f>MAX(V208,IF(K208=5,Parametros!$B$17,0),IF(P208="Sim",Parametros!$B$18,0))</f>
        <v>3</v>
      </c>
      <c r="X208" s="5" t="str">
        <f t="shared" si="14"/>
        <v>Alta</v>
      </c>
      <c r="Y208" s="29">
        <f t="shared" si="15"/>
        <v>3032.7997919999998</v>
      </c>
      <c r="Z208" s="4" t="s">
        <v>224</v>
      </c>
    </row>
    <row r="209" spans="1:26" ht="28.05" customHeight="1" x14ac:dyDescent="0.3">
      <c r="A209" s="5">
        <f t="shared" si="12"/>
        <v>205</v>
      </c>
      <c r="B209" s="23" t="s">
        <v>628</v>
      </c>
      <c r="C209" s="17" t="s">
        <v>303</v>
      </c>
      <c r="D209" s="4" t="s">
        <v>56</v>
      </c>
      <c r="E209" s="4" t="s">
        <v>84</v>
      </c>
      <c r="F209" s="4" t="s">
        <v>84</v>
      </c>
      <c r="G209" s="4" t="s">
        <v>134</v>
      </c>
      <c r="H209" s="4" t="s">
        <v>108</v>
      </c>
      <c r="I209" s="24" t="s">
        <v>152</v>
      </c>
      <c r="J209" s="15">
        <v>3</v>
      </c>
      <c r="K209" s="15">
        <v>4</v>
      </c>
      <c r="L209" s="15">
        <v>4</v>
      </c>
      <c r="M209" s="15">
        <v>1</v>
      </c>
      <c r="N209" s="15">
        <v>3</v>
      </c>
      <c r="O209" s="15">
        <v>4</v>
      </c>
      <c r="P209" s="15" t="s">
        <v>415</v>
      </c>
      <c r="Q209" s="23" t="s">
        <v>416</v>
      </c>
      <c r="R209" s="25">
        <f>ROUND((K209*Parametros!$B$4+L209*Parametros!$B$5+M209*Parametros!$B$6+N209*Parametros!$B$7+O209*Parametros!$B$8)/SUM(Parametros!$B$4:$B$8),2)</f>
        <v>3.25</v>
      </c>
      <c r="S209" s="26">
        <f>IFERROR(INDEX(Parametros!$F$33:$F$42,MATCH(D209,Parametros!$A$33:$A$42,0)),1)</f>
        <v>1.0169999999999999</v>
      </c>
      <c r="T209" s="27">
        <f>IFERROR(INDEX(Parametros!$B$21:$B$26,MATCH(I209,Parametros!$A$21:$A$26,0)),0)</f>
        <v>0</v>
      </c>
      <c r="U209" s="28">
        <f t="shared" si="13"/>
        <v>3.31</v>
      </c>
      <c r="V209" s="9">
        <f>IF(U209&gt;=Parametros!$B$14,4,IF(U209&gt;=Parametros!$B$13,3,IF(U209&gt;=Parametros!$B$12,2,1)))</f>
        <v>3</v>
      </c>
      <c r="W209" s="5">
        <f>MAX(V209,IF(K209=5,Parametros!$B$17,0),IF(P209="Sim",Parametros!$B$18,0))</f>
        <v>3</v>
      </c>
      <c r="X209" s="5" t="str">
        <f t="shared" si="14"/>
        <v>Alta</v>
      </c>
      <c r="Y209" s="29">
        <f t="shared" si="15"/>
        <v>3032.7997909999999</v>
      </c>
      <c r="Z209" s="4" t="s">
        <v>224</v>
      </c>
    </row>
    <row r="210" spans="1:26" ht="28.05" customHeight="1" x14ac:dyDescent="0.3">
      <c r="A210" s="5">
        <f t="shared" si="12"/>
        <v>206</v>
      </c>
      <c r="B210" s="23" t="s">
        <v>629</v>
      </c>
      <c r="C210" s="17" t="s">
        <v>388</v>
      </c>
      <c r="D210" s="4" t="s">
        <v>50</v>
      </c>
      <c r="E210" s="4" t="s">
        <v>389</v>
      </c>
      <c r="F210" s="4" t="s">
        <v>389</v>
      </c>
      <c r="G210" s="4" t="s">
        <v>171</v>
      </c>
      <c r="H210" s="4" t="s">
        <v>172</v>
      </c>
      <c r="I210" s="24" t="s">
        <v>122</v>
      </c>
      <c r="J210" s="15">
        <v>3</v>
      </c>
      <c r="K210" s="15">
        <v>3</v>
      </c>
      <c r="L210" s="15">
        <v>4</v>
      </c>
      <c r="M210" s="15">
        <v>3</v>
      </c>
      <c r="N210" s="15">
        <v>2</v>
      </c>
      <c r="O210" s="15">
        <v>3</v>
      </c>
      <c r="P210" s="15" t="s">
        <v>415</v>
      </c>
      <c r="Q210" s="23" t="s">
        <v>416</v>
      </c>
      <c r="R210" s="25">
        <f>ROUND((K210*Parametros!$B$4+L210*Parametros!$B$5+M210*Parametros!$B$6+N210*Parametros!$B$7+O210*Parametros!$B$8)/SUM(Parametros!$B$4:$B$8),2)</f>
        <v>3.05</v>
      </c>
      <c r="S210" s="26">
        <f>IFERROR(INDEX(Parametros!$F$33:$F$42,MATCH(D210,Parametros!$A$33:$A$42,0)),1)</f>
        <v>1.0840000000000001</v>
      </c>
      <c r="T210" s="27">
        <f>IFERROR(INDEX(Parametros!$B$21:$B$26,MATCH(I210,Parametros!$A$21:$A$26,0)),0)</f>
        <v>0</v>
      </c>
      <c r="U210" s="28">
        <f t="shared" si="13"/>
        <v>3.31</v>
      </c>
      <c r="V210" s="9">
        <f>IF(U210&gt;=Parametros!$B$14,4,IF(U210&gt;=Parametros!$B$13,3,IF(U210&gt;=Parametros!$B$12,2,1)))</f>
        <v>3</v>
      </c>
      <c r="W210" s="5">
        <f>MAX(V210,IF(K210=5,Parametros!$B$17,0),IF(P210="Sim",Parametros!$B$18,0))</f>
        <v>3</v>
      </c>
      <c r="X210" s="5" t="str">
        <f t="shared" si="14"/>
        <v>Alta</v>
      </c>
      <c r="Y210" s="29">
        <f t="shared" si="15"/>
        <v>3032.7997899999996</v>
      </c>
      <c r="Z210" s="4" t="s">
        <v>309</v>
      </c>
    </row>
    <row r="211" spans="1:26" ht="28.05" customHeight="1" x14ac:dyDescent="0.3">
      <c r="A211" s="5">
        <f t="shared" si="12"/>
        <v>207</v>
      </c>
      <c r="B211" s="23" t="s">
        <v>630</v>
      </c>
      <c r="C211" s="17" t="s">
        <v>390</v>
      </c>
      <c r="D211" s="4" t="s">
        <v>50</v>
      </c>
      <c r="E211" s="4" t="s">
        <v>389</v>
      </c>
      <c r="F211" s="4" t="s">
        <v>389</v>
      </c>
      <c r="G211" s="4" t="s">
        <v>171</v>
      </c>
      <c r="H211" s="4" t="s">
        <v>172</v>
      </c>
      <c r="I211" s="24" t="s">
        <v>122</v>
      </c>
      <c r="J211" s="15">
        <v>3</v>
      </c>
      <c r="K211" s="15">
        <v>3</v>
      </c>
      <c r="L211" s="15">
        <v>4</v>
      </c>
      <c r="M211" s="15">
        <v>3</v>
      </c>
      <c r="N211" s="15">
        <v>2</v>
      </c>
      <c r="O211" s="15">
        <v>3</v>
      </c>
      <c r="P211" s="15" t="s">
        <v>415</v>
      </c>
      <c r="Q211" s="23" t="s">
        <v>416</v>
      </c>
      <c r="R211" s="25">
        <f>ROUND((K211*Parametros!$B$4+L211*Parametros!$B$5+M211*Parametros!$B$6+N211*Parametros!$B$7+O211*Parametros!$B$8)/SUM(Parametros!$B$4:$B$8),2)</f>
        <v>3.05</v>
      </c>
      <c r="S211" s="26">
        <f>IFERROR(INDEX(Parametros!$F$33:$F$42,MATCH(D211,Parametros!$A$33:$A$42,0)),1)</f>
        <v>1.0840000000000001</v>
      </c>
      <c r="T211" s="27">
        <f>IFERROR(INDEX(Parametros!$B$21:$B$26,MATCH(I211,Parametros!$A$21:$A$26,0)),0)</f>
        <v>0</v>
      </c>
      <c r="U211" s="28">
        <f t="shared" si="13"/>
        <v>3.31</v>
      </c>
      <c r="V211" s="9">
        <f>IF(U211&gt;=Parametros!$B$14,4,IF(U211&gt;=Parametros!$B$13,3,IF(U211&gt;=Parametros!$B$12,2,1)))</f>
        <v>3</v>
      </c>
      <c r="W211" s="5">
        <f>MAX(V211,IF(K211=5,Parametros!$B$17,0),IF(P211="Sim",Parametros!$B$18,0))</f>
        <v>3</v>
      </c>
      <c r="X211" s="5" t="str">
        <f t="shared" si="14"/>
        <v>Alta</v>
      </c>
      <c r="Y211" s="29">
        <f t="shared" si="15"/>
        <v>3032.7997889999997</v>
      </c>
      <c r="Z211" s="4" t="s">
        <v>309</v>
      </c>
    </row>
    <row r="212" spans="1:26" ht="28.05" customHeight="1" x14ac:dyDescent="0.3">
      <c r="A212" s="5">
        <f t="shared" si="12"/>
        <v>208</v>
      </c>
      <c r="B212" s="23" t="s">
        <v>631</v>
      </c>
      <c r="C212" s="17" t="s">
        <v>312</v>
      </c>
      <c r="D212" s="4" t="s">
        <v>50</v>
      </c>
      <c r="E212" s="4" t="s">
        <v>75</v>
      </c>
      <c r="F212" s="4" t="s">
        <v>75</v>
      </c>
      <c r="G212" s="4" t="s">
        <v>112</v>
      </c>
      <c r="H212" s="4" t="s">
        <v>108</v>
      </c>
      <c r="I212" s="24" t="s">
        <v>122</v>
      </c>
      <c r="J212" s="15">
        <v>3</v>
      </c>
      <c r="K212" s="15">
        <v>3</v>
      </c>
      <c r="L212" s="15">
        <v>3</v>
      </c>
      <c r="M212" s="15">
        <v>4</v>
      </c>
      <c r="N212" s="15">
        <v>2</v>
      </c>
      <c r="O212" s="15">
        <v>3</v>
      </c>
      <c r="P212" s="15" t="s">
        <v>415</v>
      </c>
      <c r="Q212" s="23" t="s">
        <v>416</v>
      </c>
      <c r="R212" s="25">
        <f>ROUND((K212*Parametros!$B$4+L212*Parametros!$B$5+M212*Parametros!$B$6+N212*Parametros!$B$7+O212*Parametros!$B$8)/SUM(Parametros!$B$4:$B$8),2)</f>
        <v>3.05</v>
      </c>
      <c r="S212" s="26">
        <f>IFERROR(INDEX(Parametros!$F$33:$F$42,MATCH(D212,Parametros!$A$33:$A$42,0)),1)</f>
        <v>1.0840000000000001</v>
      </c>
      <c r="T212" s="27">
        <f>IFERROR(INDEX(Parametros!$B$21:$B$26,MATCH(I212,Parametros!$A$21:$A$26,0)),0)</f>
        <v>0</v>
      </c>
      <c r="U212" s="28">
        <f t="shared" si="13"/>
        <v>3.31</v>
      </c>
      <c r="V212" s="9">
        <f>IF(U212&gt;=Parametros!$B$14,4,IF(U212&gt;=Parametros!$B$13,3,IF(U212&gt;=Parametros!$B$12,2,1)))</f>
        <v>3</v>
      </c>
      <c r="W212" s="5">
        <f>MAX(V212,IF(K212=5,Parametros!$B$17,0),IF(P212="Sim",Parametros!$B$18,0))</f>
        <v>3</v>
      </c>
      <c r="X212" s="5" t="str">
        <f t="shared" si="14"/>
        <v>Alta</v>
      </c>
      <c r="Y212" s="29">
        <f t="shared" si="15"/>
        <v>3032.7997879999998</v>
      </c>
      <c r="Z212" s="4" t="s">
        <v>289</v>
      </c>
    </row>
    <row r="213" spans="1:26" ht="28.05" customHeight="1" x14ac:dyDescent="0.3">
      <c r="A213" s="5">
        <f t="shared" si="12"/>
        <v>209</v>
      </c>
      <c r="B213" s="23" t="s">
        <v>632</v>
      </c>
      <c r="C213" s="17" t="s">
        <v>313</v>
      </c>
      <c r="D213" s="4" t="s">
        <v>50</v>
      </c>
      <c r="E213" s="4" t="s">
        <v>75</v>
      </c>
      <c r="F213" s="4" t="s">
        <v>75</v>
      </c>
      <c r="G213" s="4" t="s">
        <v>107</v>
      </c>
      <c r="H213" s="4" t="s">
        <v>108</v>
      </c>
      <c r="I213" s="24" t="s">
        <v>122</v>
      </c>
      <c r="J213" s="15">
        <v>3</v>
      </c>
      <c r="K213" s="15">
        <v>3</v>
      </c>
      <c r="L213" s="15">
        <v>3</v>
      </c>
      <c r="M213" s="15">
        <v>4</v>
      </c>
      <c r="N213" s="15">
        <v>2</v>
      </c>
      <c r="O213" s="15">
        <v>3</v>
      </c>
      <c r="P213" s="15" t="s">
        <v>415</v>
      </c>
      <c r="Q213" s="23" t="s">
        <v>416</v>
      </c>
      <c r="R213" s="25">
        <f>ROUND((K213*Parametros!$B$4+L213*Parametros!$B$5+M213*Parametros!$B$6+N213*Parametros!$B$7+O213*Parametros!$B$8)/SUM(Parametros!$B$4:$B$8),2)</f>
        <v>3.05</v>
      </c>
      <c r="S213" s="26">
        <f>IFERROR(INDEX(Parametros!$F$33:$F$42,MATCH(D213,Parametros!$A$33:$A$42,0)),1)</f>
        <v>1.0840000000000001</v>
      </c>
      <c r="T213" s="27">
        <f>IFERROR(INDEX(Parametros!$B$21:$B$26,MATCH(I213,Parametros!$A$21:$A$26,0)),0)</f>
        <v>0</v>
      </c>
      <c r="U213" s="28">
        <f t="shared" si="13"/>
        <v>3.31</v>
      </c>
      <c r="V213" s="9">
        <f>IF(U213&gt;=Parametros!$B$14,4,IF(U213&gt;=Parametros!$B$13,3,IF(U213&gt;=Parametros!$B$12,2,1)))</f>
        <v>3</v>
      </c>
      <c r="W213" s="5">
        <f>MAX(V213,IF(K213=5,Parametros!$B$17,0),IF(P213="Sim",Parametros!$B$18,0))</f>
        <v>3</v>
      </c>
      <c r="X213" s="5" t="str">
        <f t="shared" si="14"/>
        <v>Alta</v>
      </c>
      <c r="Y213" s="29">
        <f t="shared" si="15"/>
        <v>3032.7997869999999</v>
      </c>
      <c r="Z213" s="4" t="s">
        <v>289</v>
      </c>
    </row>
    <row r="214" spans="1:26" ht="28.05" customHeight="1" x14ac:dyDescent="0.3">
      <c r="A214" s="5">
        <f t="shared" si="12"/>
        <v>210</v>
      </c>
      <c r="B214" s="23" t="s">
        <v>633</v>
      </c>
      <c r="C214" s="17" t="s">
        <v>314</v>
      </c>
      <c r="D214" s="4" t="s">
        <v>50</v>
      </c>
      <c r="E214" s="4" t="s">
        <v>75</v>
      </c>
      <c r="F214" s="4" t="s">
        <v>75</v>
      </c>
      <c r="G214" s="4" t="s">
        <v>112</v>
      </c>
      <c r="H214" s="4" t="s">
        <v>108</v>
      </c>
      <c r="I214" s="24" t="s">
        <v>122</v>
      </c>
      <c r="J214" s="15">
        <v>3</v>
      </c>
      <c r="K214" s="15">
        <v>3</v>
      </c>
      <c r="L214" s="15">
        <v>3</v>
      </c>
      <c r="M214" s="15">
        <v>4</v>
      </c>
      <c r="N214" s="15">
        <v>2</v>
      </c>
      <c r="O214" s="15">
        <v>3</v>
      </c>
      <c r="P214" s="15" t="s">
        <v>415</v>
      </c>
      <c r="Q214" s="23" t="s">
        <v>416</v>
      </c>
      <c r="R214" s="25">
        <f>ROUND((K214*Parametros!$B$4+L214*Parametros!$B$5+M214*Parametros!$B$6+N214*Parametros!$B$7+O214*Parametros!$B$8)/SUM(Parametros!$B$4:$B$8),2)</f>
        <v>3.05</v>
      </c>
      <c r="S214" s="26">
        <f>IFERROR(INDEX(Parametros!$F$33:$F$42,MATCH(D214,Parametros!$A$33:$A$42,0)),1)</f>
        <v>1.0840000000000001</v>
      </c>
      <c r="T214" s="27">
        <f>IFERROR(INDEX(Parametros!$B$21:$B$26,MATCH(I214,Parametros!$A$21:$A$26,0)),0)</f>
        <v>0</v>
      </c>
      <c r="U214" s="28">
        <f t="shared" si="13"/>
        <v>3.31</v>
      </c>
      <c r="V214" s="9">
        <f>IF(U214&gt;=Parametros!$B$14,4,IF(U214&gt;=Parametros!$B$13,3,IF(U214&gt;=Parametros!$B$12,2,1)))</f>
        <v>3</v>
      </c>
      <c r="W214" s="5">
        <f>MAX(V214,IF(K214=5,Parametros!$B$17,0),IF(P214="Sim",Parametros!$B$18,0))</f>
        <v>3</v>
      </c>
      <c r="X214" s="5" t="str">
        <f t="shared" si="14"/>
        <v>Alta</v>
      </c>
      <c r="Y214" s="29">
        <f t="shared" si="15"/>
        <v>3032.7997859999996</v>
      </c>
      <c r="Z214" s="4" t="s">
        <v>289</v>
      </c>
    </row>
    <row r="215" spans="1:26" ht="28.05" customHeight="1" x14ac:dyDescent="0.3">
      <c r="A215" s="5">
        <f t="shared" si="12"/>
        <v>211</v>
      </c>
      <c r="B215" s="23" t="s">
        <v>634</v>
      </c>
      <c r="C215" s="17" t="s">
        <v>391</v>
      </c>
      <c r="D215" s="4" t="s">
        <v>50</v>
      </c>
      <c r="E215" s="4" t="s">
        <v>65</v>
      </c>
      <c r="F215" s="4" t="s">
        <v>65</v>
      </c>
      <c r="G215" s="4" t="s">
        <v>171</v>
      </c>
      <c r="H215" s="4" t="s">
        <v>172</v>
      </c>
      <c r="I215" s="24" t="s">
        <v>152</v>
      </c>
      <c r="J215" s="15">
        <v>3</v>
      </c>
      <c r="K215" s="15">
        <v>3</v>
      </c>
      <c r="L215" s="15">
        <v>3</v>
      </c>
      <c r="M215" s="15">
        <v>4</v>
      </c>
      <c r="N215" s="15">
        <v>2</v>
      </c>
      <c r="O215" s="15">
        <v>3</v>
      </c>
      <c r="P215" s="15" t="s">
        <v>415</v>
      </c>
      <c r="Q215" s="23" t="s">
        <v>416</v>
      </c>
      <c r="R215" s="25">
        <f>ROUND((K215*Parametros!$B$4+L215*Parametros!$B$5+M215*Parametros!$B$6+N215*Parametros!$B$7+O215*Parametros!$B$8)/SUM(Parametros!$B$4:$B$8),2)</f>
        <v>3.05</v>
      </c>
      <c r="S215" s="26">
        <f>IFERROR(INDEX(Parametros!$F$33:$F$42,MATCH(D215,Parametros!$A$33:$A$42,0)),1)</f>
        <v>1.0840000000000001</v>
      </c>
      <c r="T215" s="27">
        <f>IFERROR(INDEX(Parametros!$B$21:$B$26,MATCH(I215,Parametros!$A$21:$A$26,0)),0)</f>
        <v>0</v>
      </c>
      <c r="U215" s="28">
        <f t="shared" si="13"/>
        <v>3.31</v>
      </c>
      <c r="V215" s="9">
        <f>IF(U215&gt;=Parametros!$B$14,4,IF(U215&gt;=Parametros!$B$13,3,IF(U215&gt;=Parametros!$B$12,2,1)))</f>
        <v>3</v>
      </c>
      <c r="W215" s="5">
        <f>MAX(V215,IF(K215=5,Parametros!$B$17,0),IF(P215="Sim",Parametros!$B$18,0))</f>
        <v>3</v>
      </c>
      <c r="X215" s="5" t="str">
        <f t="shared" si="14"/>
        <v>Alta</v>
      </c>
      <c r="Y215" s="29">
        <f t="shared" si="15"/>
        <v>3032.7997849999997</v>
      </c>
      <c r="Z215" s="4" t="s">
        <v>289</v>
      </c>
    </row>
    <row r="216" spans="1:26" ht="28.05" customHeight="1" x14ac:dyDescent="0.3">
      <c r="A216" s="5">
        <f t="shared" si="12"/>
        <v>212</v>
      </c>
      <c r="B216" s="23" t="s">
        <v>635</v>
      </c>
      <c r="C216" s="17" t="s">
        <v>315</v>
      </c>
      <c r="D216" s="4" t="s">
        <v>50</v>
      </c>
      <c r="E216" s="4" t="s">
        <v>64</v>
      </c>
      <c r="F216" s="4" t="s">
        <v>64</v>
      </c>
      <c r="G216" s="4" t="s">
        <v>112</v>
      </c>
      <c r="H216" s="4" t="s">
        <v>108</v>
      </c>
      <c r="I216" s="24" t="s">
        <v>131</v>
      </c>
      <c r="J216" s="15">
        <v>3</v>
      </c>
      <c r="K216" s="15">
        <v>3</v>
      </c>
      <c r="L216" s="15">
        <v>3</v>
      </c>
      <c r="M216" s="15">
        <v>4</v>
      </c>
      <c r="N216" s="15">
        <v>3</v>
      </c>
      <c r="O216" s="15">
        <v>2</v>
      </c>
      <c r="P216" s="15" t="s">
        <v>415</v>
      </c>
      <c r="Q216" s="23" t="s">
        <v>416</v>
      </c>
      <c r="R216" s="25">
        <f>ROUND((K216*Parametros!$B$4+L216*Parametros!$B$5+M216*Parametros!$B$6+N216*Parametros!$B$7+O216*Parametros!$B$8)/SUM(Parametros!$B$4:$B$8),2)</f>
        <v>3.05</v>
      </c>
      <c r="S216" s="26">
        <f>IFERROR(INDEX(Parametros!$F$33:$F$42,MATCH(D216,Parametros!$A$33:$A$42,0)),1)</f>
        <v>1.0840000000000001</v>
      </c>
      <c r="T216" s="27">
        <f>IFERROR(INDEX(Parametros!$B$21:$B$26,MATCH(I216,Parametros!$A$21:$A$26,0)),0)</f>
        <v>0</v>
      </c>
      <c r="U216" s="28">
        <f t="shared" si="13"/>
        <v>3.31</v>
      </c>
      <c r="V216" s="9">
        <f>IF(U216&gt;=Parametros!$B$14,4,IF(U216&gt;=Parametros!$B$13,3,IF(U216&gt;=Parametros!$B$12,2,1)))</f>
        <v>3</v>
      </c>
      <c r="W216" s="5">
        <f>MAX(V216,IF(K216=5,Parametros!$B$17,0),IF(P216="Sim",Parametros!$B$18,0))</f>
        <v>3</v>
      </c>
      <c r="X216" s="5" t="str">
        <f t="shared" si="14"/>
        <v>Alta</v>
      </c>
      <c r="Y216" s="29">
        <f t="shared" si="15"/>
        <v>3032.7997839999998</v>
      </c>
      <c r="Z216" s="4" t="s">
        <v>289</v>
      </c>
    </row>
    <row r="217" spans="1:26" ht="28.05" customHeight="1" x14ac:dyDescent="0.3">
      <c r="A217" s="5">
        <f t="shared" si="12"/>
        <v>213</v>
      </c>
      <c r="B217" s="23" t="s">
        <v>636</v>
      </c>
      <c r="C217" s="17" t="s">
        <v>316</v>
      </c>
      <c r="D217" s="4" t="s">
        <v>50</v>
      </c>
      <c r="E217" s="4" t="s">
        <v>75</v>
      </c>
      <c r="F217" s="4" t="s">
        <v>637</v>
      </c>
      <c r="G217" s="4" t="s">
        <v>107</v>
      </c>
      <c r="H217" s="4" t="s">
        <v>108</v>
      </c>
      <c r="I217" s="24" t="s">
        <v>122</v>
      </c>
      <c r="J217" s="15">
        <v>3</v>
      </c>
      <c r="K217" s="15">
        <v>3</v>
      </c>
      <c r="L217" s="15">
        <v>3</v>
      </c>
      <c r="M217" s="15">
        <v>4</v>
      </c>
      <c r="N217" s="15">
        <v>2</v>
      </c>
      <c r="O217" s="15">
        <v>3</v>
      </c>
      <c r="P217" s="15" t="s">
        <v>415</v>
      </c>
      <c r="Q217" s="23" t="s">
        <v>416</v>
      </c>
      <c r="R217" s="25">
        <f>ROUND((K217*Parametros!$B$4+L217*Parametros!$B$5+M217*Parametros!$B$6+N217*Parametros!$B$7+O217*Parametros!$B$8)/SUM(Parametros!$B$4:$B$8),2)</f>
        <v>3.05</v>
      </c>
      <c r="S217" s="26">
        <f>IFERROR(INDEX(Parametros!$F$33:$F$42,MATCH(D217,Parametros!$A$33:$A$42,0)),1)</f>
        <v>1.0840000000000001</v>
      </c>
      <c r="T217" s="27">
        <f>IFERROR(INDEX(Parametros!$B$21:$B$26,MATCH(I217,Parametros!$A$21:$A$26,0)),0)</f>
        <v>0</v>
      </c>
      <c r="U217" s="28">
        <f t="shared" si="13"/>
        <v>3.31</v>
      </c>
      <c r="V217" s="9">
        <f>IF(U217&gt;=Parametros!$B$14,4,IF(U217&gt;=Parametros!$B$13,3,IF(U217&gt;=Parametros!$B$12,2,1)))</f>
        <v>3</v>
      </c>
      <c r="W217" s="5">
        <f>MAX(V217,IF(K217=5,Parametros!$B$17,0),IF(P217="Sim",Parametros!$B$18,0))</f>
        <v>3</v>
      </c>
      <c r="X217" s="5" t="str">
        <f t="shared" si="14"/>
        <v>Alta</v>
      </c>
      <c r="Y217" s="29">
        <f t="shared" si="15"/>
        <v>3032.7997829999999</v>
      </c>
      <c r="Z217" s="4" t="s">
        <v>289</v>
      </c>
    </row>
    <row r="218" spans="1:26" ht="28.05" customHeight="1" x14ac:dyDescent="0.3">
      <c r="A218" s="5">
        <f t="shared" si="12"/>
        <v>214</v>
      </c>
      <c r="B218" s="23" t="s">
        <v>638</v>
      </c>
      <c r="C218" s="17" t="s">
        <v>392</v>
      </c>
      <c r="D218" s="4" t="s">
        <v>50</v>
      </c>
      <c r="E218" s="4" t="s">
        <v>65</v>
      </c>
      <c r="F218" s="4" t="s">
        <v>65</v>
      </c>
      <c r="G218" s="4" t="s">
        <v>171</v>
      </c>
      <c r="H218" s="4" t="s">
        <v>172</v>
      </c>
      <c r="I218" s="24" t="s">
        <v>152</v>
      </c>
      <c r="J218" s="15">
        <v>3</v>
      </c>
      <c r="K218" s="15">
        <v>3</v>
      </c>
      <c r="L218" s="15">
        <v>3</v>
      </c>
      <c r="M218" s="15">
        <v>4</v>
      </c>
      <c r="N218" s="15">
        <v>2</v>
      </c>
      <c r="O218" s="15">
        <v>3</v>
      </c>
      <c r="P218" s="15" t="s">
        <v>415</v>
      </c>
      <c r="Q218" s="23" t="s">
        <v>416</v>
      </c>
      <c r="R218" s="25">
        <f>ROUND((K218*Parametros!$B$4+L218*Parametros!$B$5+M218*Parametros!$B$6+N218*Parametros!$B$7+O218*Parametros!$B$8)/SUM(Parametros!$B$4:$B$8),2)</f>
        <v>3.05</v>
      </c>
      <c r="S218" s="26">
        <f>IFERROR(INDEX(Parametros!$F$33:$F$42,MATCH(D218,Parametros!$A$33:$A$42,0)),1)</f>
        <v>1.0840000000000001</v>
      </c>
      <c r="T218" s="27">
        <f>IFERROR(INDEX(Parametros!$B$21:$B$26,MATCH(I218,Parametros!$A$21:$A$26,0)),0)</f>
        <v>0</v>
      </c>
      <c r="U218" s="28">
        <f t="shared" si="13"/>
        <v>3.31</v>
      </c>
      <c r="V218" s="9">
        <f>IF(U218&gt;=Parametros!$B$14,4,IF(U218&gt;=Parametros!$B$13,3,IF(U218&gt;=Parametros!$B$12,2,1)))</f>
        <v>3</v>
      </c>
      <c r="W218" s="5">
        <f>MAX(V218,IF(K218=5,Parametros!$B$17,0),IF(P218="Sim",Parametros!$B$18,0))</f>
        <v>3</v>
      </c>
      <c r="X218" s="5" t="str">
        <f t="shared" si="14"/>
        <v>Alta</v>
      </c>
      <c r="Y218" s="29">
        <f t="shared" si="15"/>
        <v>3032.7997819999996</v>
      </c>
      <c r="Z218" s="4" t="s">
        <v>289</v>
      </c>
    </row>
    <row r="219" spans="1:26" ht="28.05" customHeight="1" x14ac:dyDescent="0.3">
      <c r="A219" s="5">
        <f t="shared" si="12"/>
        <v>215</v>
      </c>
      <c r="B219" s="23" t="s">
        <v>639</v>
      </c>
      <c r="C219" s="17" t="s">
        <v>393</v>
      </c>
      <c r="D219" s="4" t="s">
        <v>52</v>
      </c>
      <c r="E219" s="4" t="s">
        <v>66</v>
      </c>
      <c r="F219" s="4" t="s">
        <v>66</v>
      </c>
      <c r="G219" s="4" t="s">
        <v>171</v>
      </c>
      <c r="H219" s="4" t="s">
        <v>172</v>
      </c>
      <c r="I219" s="24" t="s">
        <v>122</v>
      </c>
      <c r="J219" s="15">
        <v>3</v>
      </c>
      <c r="K219" s="15">
        <v>4</v>
      </c>
      <c r="L219" s="15">
        <v>3</v>
      </c>
      <c r="M219" s="15">
        <v>3</v>
      </c>
      <c r="N219" s="15">
        <v>2</v>
      </c>
      <c r="O219" s="15">
        <v>3</v>
      </c>
      <c r="P219" s="15" t="s">
        <v>415</v>
      </c>
      <c r="Q219" s="23" t="s">
        <v>416</v>
      </c>
      <c r="R219" s="25">
        <f>ROUND((K219*Parametros!$B$4+L219*Parametros!$B$5+M219*Parametros!$B$6+N219*Parametros!$B$7+O219*Parametros!$B$8)/SUM(Parametros!$B$4:$B$8),2)</f>
        <v>3.15</v>
      </c>
      <c r="S219" s="26">
        <f>IFERROR(INDEX(Parametros!$F$33:$F$42,MATCH(D219,Parametros!$A$33:$A$42,0)),1)</f>
        <v>1.05</v>
      </c>
      <c r="T219" s="27">
        <f>IFERROR(INDEX(Parametros!$B$21:$B$26,MATCH(I219,Parametros!$A$21:$A$26,0)),0)</f>
        <v>0</v>
      </c>
      <c r="U219" s="28">
        <f t="shared" si="13"/>
        <v>3.31</v>
      </c>
      <c r="V219" s="9">
        <f>IF(U219&gt;=Parametros!$B$14,4,IF(U219&gt;=Parametros!$B$13,3,IF(U219&gt;=Parametros!$B$12,2,1)))</f>
        <v>3</v>
      </c>
      <c r="W219" s="5">
        <f>MAX(V219,IF(K219=5,Parametros!$B$17,0),IF(P219="Sim",Parametros!$B$18,0))</f>
        <v>3</v>
      </c>
      <c r="X219" s="5" t="str">
        <f t="shared" si="14"/>
        <v>Alta</v>
      </c>
      <c r="Y219" s="29">
        <f t="shared" si="15"/>
        <v>3032.7997809999997</v>
      </c>
      <c r="Z219" s="4" t="s">
        <v>385</v>
      </c>
    </row>
    <row r="220" spans="1:26" ht="28.05" customHeight="1" x14ac:dyDescent="0.3">
      <c r="A220" s="5">
        <f t="shared" si="12"/>
        <v>216</v>
      </c>
      <c r="B220" s="23" t="s">
        <v>640</v>
      </c>
      <c r="C220" s="17" t="s">
        <v>317</v>
      </c>
      <c r="D220" s="4" t="s">
        <v>50</v>
      </c>
      <c r="E220" s="4" t="s">
        <v>75</v>
      </c>
      <c r="F220" s="4" t="s">
        <v>75</v>
      </c>
      <c r="G220" s="4" t="s">
        <v>107</v>
      </c>
      <c r="H220" s="4" t="s">
        <v>108</v>
      </c>
      <c r="I220" s="24" t="s">
        <v>152</v>
      </c>
      <c r="J220" s="15">
        <v>3</v>
      </c>
      <c r="K220" s="15">
        <v>3</v>
      </c>
      <c r="L220" s="15">
        <v>3</v>
      </c>
      <c r="M220" s="15">
        <v>4</v>
      </c>
      <c r="N220" s="15">
        <v>2</v>
      </c>
      <c r="O220" s="15">
        <v>3</v>
      </c>
      <c r="P220" s="15" t="s">
        <v>415</v>
      </c>
      <c r="Q220" s="23" t="s">
        <v>416</v>
      </c>
      <c r="R220" s="25">
        <f>ROUND((K220*Parametros!$B$4+L220*Parametros!$B$5+M220*Parametros!$B$6+N220*Parametros!$B$7+O220*Parametros!$B$8)/SUM(Parametros!$B$4:$B$8),2)</f>
        <v>3.05</v>
      </c>
      <c r="S220" s="26">
        <f>IFERROR(INDEX(Parametros!$F$33:$F$42,MATCH(D220,Parametros!$A$33:$A$42,0)),1)</f>
        <v>1.0840000000000001</v>
      </c>
      <c r="T220" s="27">
        <f>IFERROR(INDEX(Parametros!$B$21:$B$26,MATCH(I220,Parametros!$A$21:$A$26,0)),0)</f>
        <v>0</v>
      </c>
      <c r="U220" s="28">
        <f t="shared" si="13"/>
        <v>3.31</v>
      </c>
      <c r="V220" s="9">
        <f>IF(U220&gt;=Parametros!$B$14,4,IF(U220&gt;=Parametros!$B$13,3,IF(U220&gt;=Parametros!$B$12,2,1)))</f>
        <v>3</v>
      </c>
      <c r="W220" s="5">
        <f>MAX(V220,IF(K220=5,Parametros!$B$17,0),IF(P220="Sim",Parametros!$B$18,0))</f>
        <v>3</v>
      </c>
      <c r="X220" s="5" t="str">
        <f t="shared" si="14"/>
        <v>Alta</v>
      </c>
      <c r="Y220" s="29">
        <f t="shared" si="15"/>
        <v>3032.7997799999998</v>
      </c>
      <c r="Z220" s="4" t="s">
        <v>289</v>
      </c>
    </row>
    <row r="221" spans="1:26" ht="28.05" customHeight="1" x14ac:dyDescent="0.3">
      <c r="A221" s="5">
        <f t="shared" si="12"/>
        <v>217</v>
      </c>
      <c r="B221" s="23" t="s">
        <v>641</v>
      </c>
      <c r="C221" s="17" t="s">
        <v>318</v>
      </c>
      <c r="D221" s="4" t="s">
        <v>56</v>
      </c>
      <c r="E221" s="4" t="s">
        <v>64</v>
      </c>
      <c r="F221" s="4" t="s">
        <v>64</v>
      </c>
      <c r="G221" s="4" t="s">
        <v>134</v>
      </c>
      <c r="H221" s="4" t="s">
        <v>108</v>
      </c>
      <c r="I221" s="24" t="s">
        <v>109</v>
      </c>
      <c r="J221" s="15">
        <v>3</v>
      </c>
      <c r="K221" s="15">
        <v>4</v>
      </c>
      <c r="L221" s="15">
        <v>4</v>
      </c>
      <c r="M221" s="15">
        <v>1</v>
      </c>
      <c r="N221" s="15">
        <v>2</v>
      </c>
      <c r="O221" s="15">
        <v>3</v>
      </c>
      <c r="P221" s="15" t="s">
        <v>415</v>
      </c>
      <c r="Q221" s="23" t="s">
        <v>416</v>
      </c>
      <c r="R221" s="25">
        <f>ROUND((K221*Parametros!$B$4+L221*Parametros!$B$5+M221*Parametros!$B$6+N221*Parametros!$B$7+O221*Parametros!$B$8)/SUM(Parametros!$B$4:$B$8),2)</f>
        <v>2.95</v>
      </c>
      <c r="S221" s="26">
        <f>IFERROR(INDEX(Parametros!$F$33:$F$42,MATCH(D221,Parametros!$A$33:$A$42,0)),1)</f>
        <v>1.0169999999999999</v>
      </c>
      <c r="T221" s="27">
        <f>IFERROR(INDEX(Parametros!$B$21:$B$26,MATCH(I221,Parametros!$A$21:$A$26,0)),0)</f>
        <v>0.3</v>
      </c>
      <c r="U221" s="28">
        <f t="shared" si="13"/>
        <v>3.3</v>
      </c>
      <c r="V221" s="9">
        <f>IF(U221&gt;=Parametros!$B$14,4,IF(U221&gt;=Parametros!$B$13,3,IF(U221&gt;=Parametros!$B$12,2,1)))</f>
        <v>3</v>
      </c>
      <c r="W221" s="5">
        <f>MAX(V221,IF(K221=5,Parametros!$B$17,0),IF(P221="Sim",Parametros!$B$18,0))</f>
        <v>3</v>
      </c>
      <c r="X221" s="5" t="str">
        <f t="shared" si="14"/>
        <v>Alta</v>
      </c>
      <c r="Y221" s="29">
        <f t="shared" si="15"/>
        <v>3032.699779</v>
      </c>
      <c r="Z221" s="4" t="s">
        <v>164</v>
      </c>
    </row>
    <row r="222" spans="1:26" ht="28.05" customHeight="1" x14ac:dyDescent="0.3">
      <c r="A222" s="5">
        <f t="shared" si="12"/>
        <v>218</v>
      </c>
      <c r="B222" s="23" t="s">
        <v>642</v>
      </c>
      <c r="C222" s="17" t="s">
        <v>394</v>
      </c>
      <c r="D222" s="4" t="s">
        <v>50</v>
      </c>
      <c r="E222" s="4" t="s">
        <v>389</v>
      </c>
      <c r="F222" s="4" t="s">
        <v>389</v>
      </c>
      <c r="G222" s="4" t="s">
        <v>184</v>
      </c>
      <c r="H222" s="4" t="s">
        <v>185</v>
      </c>
      <c r="I222" s="24" t="s">
        <v>131</v>
      </c>
      <c r="J222" s="15">
        <v>4</v>
      </c>
      <c r="K222" s="15">
        <v>3</v>
      </c>
      <c r="L222" s="15">
        <v>4</v>
      </c>
      <c r="M222" s="15">
        <v>3</v>
      </c>
      <c r="N222" s="15">
        <v>1</v>
      </c>
      <c r="O222" s="15">
        <v>4</v>
      </c>
      <c r="P222" s="15" t="s">
        <v>415</v>
      </c>
      <c r="Q222" s="23" t="s">
        <v>416</v>
      </c>
      <c r="R222" s="25">
        <f>ROUND((K222*Parametros!$B$4+L222*Parametros!$B$5+M222*Parametros!$B$6+N222*Parametros!$B$7+O222*Parametros!$B$8)/SUM(Parametros!$B$4:$B$8),2)</f>
        <v>3.05</v>
      </c>
      <c r="S222" s="26">
        <f>IFERROR(INDEX(Parametros!$F$33:$F$42,MATCH(D222,Parametros!$A$33:$A$42,0)),1)</f>
        <v>1.0840000000000001</v>
      </c>
      <c r="T222" s="27">
        <f>IFERROR(INDEX(Parametros!$B$21:$B$26,MATCH(I222,Parametros!$A$21:$A$26,0)),0)</f>
        <v>0</v>
      </c>
      <c r="U222" s="28">
        <f t="shared" si="13"/>
        <v>3.31</v>
      </c>
      <c r="V222" s="9">
        <f>IF(U222&gt;=Parametros!$B$14,4,IF(U222&gt;=Parametros!$B$13,3,IF(U222&gt;=Parametros!$B$12,2,1)))</f>
        <v>3</v>
      </c>
      <c r="W222" s="5">
        <f>MAX(V222,IF(K222=5,Parametros!$B$17,0),IF(P222="Sim",Parametros!$B$18,0))</f>
        <v>3</v>
      </c>
      <c r="X222" s="5" t="str">
        <f t="shared" si="14"/>
        <v>Alta</v>
      </c>
      <c r="Y222" s="29">
        <f t="shared" si="15"/>
        <v>3032.6997779999997</v>
      </c>
      <c r="Z222" s="4" t="s">
        <v>320</v>
      </c>
    </row>
    <row r="223" spans="1:26" ht="28.05" customHeight="1" x14ac:dyDescent="0.3">
      <c r="A223" s="5">
        <f t="shared" si="12"/>
        <v>219</v>
      </c>
      <c r="B223" s="23" t="s">
        <v>643</v>
      </c>
      <c r="C223" s="17" t="s">
        <v>319</v>
      </c>
      <c r="D223" s="4" t="s">
        <v>50</v>
      </c>
      <c r="E223" s="4" t="s">
        <v>64</v>
      </c>
      <c r="F223" s="4" t="s">
        <v>64</v>
      </c>
      <c r="G223" s="4" t="s">
        <v>134</v>
      </c>
      <c r="H223" s="4" t="s">
        <v>108</v>
      </c>
      <c r="I223" s="24" t="s">
        <v>131</v>
      </c>
      <c r="J223" s="15">
        <v>5</v>
      </c>
      <c r="K223" s="15">
        <v>3</v>
      </c>
      <c r="L223" s="15">
        <v>4</v>
      </c>
      <c r="M223" s="15">
        <v>3</v>
      </c>
      <c r="N223" s="15">
        <v>1</v>
      </c>
      <c r="O223" s="15">
        <v>4</v>
      </c>
      <c r="P223" s="15" t="s">
        <v>415</v>
      </c>
      <c r="Q223" s="23" t="s">
        <v>416</v>
      </c>
      <c r="R223" s="25">
        <f>ROUND((K223*Parametros!$B$4+L223*Parametros!$B$5+M223*Parametros!$B$6+N223*Parametros!$B$7+O223*Parametros!$B$8)/SUM(Parametros!$B$4:$B$8),2)</f>
        <v>3.05</v>
      </c>
      <c r="S223" s="26">
        <f>IFERROR(INDEX(Parametros!$F$33:$F$42,MATCH(D223,Parametros!$A$33:$A$42,0)),1)</f>
        <v>1.0840000000000001</v>
      </c>
      <c r="T223" s="27">
        <f>IFERROR(INDEX(Parametros!$B$21:$B$26,MATCH(I223,Parametros!$A$21:$A$26,0)),0)</f>
        <v>0</v>
      </c>
      <c r="U223" s="28">
        <f t="shared" si="13"/>
        <v>3.31</v>
      </c>
      <c r="V223" s="9">
        <f>IF(U223&gt;=Parametros!$B$14,4,IF(U223&gt;=Parametros!$B$13,3,IF(U223&gt;=Parametros!$B$12,2,1)))</f>
        <v>3</v>
      </c>
      <c r="W223" s="5">
        <f>MAX(V223,IF(K223=5,Parametros!$B$17,0),IF(P223="Sim",Parametros!$B$18,0))</f>
        <v>3</v>
      </c>
      <c r="X223" s="5" t="str">
        <f t="shared" si="14"/>
        <v>Alta</v>
      </c>
      <c r="Y223" s="29">
        <f t="shared" si="15"/>
        <v>3032.5997769999999</v>
      </c>
      <c r="Z223" s="4" t="s">
        <v>320</v>
      </c>
    </row>
    <row r="224" spans="1:26" ht="28.05" customHeight="1" x14ac:dyDescent="0.3">
      <c r="A224" s="5">
        <f t="shared" si="12"/>
        <v>220</v>
      </c>
      <c r="B224" s="23" t="s">
        <v>644</v>
      </c>
      <c r="C224" s="17" t="s">
        <v>321</v>
      </c>
      <c r="D224" s="4" t="s">
        <v>52</v>
      </c>
      <c r="E224" s="4" t="s">
        <v>63</v>
      </c>
      <c r="F224" s="4" t="s">
        <v>63</v>
      </c>
      <c r="G224" s="4" t="s">
        <v>112</v>
      </c>
      <c r="H224" s="4" t="s">
        <v>108</v>
      </c>
      <c r="I224" s="24" t="s">
        <v>131</v>
      </c>
      <c r="J224" s="15">
        <v>5</v>
      </c>
      <c r="K224" s="15">
        <v>3</v>
      </c>
      <c r="L224" s="15">
        <v>3</v>
      </c>
      <c r="M224" s="15">
        <v>3</v>
      </c>
      <c r="N224" s="15">
        <v>3</v>
      </c>
      <c r="O224" s="15">
        <v>4</v>
      </c>
      <c r="P224" s="15" t="s">
        <v>415</v>
      </c>
      <c r="Q224" s="23" t="s">
        <v>416</v>
      </c>
      <c r="R224" s="25">
        <f>ROUND((K224*Parametros!$B$4+L224*Parametros!$B$5+M224*Parametros!$B$6+N224*Parametros!$B$7+O224*Parametros!$B$8)/SUM(Parametros!$B$4:$B$8),2)</f>
        <v>3.15</v>
      </c>
      <c r="S224" s="26">
        <f>IFERROR(INDEX(Parametros!$F$33:$F$42,MATCH(D224,Parametros!$A$33:$A$42,0)),1)</f>
        <v>1.05</v>
      </c>
      <c r="T224" s="27">
        <f>IFERROR(INDEX(Parametros!$B$21:$B$26,MATCH(I224,Parametros!$A$21:$A$26,0)),0)</f>
        <v>0</v>
      </c>
      <c r="U224" s="28">
        <f t="shared" si="13"/>
        <v>3.31</v>
      </c>
      <c r="V224" s="9">
        <f>IF(U224&gt;=Parametros!$B$14,4,IF(U224&gt;=Parametros!$B$13,3,IF(U224&gt;=Parametros!$B$12,2,1)))</f>
        <v>3</v>
      </c>
      <c r="W224" s="5">
        <f>MAX(V224,IF(K224=5,Parametros!$B$17,0),IF(P224="Sim",Parametros!$B$18,0))</f>
        <v>3</v>
      </c>
      <c r="X224" s="5" t="str">
        <f t="shared" si="14"/>
        <v>Alta</v>
      </c>
      <c r="Y224" s="29">
        <f t="shared" si="15"/>
        <v>3032.599776</v>
      </c>
      <c r="Z224" s="4" t="s">
        <v>322</v>
      </c>
    </row>
    <row r="225" spans="1:26" ht="28.05" customHeight="1" x14ac:dyDescent="0.3">
      <c r="A225" s="5">
        <f t="shared" si="12"/>
        <v>221</v>
      </c>
      <c r="B225" s="23" t="s">
        <v>645</v>
      </c>
      <c r="C225" s="17" t="s">
        <v>323</v>
      </c>
      <c r="D225" s="4" t="s">
        <v>52</v>
      </c>
      <c r="E225" s="4" t="s">
        <v>66</v>
      </c>
      <c r="F225" s="4" t="s">
        <v>66</v>
      </c>
      <c r="G225" s="4" t="s">
        <v>119</v>
      </c>
      <c r="H225" s="4" t="s">
        <v>108</v>
      </c>
      <c r="I225" s="24" t="s">
        <v>131</v>
      </c>
      <c r="J225" s="15">
        <v>5</v>
      </c>
      <c r="K225" s="15">
        <v>3</v>
      </c>
      <c r="L225" s="15">
        <v>3</v>
      </c>
      <c r="M225" s="15">
        <v>3</v>
      </c>
      <c r="N225" s="15">
        <v>3</v>
      </c>
      <c r="O225" s="15">
        <v>4</v>
      </c>
      <c r="P225" s="15" t="s">
        <v>415</v>
      </c>
      <c r="Q225" s="23" t="s">
        <v>416</v>
      </c>
      <c r="R225" s="25">
        <f>ROUND((K225*Parametros!$B$4+L225*Parametros!$B$5+M225*Parametros!$B$6+N225*Parametros!$B$7+O225*Parametros!$B$8)/SUM(Parametros!$B$4:$B$8),2)</f>
        <v>3.15</v>
      </c>
      <c r="S225" s="26">
        <f>IFERROR(INDEX(Parametros!$F$33:$F$42,MATCH(D225,Parametros!$A$33:$A$42,0)),1)</f>
        <v>1.05</v>
      </c>
      <c r="T225" s="27">
        <f>IFERROR(INDEX(Parametros!$B$21:$B$26,MATCH(I225,Parametros!$A$21:$A$26,0)),0)</f>
        <v>0</v>
      </c>
      <c r="U225" s="28">
        <f t="shared" si="13"/>
        <v>3.31</v>
      </c>
      <c r="V225" s="9">
        <f>IF(U225&gt;=Parametros!$B$14,4,IF(U225&gt;=Parametros!$B$13,3,IF(U225&gt;=Parametros!$B$12,2,1)))</f>
        <v>3</v>
      </c>
      <c r="W225" s="5">
        <f>MAX(V225,IF(K225=5,Parametros!$B$17,0),IF(P225="Sim",Parametros!$B$18,0))</f>
        <v>3</v>
      </c>
      <c r="X225" s="5" t="str">
        <f t="shared" si="14"/>
        <v>Alta</v>
      </c>
      <c r="Y225" s="29">
        <f t="shared" si="15"/>
        <v>3032.5997750000001</v>
      </c>
      <c r="Z225" s="4" t="s">
        <v>322</v>
      </c>
    </row>
    <row r="226" spans="1:26" ht="28.05" customHeight="1" x14ac:dyDescent="0.3">
      <c r="A226" s="5">
        <f t="shared" si="12"/>
        <v>222</v>
      </c>
      <c r="B226" s="23" t="s">
        <v>646</v>
      </c>
      <c r="C226" s="17" t="s">
        <v>324</v>
      </c>
      <c r="D226" s="4" t="s">
        <v>48</v>
      </c>
      <c r="E226" s="4" t="s">
        <v>64</v>
      </c>
      <c r="F226" s="4" t="s">
        <v>64</v>
      </c>
      <c r="G226" s="4" t="s">
        <v>134</v>
      </c>
      <c r="H226" s="4" t="s">
        <v>108</v>
      </c>
      <c r="I226" s="24" t="s">
        <v>131</v>
      </c>
      <c r="J226" s="15">
        <v>4</v>
      </c>
      <c r="K226" s="15">
        <v>3</v>
      </c>
      <c r="L226" s="15">
        <v>4</v>
      </c>
      <c r="M226" s="15">
        <v>2</v>
      </c>
      <c r="N226" s="15">
        <v>4</v>
      </c>
      <c r="O226" s="15">
        <v>2</v>
      </c>
      <c r="P226" s="15" t="s">
        <v>415</v>
      </c>
      <c r="Q226" s="23" t="s">
        <v>416</v>
      </c>
      <c r="R226" s="25">
        <f>ROUND((K226*Parametros!$B$4+L226*Parametros!$B$5+M226*Parametros!$B$6+N226*Parametros!$B$7+O226*Parametros!$B$8)/SUM(Parametros!$B$4:$B$8),2)</f>
        <v>3</v>
      </c>
      <c r="S226" s="26">
        <f>IFERROR(INDEX(Parametros!$F$33:$F$42,MATCH(D226,Parametros!$A$33:$A$42,0)),1)</f>
        <v>1.1000000000000001</v>
      </c>
      <c r="T226" s="27">
        <f>IFERROR(INDEX(Parametros!$B$21:$B$26,MATCH(I226,Parametros!$A$21:$A$26,0)),0)</f>
        <v>0</v>
      </c>
      <c r="U226" s="28">
        <f t="shared" si="13"/>
        <v>3.3</v>
      </c>
      <c r="V226" s="9">
        <f>IF(U226&gt;=Parametros!$B$14,4,IF(U226&gt;=Parametros!$B$13,3,IF(U226&gt;=Parametros!$B$12,2,1)))</f>
        <v>3</v>
      </c>
      <c r="W226" s="5">
        <f>MAX(V226,IF(K226=5,Parametros!$B$17,0),IF(P226="Sim",Parametros!$B$18,0))</f>
        <v>3</v>
      </c>
      <c r="X226" s="5" t="str">
        <f t="shared" si="14"/>
        <v>Alta</v>
      </c>
      <c r="Y226" s="29">
        <f t="shared" si="15"/>
        <v>3032.5997739999998</v>
      </c>
      <c r="Z226" s="4" t="s">
        <v>325</v>
      </c>
    </row>
    <row r="227" spans="1:26" ht="28.05" customHeight="1" x14ac:dyDescent="0.3">
      <c r="A227" s="5">
        <f t="shared" si="12"/>
        <v>223</v>
      </c>
      <c r="B227" s="23" t="s">
        <v>647</v>
      </c>
      <c r="C227" s="17" t="s">
        <v>648</v>
      </c>
      <c r="D227" s="4" t="s">
        <v>52</v>
      </c>
      <c r="E227" s="4" t="s">
        <v>64</v>
      </c>
      <c r="F227" s="4" t="s">
        <v>64</v>
      </c>
      <c r="G227" s="4" t="s">
        <v>107</v>
      </c>
      <c r="H227" s="4" t="s">
        <v>108</v>
      </c>
      <c r="I227" s="24" t="s">
        <v>109</v>
      </c>
      <c r="J227" s="15">
        <v>3</v>
      </c>
      <c r="K227" s="15">
        <v>3</v>
      </c>
      <c r="L227" s="15">
        <v>3</v>
      </c>
      <c r="M227" s="15">
        <v>3</v>
      </c>
      <c r="N227" s="15">
        <v>2</v>
      </c>
      <c r="O227" s="15">
        <v>3</v>
      </c>
      <c r="P227" s="15" t="s">
        <v>415</v>
      </c>
      <c r="Q227" s="23" t="s">
        <v>416</v>
      </c>
      <c r="R227" s="25">
        <f>ROUND((K227*Parametros!$B$4+L227*Parametros!$B$5+M227*Parametros!$B$6+N227*Parametros!$B$7+O227*Parametros!$B$8)/SUM(Parametros!$B$4:$B$8),2)</f>
        <v>2.85</v>
      </c>
      <c r="S227" s="26">
        <f>IFERROR(INDEX(Parametros!$F$33:$F$42,MATCH(D227,Parametros!$A$33:$A$42,0)),1)</f>
        <v>1.05</v>
      </c>
      <c r="T227" s="27">
        <f>IFERROR(INDEX(Parametros!$B$21:$B$26,MATCH(I227,Parametros!$A$21:$A$26,0)),0)</f>
        <v>0.3</v>
      </c>
      <c r="U227" s="28">
        <f t="shared" si="13"/>
        <v>3.29</v>
      </c>
      <c r="V227" s="9">
        <f>IF(U227&gt;=Parametros!$B$14,4,IF(U227&gt;=Parametros!$B$13,3,IF(U227&gt;=Parametros!$B$12,2,1)))</f>
        <v>2</v>
      </c>
      <c r="W227" s="5">
        <f>MAX(V227,IF(K227=5,Parametros!$B$17,0),IF(P227="Sim",Parametros!$B$18,0))</f>
        <v>2</v>
      </c>
      <c r="X227" s="5" t="str">
        <f t="shared" si="14"/>
        <v>Normal</v>
      </c>
      <c r="Y227" s="29">
        <f t="shared" si="15"/>
        <v>2032.5997730000001</v>
      </c>
      <c r="Z227" s="4" t="s">
        <v>348</v>
      </c>
    </row>
    <row r="228" spans="1:26" ht="28.05" customHeight="1" x14ac:dyDescent="0.3">
      <c r="A228" s="5">
        <f t="shared" si="12"/>
        <v>224</v>
      </c>
      <c r="B228" s="23" t="s">
        <v>649</v>
      </c>
      <c r="C228" s="17" t="s">
        <v>650</v>
      </c>
      <c r="D228" s="4" t="s">
        <v>54</v>
      </c>
      <c r="E228" s="4" t="s">
        <v>70</v>
      </c>
      <c r="F228" s="4" t="s">
        <v>70</v>
      </c>
      <c r="G228" s="4" t="s">
        <v>134</v>
      </c>
      <c r="H228" s="4" t="s">
        <v>108</v>
      </c>
      <c r="I228" s="24" t="s">
        <v>122</v>
      </c>
      <c r="J228" s="15">
        <v>2</v>
      </c>
      <c r="K228" s="15">
        <v>4</v>
      </c>
      <c r="L228" s="15">
        <v>3</v>
      </c>
      <c r="M228" s="15">
        <v>3</v>
      </c>
      <c r="N228" s="15">
        <v>2</v>
      </c>
      <c r="O228" s="15">
        <v>3</v>
      </c>
      <c r="P228" s="15" t="s">
        <v>415</v>
      </c>
      <c r="Q228" s="23" t="s">
        <v>416</v>
      </c>
      <c r="R228" s="25">
        <f>ROUND((K228*Parametros!$B$4+L228*Parametros!$B$5+M228*Parametros!$B$6+N228*Parametros!$B$7+O228*Parametros!$B$8)/SUM(Parametros!$B$4:$B$8),2)</f>
        <v>3.15</v>
      </c>
      <c r="S228" s="26">
        <f>IFERROR(INDEX(Parametros!$F$33:$F$42,MATCH(D228,Parametros!$A$33:$A$42,0)),1)</f>
        <v>1.034</v>
      </c>
      <c r="T228" s="27">
        <f>IFERROR(INDEX(Parametros!$B$21:$B$26,MATCH(I228,Parametros!$A$21:$A$26,0)),0)</f>
        <v>0</v>
      </c>
      <c r="U228" s="28">
        <f t="shared" si="13"/>
        <v>3.26</v>
      </c>
      <c r="V228" s="9">
        <f>IF(U228&gt;=Parametros!$B$14,4,IF(U228&gt;=Parametros!$B$13,3,IF(U228&gt;=Parametros!$B$12,2,1)))</f>
        <v>2</v>
      </c>
      <c r="W228" s="5">
        <f>MAX(V228,IF(K228=5,Parametros!$B$17,0),IF(P228="Sim",Parametros!$B$18,0))</f>
        <v>2</v>
      </c>
      <c r="X228" s="5" t="str">
        <f t="shared" si="14"/>
        <v>Normal</v>
      </c>
      <c r="Y228" s="29">
        <f t="shared" si="15"/>
        <v>2032.3997719999998</v>
      </c>
      <c r="Z228" s="4" t="s">
        <v>385</v>
      </c>
    </row>
    <row r="229" spans="1:26" ht="28.05" customHeight="1" x14ac:dyDescent="0.3">
      <c r="A229" s="5">
        <f t="shared" si="12"/>
        <v>225</v>
      </c>
      <c r="B229" s="23" t="s">
        <v>651</v>
      </c>
      <c r="C229" s="17" t="s">
        <v>652</v>
      </c>
      <c r="D229" s="4" t="s">
        <v>54</v>
      </c>
      <c r="E229" s="4" t="s">
        <v>78</v>
      </c>
      <c r="F229" s="4" t="s">
        <v>78</v>
      </c>
      <c r="G229" s="4" t="s">
        <v>112</v>
      </c>
      <c r="H229" s="4" t="s">
        <v>108</v>
      </c>
      <c r="I229" s="24" t="s">
        <v>152</v>
      </c>
      <c r="J229" s="15">
        <v>2</v>
      </c>
      <c r="K229" s="15">
        <v>3</v>
      </c>
      <c r="L229" s="15">
        <v>3</v>
      </c>
      <c r="M229" s="15">
        <v>3</v>
      </c>
      <c r="N229" s="15">
        <v>4</v>
      </c>
      <c r="O229" s="15">
        <v>3</v>
      </c>
      <c r="P229" s="15" t="s">
        <v>415</v>
      </c>
      <c r="Q229" s="23" t="s">
        <v>416</v>
      </c>
      <c r="R229" s="25">
        <f>ROUND((K229*Parametros!$B$4+L229*Parametros!$B$5+M229*Parametros!$B$6+N229*Parametros!$B$7+O229*Parametros!$B$8)/SUM(Parametros!$B$4:$B$8),2)</f>
        <v>3.15</v>
      </c>
      <c r="S229" s="26">
        <f>IFERROR(INDEX(Parametros!$F$33:$F$42,MATCH(D229,Parametros!$A$33:$A$42,0)),1)</f>
        <v>1.034</v>
      </c>
      <c r="T229" s="27">
        <f>IFERROR(INDEX(Parametros!$B$21:$B$26,MATCH(I229,Parametros!$A$21:$A$26,0)),0)</f>
        <v>0</v>
      </c>
      <c r="U229" s="28">
        <f t="shared" si="13"/>
        <v>3.26</v>
      </c>
      <c r="V229" s="9">
        <f>IF(U229&gt;=Parametros!$B$14,4,IF(U229&gt;=Parametros!$B$13,3,IF(U229&gt;=Parametros!$B$12,2,1)))</f>
        <v>2</v>
      </c>
      <c r="W229" s="5">
        <f>MAX(V229,IF(K229=5,Parametros!$B$17,0),IF(P229="Sim",Parametros!$B$18,0))</f>
        <v>2</v>
      </c>
      <c r="X229" s="5" t="str">
        <f t="shared" si="14"/>
        <v>Normal</v>
      </c>
      <c r="Y229" s="29">
        <f t="shared" si="15"/>
        <v>2032.3997709999999</v>
      </c>
      <c r="Z229" s="4" t="s">
        <v>653</v>
      </c>
    </row>
    <row r="230" spans="1:26" ht="28.05" customHeight="1" x14ac:dyDescent="0.3">
      <c r="A230" s="5">
        <f t="shared" si="12"/>
        <v>226</v>
      </c>
      <c r="B230" s="23" t="s">
        <v>654</v>
      </c>
      <c r="C230" s="17" t="s">
        <v>655</v>
      </c>
      <c r="D230" s="4" t="s">
        <v>53</v>
      </c>
      <c r="E230" s="4" t="s">
        <v>76</v>
      </c>
      <c r="F230" s="4" t="s">
        <v>76</v>
      </c>
      <c r="G230" s="4" t="s">
        <v>112</v>
      </c>
      <c r="H230" s="4" t="s">
        <v>108</v>
      </c>
      <c r="I230" s="24" t="s">
        <v>152</v>
      </c>
      <c r="J230" s="15">
        <v>3</v>
      </c>
      <c r="K230" s="15">
        <v>3</v>
      </c>
      <c r="L230" s="15">
        <v>3</v>
      </c>
      <c r="M230" s="15">
        <v>2</v>
      </c>
      <c r="N230" s="15">
        <v>5</v>
      </c>
      <c r="O230" s="15">
        <v>3</v>
      </c>
      <c r="P230" s="15" t="s">
        <v>415</v>
      </c>
      <c r="Q230" s="23" t="s">
        <v>416</v>
      </c>
      <c r="R230" s="25">
        <f>ROUND((K230*Parametros!$B$4+L230*Parametros!$B$5+M230*Parametros!$B$6+N230*Parametros!$B$7+O230*Parametros!$B$8)/SUM(Parametros!$B$4:$B$8),2)</f>
        <v>3.1</v>
      </c>
      <c r="S230" s="26">
        <f>IFERROR(INDEX(Parametros!$F$33:$F$42,MATCH(D230,Parametros!$A$33:$A$42,0)),1)</f>
        <v>1.05</v>
      </c>
      <c r="T230" s="27">
        <f>IFERROR(INDEX(Parametros!$B$21:$B$26,MATCH(I230,Parametros!$A$21:$A$26,0)),0)</f>
        <v>0</v>
      </c>
      <c r="U230" s="28">
        <f t="shared" si="13"/>
        <v>3.26</v>
      </c>
      <c r="V230" s="9">
        <f>IF(U230&gt;=Parametros!$B$14,4,IF(U230&gt;=Parametros!$B$13,3,IF(U230&gt;=Parametros!$B$12,2,1)))</f>
        <v>2</v>
      </c>
      <c r="W230" s="5">
        <f>MAX(V230,IF(K230=5,Parametros!$B$17,0),IF(P230="Sim",Parametros!$B$18,0))</f>
        <v>2</v>
      </c>
      <c r="X230" s="5" t="str">
        <f t="shared" si="14"/>
        <v>Normal</v>
      </c>
      <c r="Y230" s="29">
        <f t="shared" si="15"/>
        <v>2032.2997699999999</v>
      </c>
      <c r="Z230" s="4" t="s">
        <v>656</v>
      </c>
    </row>
    <row r="231" spans="1:26" ht="28.05" customHeight="1" x14ac:dyDescent="0.3">
      <c r="A231" s="5">
        <f t="shared" si="12"/>
        <v>227</v>
      </c>
      <c r="B231" s="23" t="s">
        <v>657</v>
      </c>
      <c r="C231" s="17" t="s">
        <v>658</v>
      </c>
      <c r="D231" s="4" t="s">
        <v>50</v>
      </c>
      <c r="E231" s="4" t="s">
        <v>75</v>
      </c>
      <c r="F231" s="4" t="s">
        <v>75</v>
      </c>
      <c r="G231" s="4" t="s">
        <v>171</v>
      </c>
      <c r="H231" s="4" t="s">
        <v>172</v>
      </c>
      <c r="I231" s="24" t="s">
        <v>152</v>
      </c>
      <c r="J231" s="15">
        <v>2</v>
      </c>
      <c r="K231" s="15">
        <v>3</v>
      </c>
      <c r="L231" s="15">
        <v>3</v>
      </c>
      <c r="M231" s="15">
        <v>3</v>
      </c>
      <c r="N231" s="15">
        <v>3</v>
      </c>
      <c r="O231" s="15">
        <v>3</v>
      </c>
      <c r="P231" s="15" t="s">
        <v>415</v>
      </c>
      <c r="Q231" s="23" t="s">
        <v>416</v>
      </c>
      <c r="R231" s="25">
        <f>ROUND((K231*Parametros!$B$4+L231*Parametros!$B$5+M231*Parametros!$B$6+N231*Parametros!$B$7+O231*Parametros!$B$8)/SUM(Parametros!$B$4:$B$8),2)</f>
        <v>3</v>
      </c>
      <c r="S231" s="26">
        <f>IFERROR(INDEX(Parametros!$F$33:$F$42,MATCH(D231,Parametros!$A$33:$A$42,0)),1)</f>
        <v>1.0840000000000001</v>
      </c>
      <c r="T231" s="27">
        <f>IFERROR(INDEX(Parametros!$B$21:$B$26,MATCH(I231,Parametros!$A$21:$A$26,0)),0)</f>
        <v>0</v>
      </c>
      <c r="U231" s="28">
        <f t="shared" si="13"/>
        <v>3.25</v>
      </c>
      <c r="V231" s="9">
        <f>IF(U231&gt;=Parametros!$B$14,4,IF(U231&gt;=Parametros!$B$13,3,IF(U231&gt;=Parametros!$B$12,2,1)))</f>
        <v>2</v>
      </c>
      <c r="W231" s="5">
        <f>MAX(V231,IF(K231=5,Parametros!$B$17,0),IF(P231="Sim",Parametros!$B$18,0))</f>
        <v>2</v>
      </c>
      <c r="X231" s="5" t="str">
        <f t="shared" si="14"/>
        <v>Normal</v>
      </c>
      <c r="Y231" s="29">
        <f t="shared" si="15"/>
        <v>2032.299769</v>
      </c>
      <c r="Z231" s="4" t="s">
        <v>659</v>
      </c>
    </row>
    <row r="232" spans="1:26" ht="28.05" customHeight="1" x14ac:dyDescent="0.3">
      <c r="A232" s="5">
        <f t="shared" si="12"/>
        <v>228</v>
      </c>
      <c r="B232" s="23" t="s">
        <v>660</v>
      </c>
      <c r="C232" s="17" t="s">
        <v>661</v>
      </c>
      <c r="D232" s="4" t="s">
        <v>56</v>
      </c>
      <c r="E232" s="4" t="s">
        <v>64</v>
      </c>
      <c r="F232" s="4" t="s">
        <v>64</v>
      </c>
      <c r="G232" s="4" t="s">
        <v>134</v>
      </c>
      <c r="H232" s="4" t="s">
        <v>108</v>
      </c>
      <c r="I232" s="24" t="s">
        <v>152</v>
      </c>
      <c r="J232" s="15">
        <v>3</v>
      </c>
      <c r="K232" s="15">
        <v>4</v>
      </c>
      <c r="L232" s="15">
        <v>3</v>
      </c>
      <c r="M232" s="15">
        <v>1</v>
      </c>
      <c r="N232" s="15">
        <v>4</v>
      </c>
      <c r="O232" s="15">
        <v>4</v>
      </c>
      <c r="P232" s="15" t="s">
        <v>415</v>
      </c>
      <c r="Q232" s="23" t="s">
        <v>416</v>
      </c>
      <c r="R232" s="25">
        <f>ROUND((K232*Parametros!$B$4+L232*Parametros!$B$5+M232*Parametros!$B$6+N232*Parametros!$B$7+O232*Parametros!$B$8)/SUM(Parametros!$B$4:$B$8),2)</f>
        <v>3.2</v>
      </c>
      <c r="S232" s="26">
        <f>IFERROR(INDEX(Parametros!$F$33:$F$42,MATCH(D232,Parametros!$A$33:$A$42,0)),1)</f>
        <v>1.0169999999999999</v>
      </c>
      <c r="T232" s="27">
        <f>IFERROR(INDEX(Parametros!$B$21:$B$26,MATCH(I232,Parametros!$A$21:$A$26,0)),0)</f>
        <v>0</v>
      </c>
      <c r="U232" s="28">
        <f t="shared" si="13"/>
        <v>3.25</v>
      </c>
      <c r="V232" s="9">
        <f>IF(U232&gt;=Parametros!$B$14,4,IF(U232&gt;=Parametros!$B$13,3,IF(U232&gt;=Parametros!$B$12,2,1)))</f>
        <v>2</v>
      </c>
      <c r="W232" s="5">
        <f>MAX(V232,IF(K232=5,Parametros!$B$17,0),IF(P232="Sim",Parametros!$B$18,0))</f>
        <v>2</v>
      </c>
      <c r="X232" s="5" t="str">
        <f t="shared" si="14"/>
        <v>Normal</v>
      </c>
      <c r="Y232" s="29">
        <f t="shared" si="15"/>
        <v>2032.1997679999999</v>
      </c>
      <c r="Z232" s="4" t="s">
        <v>311</v>
      </c>
    </row>
    <row r="233" spans="1:26" ht="28.05" customHeight="1" x14ac:dyDescent="0.3">
      <c r="A233" s="5">
        <f t="shared" si="12"/>
        <v>229</v>
      </c>
      <c r="B233" s="23" t="s">
        <v>662</v>
      </c>
      <c r="C233" s="17" t="s">
        <v>663</v>
      </c>
      <c r="D233" s="4" t="s">
        <v>53</v>
      </c>
      <c r="E233" s="4" t="s">
        <v>68</v>
      </c>
      <c r="F233" s="4" t="s">
        <v>68</v>
      </c>
      <c r="G233" s="4" t="s">
        <v>112</v>
      </c>
      <c r="H233" s="4" t="s">
        <v>108</v>
      </c>
      <c r="I233" s="24" t="s">
        <v>109</v>
      </c>
      <c r="J233" s="15">
        <v>2</v>
      </c>
      <c r="K233" s="15">
        <v>4</v>
      </c>
      <c r="L233" s="15">
        <v>4</v>
      </c>
      <c r="M233" s="15">
        <v>1</v>
      </c>
      <c r="N233" s="15">
        <v>2</v>
      </c>
      <c r="O233" s="15">
        <v>2</v>
      </c>
      <c r="P233" s="15" t="s">
        <v>415</v>
      </c>
      <c r="Q233" s="23" t="s">
        <v>416</v>
      </c>
      <c r="R233" s="25">
        <f>ROUND((K233*Parametros!$B$4+L233*Parametros!$B$5+M233*Parametros!$B$6+N233*Parametros!$B$7+O233*Parametros!$B$8)/SUM(Parametros!$B$4:$B$8),2)</f>
        <v>2.8</v>
      </c>
      <c r="S233" s="26">
        <f>IFERROR(INDEX(Parametros!$F$33:$F$42,MATCH(D233,Parametros!$A$33:$A$42,0)),1)</f>
        <v>1.05</v>
      </c>
      <c r="T233" s="27">
        <f>IFERROR(INDEX(Parametros!$B$21:$B$26,MATCH(I233,Parametros!$A$21:$A$26,0)),0)</f>
        <v>0.3</v>
      </c>
      <c r="U233" s="28">
        <f t="shared" si="13"/>
        <v>3.24</v>
      </c>
      <c r="V233" s="9">
        <f>IF(U233&gt;=Parametros!$B$14,4,IF(U233&gt;=Parametros!$B$13,3,IF(U233&gt;=Parametros!$B$12,2,1)))</f>
        <v>2</v>
      </c>
      <c r="W233" s="5">
        <f>MAX(V233,IF(K233=5,Parametros!$B$17,0),IF(P233="Sim",Parametros!$B$18,0))</f>
        <v>2</v>
      </c>
      <c r="X233" s="5" t="str">
        <f t="shared" si="14"/>
        <v>Normal</v>
      </c>
      <c r="Y233" s="29">
        <f t="shared" si="15"/>
        <v>2032.1997670000001</v>
      </c>
      <c r="Z233" s="4" t="s">
        <v>164</v>
      </c>
    </row>
    <row r="234" spans="1:26" ht="28.05" customHeight="1" x14ac:dyDescent="0.3">
      <c r="A234" s="5">
        <f t="shared" si="12"/>
        <v>230</v>
      </c>
      <c r="B234" s="23" t="s">
        <v>664</v>
      </c>
      <c r="C234" s="17" t="s">
        <v>665</v>
      </c>
      <c r="D234" s="4" t="s">
        <v>53</v>
      </c>
      <c r="E234" s="4" t="s">
        <v>76</v>
      </c>
      <c r="F234" s="4" t="s">
        <v>76</v>
      </c>
      <c r="G234" s="4" t="s">
        <v>112</v>
      </c>
      <c r="H234" s="4" t="s">
        <v>108</v>
      </c>
      <c r="I234" s="24" t="s">
        <v>109</v>
      </c>
      <c r="J234" s="15">
        <v>2</v>
      </c>
      <c r="K234" s="15">
        <v>4</v>
      </c>
      <c r="L234" s="15">
        <v>4</v>
      </c>
      <c r="M234" s="15">
        <v>1</v>
      </c>
      <c r="N234" s="15">
        <v>2</v>
      </c>
      <c r="O234" s="15">
        <v>2</v>
      </c>
      <c r="P234" s="15" t="s">
        <v>415</v>
      </c>
      <c r="Q234" s="23" t="s">
        <v>416</v>
      </c>
      <c r="R234" s="25">
        <f>ROUND((K234*Parametros!$B$4+L234*Parametros!$B$5+M234*Parametros!$B$6+N234*Parametros!$B$7+O234*Parametros!$B$8)/SUM(Parametros!$B$4:$B$8),2)</f>
        <v>2.8</v>
      </c>
      <c r="S234" s="26">
        <f>IFERROR(INDEX(Parametros!$F$33:$F$42,MATCH(D234,Parametros!$A$33:$A$42,0)),1)</f>
        <v>1.05</v>
      </c>
      <c r="T234" s="27">
        <f>IFERROR(INDEX(Parametros!$B$21:$B$26,MATCH(I234,Parametros!$A$21:$A$26,0)),0)</f>
        <v>0.3</v>
      </c>
      <c r="U234" s="28">
        <f t="shared" si="13"/>
        <v>3.24</v>
      </c>
      <c r="V234" s="9">
        <f>IF(U234&gt;=Parametros!$B$14,4,IF(U234&gt;=Parametros!$B$13,3,IF(U234&gt;=Parametros!$B$12,2,1)))</f>
        <v>2</v>
      </c>
      <c r="W234" s="5">
        <f>MAX(V234,IF(K234=5,Parametros!$B$17,0),IF(P234="Sim",Parametros!$B$18,0))</f>
        <v>2</v>
      </c>
      <c r="X234" s="5" t="str">
        <f t="shared" si="14"/>
        <v>Normal</v>
      </c>
      <c r="Y234" s="29">
        <f t="shared" si="15"/>
        <v>2032.199766</v>
      </c>
      <c r="Z234" s="4" t="s">
        <v>164</v>
      </c>
    </row>
    <row r="235" spans="1:26" ht="28.05" customHeight="1" x14ac:dyDescent="0.3">
      <c r="A235" s="5">
        <f t="shared" si="12"/>
        <v>231</v>
      </c>
      <c r="B235" s="23" t="s">
        <v>666</v>
      </c>
      <c r="C235" s="17" t="s">
        <v>667</v>
      </c>
      <c r="D235" s="4" t="s">
        <v>52</v>
      </c>
      <c r="E235" s="4" t="s">
        <v>66</v>
      </c>
      <c r="F235" s="4" t="s">
        <v>66</v>
      </c>
      <c r="G235" s="4" t="s">
        <v>171</v>
      </c>
      <c r="H235" s="4" t="s">
        <v>172</v>
      </c>
      <c r="I235" s="24" t="s">
        <v>109</v>
      </c>
      <c r="J235" s="15">
        <v>2</v>
      </c>
      <c r="K235" s="15">
        <v>4</v>
      </c>
      <c r="L235" s="15">
        <v>4</v>
      </c>
      <c r="M235" s="15">
        <v>1</v>
      </c>
      <c r="N235" s="15">
        <v>2</v>
      </c>
      <c r="O235" s="15">
        <v>2</v>
      </c>
      <c r="P235" s="15" t="s">
        <v>415</v>
      </c>
      <c r="Q235" s="23" t="s">
        <v>416</v>
      </c>
      <c r="R235" s="25">
        <f>ROUND((K235*Parametros!$B$4+L235*Parametros!$B$5+M235*Parametros!$B$6+N235*Parametros!$B$7+O235*Parametros!$B$8)/SUM(Parametros!$B$4:$B$8),2)</f>
        <v>2.8</v>
      </c>
      <c r="S235" s="26">
        <f>IFERROR(INDEX(Parametros!$F$33:$F$42,MATCH(D235,Parametros!$A$33:$A$42,0)),1)</f>
        <v>1.05</v>
      </c>
      <c r="T235" s="27">
        <f>IFERROR(INDEX(Parametros!$B$21:$B$26,MATCH(I235,Parametros!$A$21:$A$26,0)),0)</f>
        <v>0.3</v>
      </c>
      <c r="U235" s="28">
        <f t="shared" si="13"/>
        <v>3.24</v>
      </c>
      <c r="V235" s="9">
        <f>IF(U235&gt;=Parametros!$B$14,4,IF(U235&gt;=Parametros!$B$13,3,IF(U235&gt;=Parametros!$B$12,2,1)))</f>
        <v>2</v>
      </c>
      <c r="W235" s="5">
        <f>MAX(V235,IF(K235=5,Parametros!$B$17,0),IF(P235="Sim",Parametros!$B$18,0))</f>
        <v>2</v>
      </c>
      <c r="X235" s="5" t="str">
        <f t="shared" si="14"/>
        <v>Normal</v>
      </c>
      <c r="Y235" s="29">
        <f t="shared" si="15"/>
        <v>2032.1997650000001</v>
      </c>
      <c r="Z235" s="4" t="s">
        <v>164</v>
      </c>
    </row>
    <row r="236" spans="1:26" ht="28.05" customHeight="1" x14ac:dyDescent="0.3">
      <c r="A236" s="5">
        <f t="shared" si="12"/>
        <v>232</v>
      </c>
      <c r="B236" s="23" t="s">
        <v>668</v>
      </c>
      <c r="C236" s="17" t="s">
        <v>669</v>
      </c>
      <c r="D236" s="4" t="s">
        <v>52</v>
      </c>
      <c r="E236" s="4" t="s">
        <v>64</v>
      </c>
      <c r="F236" s="4" t="s">
        <v>64</v>
      </c>
      <c r="G236" s="4" t="s">
        <v>171</v>
      </c>
      <c r="H236" s="4" t="s">
        <v>172</v>
      </c>
      <c r="I236" s="24" t="s">
        <v>109</v>
      </c>
      <c r="J236" s="15">
        <v>2</v>
      </c>
      <c r="K236" s="15">
        <v>4</v>
      </c>
      <c r="L236" s="15">
        <v>4</v>
      </c>
      <c r="M236" s="15">
        <v>1</v>
      </c>
      <c r="N236" s="15">
        <v>2</v>
      </c>
      <c r="O236" s="15">
        <v>2</v>
      </c>
      <c r="P236" s="15" t="s">
        <v>415</v>
      </c>
      <c r="Q236" s="23" t="s">
        <v>416</v>
      </c>
      <c r="R236" s="25">
        <f>ROUND((K236*Parametros!$B$4+L236*Parametros!$B$5+M236*Parametros!$B$6+N236*Parametros!$B$7+O236*Parametros!$B$8)/SUM(Parametros!$B$4:$B$8),2)</f>
        <v>2.8</v>
      </c>
      <c r="S236" s="26">
        <f>IFERROR(INDEX(Parametros!$F$33:$F$42,MATCH(D236,Parametros!$A$33:$A$42,0)),1)</f>
        <v>1.05</v>
      </c>
      <c r="T236" s="27">
        <f>IFERROR(INDEX(Parametros!$B$21:$B$26,MATCH(I236,Parametros!$A$21:$A$26,0)),0)</f>
        <v>0.3</v>
      </c>
      <c r="U236" s="28">
        <f t="shared" si="13"/>
        <v>3.24</v>
      </c>
      <c r="V236" s="9">
        <f>IF(U236&gt;=Parametros!$B$14,4,IF(U236&gt;=Parametros!$B$13,3,IF(U236&gt;=Parametros!$B$12,2,1)))</f>
        <v>2</v>
      </c>
      <c r="W236" s="5">
        <f>MAX(V236,IF(K236=5,Parametros!$B$17,0),IF(P236="Sim",Parametros!$B$18,0))</f>
        <v>2</v>
      </c>
      <c r="X236" s="5" t="str">
        <f t="shared" si="14"/>
        <v>Normal</v>
      </c>
      <c r="Y236" s="29">
        <f t="shared" si="15"/>
        <v>2032.199764</v>
      </c>
      <c r="Z236" s="4" t="s">
        <v>164</v>
      </c>
    </row>
    <row r="237" spans="1:26" ht="28.05" customHeight="1" x14ac:dyDescent="0.3">
      <c r="A237" s="5">
        <f t="shared" si="12"/>
        <v>233</v>
      </c>
      <c r="B237" s="23" t="s">
        <v>670</v>
      </c>
      <c r="C237" s="17" t="s">
        <v>671</v>
      </c>
      <c r="D237" s="4" t="s">
        <v>55</v>
      </c>
      <c r="E237" s="4" t="s">
        <v>64</v>
      </c>
      <c r="F237" s="4" t="s">
        <v>64</v>
      </c>
      <c r="G237" s="4" t="s">
        <v>134</v>
      </c>
      <c r="H237" s="4" t="s">
        <v>108</v>
      </c>
      <c r="I237" s="24" t="s">
        <v>131</v>
      </c>
      <c r="J237" s="15">
        <v>4</v>
      </c>
      <c r="K237" s="15">
        <v>3</v>
      </c>
      <c r="L237" s="15">
        <v>4</v>
      </c>
      <c r="M237" s="15">
        <v>2</v>
      </c>
      <c r="N237" s="15">
        <v>2</v>
      </c>
      <c r="O237" s="15">
        <v>5</v>
      </c>
      <c r="P237" s="15" t="s">
        <v>415</v>
      </c>
      <c r="Q237" s="23" t="s">
        <v>416</v>
      </c>
      <c r="R237" s="25">
        <f>ROUND((K237*Parametros!$B$4+L237*Parametros!$B$5+M237*Parametros!$B$6+N237*Parametros!$B$7+O237*Parametros!$B$8)/SUM(Parametros!$B$4:$B$8),2)</f>
        <v>3.15</v>
      </c>
      <c r="S237" s="26">
        <f>IFERROR(INDEX(Parametros!$F$33:$F$42,MATCH(D237,Parametros!$A$33:$A$42,0)),1)</f>
        <v>1.034</v>
      </c>
      <c r="T237" s="27">
        <f>IFERROR(INDEX(Parametros!$B$21:$B$26,MATCH(I237,Parametros!$A$21:$A$26,0)),0)</f>
        <v>0</v>
      </c>
      <c r="U237" s="28">
        <f t="shared" si="13"/>
        <v>3.26</v>
      </c>
      <c r="V237" s="9">
        <f>IF(U237&gt;=Parametros!$B$14,4,IF(U237&gt;=Parametros!$B$13,3,IF(U237&gt;=Parametros!$B$12,2,1)))</f>
        <v>2</v>
      </c>
      <c r="W237" s="5">
        <f>MAX(V237,IF(K237=5,Parametros!$B$17,0),IF(P237="Sim",Parametros!$B$18,0))</f>
        <v>2</v>
      </c>
      <c r="X237" s="5" t="str">
        <f t="shared" si="14"/>
        <v>Normal</v>
      </c>
      <c r="Y237" s="29">
        <f t="shared" si="15"/>
        <v>2032.1997629999998</v>
      </c>
      <c r="Z237" s="4" t="s">
        <v>672</v>
      </c>
    </row>
    <row r="238" spans="1:26" ht="28.05" customHeight="1" x14ac:dyDescent="0.3">
      <c r="A238" s="5">
        <f t="shared" si="12"/>
        <v>234</v>
      </c>
      <c r="B238" s="23" t="s">
        <v>673</v>
      </c>
      <c r="C238" s="17" t="s">
        <v>674</v>
      </c>
      <c r="D238" s="4" t="s">
        <v>55</v>
      </c>
      <c r="E238" s="4" t="s">
        <v>64</v>
      </c>
      <c r="F238" s="4" t="s">
        <v>64</v>
      </c>
      <c r="G238" s="4" t="s">
        <v>134</v>
      </c>
      <c r="H238" s="4" t="s">
        <v>108</v>
      </c>
      <c r="I238" s="24" t="s">
        <v>131</v>
      </c>
      <c r="J238" s="15">
        <v>4</v>
      </c>
      <c r="K238" s="15">
        <v>3</v>
      </c>
      <c r="L238" s="15">
        <v>4</v>
      </c>
      <c r="M238" s="15">
        <v>2</v>
      </c>
      <c r="N238" s="15">
        <v>2</v>
      </c>
      <c r="O238" s="15">
        <v>5</v>
      </c>
      <c r="P238" s="15" t="s">
        <v>415</v>
      </c>
      <c r="Q238" s="23" t="s">
        <v>416</v>
      </c>
      <c r="R238" s="25">
        <f>ROUND((K238*Parametros!$B$4+L238*Parametros!$B$5+M238*Parametros!$B$6+N238*Parametros!$B$7+O238*Parametros!$B$8)/SUM(Parametros!$B$4:$B$8),2)</f>
        <v>3.15</v>
      </c>
      <c r="S238" s="26">
        <f>IFERROR(INDEX(Parametros!$F$33:$F$42,MATCH(D238,Parametros!$A$33:$A$42,0)),1)</f>
        <v>1.034</v>
      </c>
      <c r="T238" s="27">
        <f>IFERROR(INDEX(Parametros!$B$21:$B$26,MATCH(I238,Parametros!$A$21:$A$26,0)),0)</f>
        <v>0</v>
      </c>
      <c r="U238" s="28">
        <f t="shared" si="13"/>
        <v>3.26</v>
      </c>
      <c r="V238" s="9">
        <f>IF(U238&gt;=Parametros!$B$14,4,IF(U238&gt;=Parametros!$B$13,3,IF(U238&gt;=Parametros!$B$12,2,1)))</f>
        <v>2</v>
      </c>
      <c r="W238" s="5">
        <f>MAX(V238,IF(K238=5,Parametros!$B$17,0),IF(P238="Sim",Parametros!$B$18,0))</f>
        <v>2</v>
      </c>
      <c r="X238" s="5" t="str">
        <f t="shared" si="14"/>
        <v>Normal</v>
      </c>
      <c r="Y238" s="29">
        <f t="shared" si="15"/>
        <v>2032.1997619999997</v>
      </c>
      <c r="Z238" s="4" t="s">
        <v>672</v>
      </c>
    </row>
    <row r="239" spans="1:26" ht="28.05" customHeight="1" x14ac:dyDescent="0.3">
      <c r="A239" s="5">
        <f t="shared" si="12"/>
        <v>235</v>
      </c>
      <c r="B239" s="23" t="s">
        <v>675</v>
      </c>
      <c r="C239" s="17" t="s">
        <v>676</v>
      </c>
      <c r="D239" s="4" t="s">
        <v>53</v>
      </c>
      <c r="E239" s="4" t="s">
        <v>77</v>
      </c>
      <c r="F239" s="4" t="s">
        <v>77</v>
      </c>
      <c r="G239" s="4" t="s">
        <v>119</v>
      </c>
      <c r="H239" s="4" t="s">
        <v>108</v>
      </c>
      <c r="I239" s="24" t="s">
        <v>122</v>
      </c>
      <c r="J239" s="15">
        <v>4</v>
      </c>
      <c r="K239" s="15">
        <v>4</v>
      </c>
      <c r="L239" s="15">
        <v>4</v>
      </c>
      <c r="M239" s="15">
        <v>1</v>
      </c>
      <c r="N239" s="15">
        <v>3</v>
      </c>
      <c r="O239" s="15">
        <v>3</v>
      </c>
      <c r="P239" s="15" t="s">
        <v>415</v>
      </c>
      <c r="Q239" s="23" t="s">
        <v>416</v>
      </c>
      <c r="R239" s="25">
        <f>ROUND((K239*Parametros!$B$4+L239*Parametros!$B$5+M239*Parametros!$B$6+N239*Parametros!$B$7+O239*Parametros!$B$8)/SUM(Parametros!$B$4:$B$8),2)</f>
        <v>3.1</v>
      </c>
      <c r="S239" s="26">
        <f>IFERROR(INDEX(Parametros!$F$33:$F$42,MATCH(D239,Parametros!$A$33:$A$42,0)),1)</f>
        <v>1.05</v>
      </c>
      <c r="T239" s="27">
        <f>IFERROR(INDEX(Parametros!$B$21:$B$26,MATCH(I239,Parametros!$A$21:$A$26,0)),0)</f>
        <v>0</v>
      </c>
      <c r="U239" s="28">
        <f t="shared" si="13"/>
        <v>3.26</v>
      </c>
      <c r="V239" s="9">
        <f>IF(U239&gt;=Parametros!$B$14,4,IF(U239&gt;=Parametros!$B$13,3,IF(U239&gt;=Parametros!$B$12,2,1)))</f>
        <v>2</v>
      </c>
      <c r="W239" s="5">
        <f>MAX(V239,IF(K239=5,Parametros!$B$17,0),IF(P239="Sim",Parametros!$B$18,0))</f>
        <v>2</v>
      </c>
      <c r="X239" s="5" t="str">
        <f t="shared" si="14"/>
        <v>Normal</v>
      </c>
      <c r="Y239" s="29">
        <f t="shared" si="15"/>
        <v>2032.1997609999999</v>
      </c>
      <c r="Z239" s="4" t="s">
        <v>283</v>
      </c>
    </row>
    <row r="240" spans="1:26" ht="28.05" customHeight="1" x14ac:dyDescent="0.3">
      <c r="A240" s="5">
        <f t="shared" si="12"/>
        <v>236</v>
      </c>
      <c r="B240" s="23" t="s">
        <v>677</v>
      </c>
      <c r="C240" s="17" t="s">
        <v>678</v>
      </c>
      <c r="D240" s="4" t="s">
        <v>52</v>
      </c>
      <c r="E240" s="4" t="s">
        <v>64</v>
      </c>
      <c r="F240" s="4" t="s">
        <v>64</v>
      </c>
      <c r="G240" s="4" t="s">
        <v>119</v>
      </c>
      <c r="H240" s="4" t="s">
        <v>108</v>
      </c>
      <c r="I240" s="24" t="s">
        <v>109</v>
      </c>
      <c r="J240" s="15">
        <v>3</v>
      </c>
      <c r="K240" s="15">
        <v>4</v>
      </c>
      <c r="L240" s="15">
        <v>3</v>
      </c>
      <c r="M240" s="15">
        <v>2</v>
      </c>
      <c r="N240" s="15">
        <v>2</v>
      </c>
      <c r="O240" s="15">
        <v>2</v>
      </c>
      <c r="P240" s="15" t="s">
        <v>415</v>
      </c>
      <c r="Q240" s="23" t="s">
        <v>416</v>
      </c>
      <c r="R240" s="25">
        <f>ROUND((K240*Parametros!$B$4+L240*Parametros!$B$5+M240*Parametros!$B$6+N240*Parametros!$B$7+O240*Parametros!$B$8)/SUM(Parametros!$B$4:$B$8),2)</f>
        <v>2.8</v>
      </c>
      <c r="S240" s="26">
        <f>IFERROR(INDEX(Parametros!$F$33:$F$42,MATCH(D240,Parametros!$A$33:$A$42,0)),1)</f>
        <v>1.05</v>
      </c>
      <c r="T240" s="27">
        <f>IFERROR(INDEX(Parametros!$B$21:$B$26,MATCH(I240,Parametros!$A$21:$A$26,0)),0)</f>
        <v>0.3</v>
      </c>
      <c r="U240" s="28">
        <f t="shared" si="13"/>
        <v>3.24</v>
      </c>
      <c r="V240" s="9">
        <f>IF(U240&gt;=Parametros!$B$14,4,IF(U240&gt;=Parametros!$B$13,3,IF(U240&gt;=Parametros!$B$12,2,1)))</f>
        <v>2</v>
      </c>
      <c r="W240" s="5">
        <f>MAX(V240,IF(K240=5,Parametros!$B$17,0),IF(P240="Sim",Parametros!$B$18,0))</f>
        <v>2</v>
      </c>
      <c r="X240" s="5" t="str">
        <f t="shared" si="14"/>
        <v>Normal</v>
      </c>
      <c r="Y240" s="29">
        <f t="shared" si="15"/>
        <v>2032.0997600000001</v>
      </c>
      <c r="Z240" s="4" t="s">
        <v>351</v>
      </c>
    </row>
    <row r="241" spans="1:26" ht="28.05" customHeight="1" x14ac:dyDescent="0.3">
      <c r="A241" s="5">
        <f t="shared" si="12"/>
        <v>237</v>
      </c>
      <c r="B241" s="23" t="s">
        <v>679</v>
      </c>
      <c r="C241" s="17" t="s">
        <v>680</v>
      </c>
      <c r="D241" s="4" t="s">
        <v>54</v>
      </c>
      <c r="E241" s="4" t="s">
        <v>64</v>
      </c>
      <c r="F241" s="4" t="s">
        <v>64</v>
      </c>
      <c r="G241" s="4" t="s">
        <v>134</v>
      </c>
      <c r="H241" s="4" t="s">
        <v>108</v>
      </c>
      <c r="I241" s="24" t="s">
        <v>131</v>
      </c>
      <c r="J241" s="15">
        <v>5</v>
      </c>
      <c r="K241" s="15">
        <v>3</v>
      </c>
      <c r="L241" s="15">
        <v>3</v>
      </c>
      <c r="M241" s="15">
        <v>3</v>
      </c>
      <c r="N241" s="15">
        <v>3</v>
      </c>
      <c r="O241" s="15">
        <v>4</v>
      </c>
      <c r="P241" s="15" t="s">
        <v>415</v>
      </c>
      <c r="Q241" s="23" t="s">
        <v>416</v>
      </c>
      <c r="R241" s="25">
        <f>ROUND((K241*Parametros!$B$4+L241*Parametros!$B$5+M241*Parametros!$B$6+N241*Parametros!$B$7+O241*Parametros!$B$8)/SUM(Parametros!$B$4:$B$8),2)</f>
        <v>3.15</v>
      </c>
      <c r="S241" s="26">
        <f>IFERROR(INDEX(Parametros!$F$33:$F$42,MATCH(D241,Parametros!$A$33:$A$42,0)),1)</f>
        <v>1.034</v>
      </c>
      <c r="T241" s="27">
        <f>IFERROR(INDEX(Parametros!$B$21:$B$26,MATCH(I241,Parametros!$A$21:$A$26,0)),0)</f>
        <v>0</v>
      </c>
      <c r="U241" s="28">
        <f t="shared" si="13"/>
        <v>3.26</v>
      </c>
      <c r="V241" s="9">
        <f>IF(U241&gt;=Parametros!$B$14,4,IF(U241&gt;=Parametros!$B$13,3,IF(U241&gt;=Parametros!$B$12,2,1)))</f>
        <v>2</v>
      </c>
      <c r="W241" s="5">
        <f>MAX(V241,IF(K241=5,Parametros!$B$17,0),IF(P241="Sim",Parametros!$B$18,0))</f>
        <v>2</v>
      </c>
      <c r="X241" s="5" t="str">
        <f t="shared" si="14"/>
        <v>Normal</v>
      </c>
      <c r="Y241" s="29">
        <f t="shared" si="15"/>
        <v>2032.0997589999999</v>
      </c>
      <c r="Z241" s="4" t="s">
        <v>322</v>
      </c>
    </row>
    <row r="242" spans="1:26" ht="28.05" customHeight="1" x14ac:dyDescent="0.3">
      <c r="A242" s="5">
        <f t="shared" si="12"/>
        <v>238</v>
      </c>
      <c r="B242" s="23" t="s">
        <v>681</v>
      </c>
      <c r="C242" s="17" t="s">
        <v>682</v>
      </c>
      <c r="D242" s="4" t="s">
        <v>50</v>
      </c>
      <c r="E242" s="4" t="s">
        <v>65</v>
      </c>
      <c r="F242" s="4" t="s">
        <v>65</v>
      </c>
      <c r="G242" s="4" t="s">
        <v>171</v>
      </c>
      <c r="H242" s="4" t="s">
        <v>172</v>
      </c>
      <c r="I242" s="24" t="s">
        <v>109</v>
      </c>
      <c r="J242" s="15">
        <v>3</v>
      </c>
      <c r="K242" s="15">
        <v>3</v>
      </c>
      <c r="L242" s="15">
        <v>3</v>
      </c>
      <c r="M242" s="15">
        <v>3</v>
      </c>
      <c r="N242" s="15">
        <v>2</v>
      </c>
      <c r="O242" s="15">
        <v>2</v>
      </c>
      <c r="P242" s="15" t="s">
        <v>415</v>
      </c>
      <c r="Q242" s="23" t="s">
        <v>416</v>
      </c>
      <c r="R242" s="25">
        <f>ROUND((K242*Parametros!$B$4+L242*Parametros!$B$5+M242*Parametros!$B$6+N242*Parametros!$B$7+O242*Parametros!$B$8)/SUM(Parametros!$B$4:$B$8),2)</f>
        <v>2.7</v>
      </c>
      <c r="S242" s="26">
        <f>IFERROR(INDEX(Parametros!$F$33:$F$42,MATCH(D242,Parametros!$A$33:$A$42,0)),1)</f>
        <v>1.0840000000000001</v>
      </c>
      <c r="T242" s="27">
        <f>IFERROR(INDEX(Parametros!$B$21:$B$26,MATCH(I242,Parametros!$A$21:$A$26,0)),0)</f>
        <v>0.3</v>
      </c>
      <c r="U242" s="28">
        <f t="shared" si="13"/>
        <v>3.23</v>
      </c>
      <c r="V242" s="9">
        <f>IF(U242&gt;=Parametros!$B$14,4,IF(U242&gt;=Parametros!$B$13,3,IF(U242&gt;=Parametros!$B$12,2,1)))</f>
        <v>2</v>
      </c>
      <c r="W242" s="5">
        <f>MAX(V242,IF(K242=5,Parametros!$B$17,0),IF(P242="Sim",Parametros!$B$18,0))</f>
        <v>2</v>
      </c>
      <c r="X242" s="5" t="str">
        <f t="shared" si="14"/>
        <v>Normal</v>
      </c>
      <c r="Y242" s="29">
        <f t="shared" si="15"/>
        <v>2031.9997579999999</v>
      </c>
      <c r="Z242" s="4" t="s">
        <v>348</v>
      </c>
    </row>
    <row r="243" spans="1:26" ht="28.05" customHeight="1" x14ac:dyDescent="0.3">
      <c r="A243" s="5">
        <f t="shared" si="12"/>
        <v>239</v>
      </c>
      <c r="B243" s="23" t="s">
        <v>683</v>
      </c>
      <c r="C243" s="17" t="s">
        <v>684</v>
      </c>
      <c r="D243" s="4" t="s">
        <v>55</v>
      </c>
      <c r="E243" s="4" t="s">
        <v>66</v>
      </c>
      <c r="F243" s="4" t="s">
        <v>66</v>
      </c>
      <c r="G243" s="4" t="s">
        <v>134</v>
      </c>
      <c r="H243" s="4" t="s">
        <v>108</v>
      </c>
      <c r="I243" s="24" t="s">
        <v>152</v>
      </c>
      <c r="J243" s="15">
        <v>2</v>
      </c>
      <c r="K243" s="15">
        <v>4</v>
      </c>
      <c r="L243" s="15">
        <v>4</v>
      </c>
      <c r="M243" s="15">
        <v>1</v>
      </c>
      <c r="N243" s="15">
        <v>3</v>
      </c>
      <c r="O243" s="15">
        <v>3</v>
      </c>
      <c r="P243" s="15" t="s">
        <v>415</v>
      </c>
      <c r="Q243" s="23" t="s">
        <v>416</v>
      </c>
      <c r="R243" s="25">
        <f>ROUND((K243*Parametros!$B$4+L243*Parametros!$B$5+M243*Parametros!$B$6+N243*Parametros!$B$7+O243*Parametros!$B$8)/SUM(Parametros!$B$4:$B$8),2)</f>
        <v>3.1</v>
      </c>
      <c r="S243" s="26">
        <f>IFERROR(INDEX(Parametros!$F$33:$F$42,MATCH(D243,Parametros!$A$33:$A$42,0)),1)</f>
        <v>1.034</v>
      </c>
      <c r="T243" s="27">
        <f>IFERROR(INDEX(Parametros!$B$21:$B$26,MATCH(I243,Parametros!$A$21:$A$26,0)),0)</f>
        <v>0</v>
      </c>
      <c r="U243" s="28">
        <f t="shared" si="13"/>
        <v>3.21</v>
      </c>
      <c r="V243" s="9">
        <f>IF(U243&gt;=Parametros!$B$14,4,IF(U243&gt;=Parametros!$B$13,3,IF(U243&gt;=Parametros!$B$12,2,1)))</f>
        <v>2</v>
      </c>
      <c r="W243" s="5">
        <f>MAX(V243,IF(K243=5,Parametros!$B$17,0),IF(P243="Sim",Parametros!$B$18,0))</f>
        <v>2</v>
      </c>
      <c r="X243" s="5" t="str">
        <f t="shared" si="14"/>
        <v>Normal</v>
      </c>
      <c r="Y243" s="29">
        <f t="shared" si="15"/>
        <v>2031.8997569999999</v>
      </c>
      <c r="Z243" s="4" t="s">
        <v>283</v>
      </c>
    </row>
    <row r="244" spans="1:26" ht="28.05" customHeight="1" x14ac:dyDescent="0.3">
      <c r="A244" s="5">
        <f t="shared" si="12"/>
        <v>240</v>
      </c>
      <c r="B244" s="23" t="s">
        <v>685</v>
      </c>
      <c r="C244" s="17" t="s">
        <v>686</v>
      </c>
      <c r="D244" s="4" t="s">
        <v>55</v>
      </c>
      <c r="E244" s="4" t="s">
        <v>79</v>
      </c>
      <c r="F244" s="4" t="s">
        <v>79</v>
      </c>
      <c r="G244" s="4" t="s">
        <v>112</v>
      </c>
      <c r="H244" s="4" t="s">
        <v>108</v>
      </c>
      <c r="I244" s="24" t="s">
        <v>122</v>
      </c>
      <c r="J244" s="15">
        <v>3</v>
      </c>
      <c r="K244" s="15">
        <v>4</v>
      </c>
      <c r="L244" s="15">
        <v>4</v>
      </c>
      <c r="M244" s="15">
        <v>1</v>
      </c>
      <c r="N244" s="15">
        <v>3</v>
      </c>
      <c r="O244" s="15">
        <v>3</v>
      </c>
      <c r="P244" s="15" t="s">
        <v>415</v>
      </c>
      <c r="Q244" s="23" t="s">
        <v>416</v>
      </c>
      <c r="R244" s="25">
        <f>ROUND((K244*Parametros!$B$4+L244*Parametros!$B$5+M244*Parametros!$B$6+N244*Parametros!$B$7+O244*Parametros!$B$8)/SUM(Parametros!$B$4:$B$8),2)</f>
        <v>3.1</v>
      </c>
      <c r="S244" s="26">
        <f>IFERROR(INDEX(Parametros!$F$33:$F$42,MATCH(D244,Parametros!$A$33:$A$42,0)),1)</f>
        <v>1.034</v>
      </c>
      <c r="T244" s="27">
        <f>IFERROR(INDEX(Parametros!$B$21:$B$26,MATCH(I244,Parametros!$A$21:$A$26,0)),0)</f>
        <v>0</v>
      </c>
      <c r="U244" s="28">
        <f t="shared" si="13"/>
        <v>3.21</v>
      </c>
      <c r="V244" s="9">
        <f>IF(U244&gt;=Parametros!$B$14,4,IF(U244&gt;=Parametros!$B$13,3,IF(U244&gt;=Parametros!$B$12,2,1)))</f>
        <v>2</v>
      </c>
      <c r="W244" s="5">
        <f>MAX(V244,IF(K244=5,Parametros!$B$17,0),IF(P244="Sim",Parametros!$B$18,0))</f>
        <v>2</v>
      </c>
      <c r="X244" s="5" t="str">
        <f t="shared" si="14"/>
        <v>Normal</v>
      </c>
      <c r="Y244" s="29">
        <f t="shared" si="15"/>
        <v>2031.7997559999999</v>
      </c>
      <c r="Z244" s="4" t="s">
        <v>283</v>
      </c>
    </row>
    <row r="245" spans="1:26" ht="28.05" customHeight="1" x14ac:dyDescent="0.3">
      <c r="A245" s="5">
        <f t="shared" si="12"/>
        <v>241</v>
      </c>
      <c r="B245" s="23" t="s">
        <v>687</v>
      </c>
      <c r="C245" s="17" t="s">
        <v>688</v>
      </c>
      <c r="D245" s="4" t="s">
        <v>53</v>
      </c>
      <c r="E245" s="4" t="s">
        <v>77</v>
      </c>
      <c r="F245" s="4" t="s">
        <v>77</v>
      </c>
      <c r="G245" s="4" t="s">
        <v>171</v>
      </c>
      <c r="H245" s="4" t="s">
        <v>172</v>
      </c>
      <c r="I245" s="24" t="s">
        <v>152</v>
      </c>
      <c r="J245" s="15">
        <v>3</v>
      </c>
      <c r="K245" s="15">
        <v>3</v>
      </c>
      <c r="L245" s="15">
        <v>5</v>
      </c>
      <c r="M245" s="15">
        <v>2</v>
      </c>
      <c r="N245" s="15">
        <v>2</v>
      </c>
      <c r="O245" s="15">
        <v>3</v>
      </c>
      <c r="P245" s="15" t="s">
        <v>415</v>
      </c>
      <c r="Q245" s="23" t="s">
        <v>416</v>
      </c>
      <c r="R245" s="25">
        <f>ROUND((K245*Parametros!$B$4+L245*Parametros!$B$5+M245*Parametros!$B$6+N245*Parametros!$B$7+O245*Parametros!$B$8)/SUM(Parametros!$B$4:$B$8),2)</f>
        <v>3.05</v>
      </c>
      <c r="S245" s="26">
        <f>IFERROR(INDEX(Parametros!$F$33:$F$42,MATCH(D245,Parametros!$A$33:$A$42,0)),1)</f>
        <v>1.05</v>
      </c>
      <c r="T245" s="27">
        <f>IFERROR(INDEX(Parametros!$B$21:$B$26,MATCH(I245,Parametros!$A$21:$A$26,0)),0)</f>
        <v>0</v>
      </c>
      <c r="U245" s="28">
        <f t="shared" si="13"/>
        <v>3.2</v>
      </c>
      <c r="V245" s="9">
        <f>IF(U245&gt;=Parametros!$B$14,4,IF(U245&gt;=Parametros!$B$13,3,IF(U245&gt;=Parametros!$B$12,2,1)))</f>
        <v>2</v>
      </c>
      <c r="W245" s="5">
        <f>MAX(V245,IF(K245=5,Parametros!$B$17,0),IF(P245="Sim",Parametros!$B$18,0))</f>
        <v>2</v>
      </c>
      <c r="X245" s="5" t="str">
        <f t="shared" si="14"/>
        <v>Normal</v>
      </c>
      <c r="Y245" s="29">
        <f t="shared" si="15"/>
        <v>2031.6997550000001</v>
      </c>
      <c r="Z245" s="4" t="s">
        <v>286</v>
      </c>
    </row>
    <row r="246" spans="1:26" ht="28.05" customHeight="1" x14ac:dyDescent="0.3">
      <c r="A246" s="5">
        <f t="shared" si="12"/>
        <v>242</v>
      </c>
      <c r="B246" s="23" t="s">
        <v>689</v>
      </c>
      <c r="C246" s="17" t="s">
        <v>690</v>
      </c>
      <c r="D246" s="4" t="s">
        <v>50</v>
      </c>
      <c r="E246" s="4" t="s">
        <v>65</v>
      </c>
      <c r="F246" s="4" t="s">
        <v>65</v>
      </c>
      <c r="G246" s="4" t="s">
        <v>171</v>
      </c>
      <c r="H246" s="4" t="s">
        <v>172</v>
      </c>
      <c r="I246" s="24" t="s">
        <v>152</v>
      </c>
      <c r="J246" s="15">
        <v>3</v>
      </c>
      <c r="K246" s="15">
        <v>3</v>
      </c>
      <c r="L246" s="15">
        <v>2</v>
      </c>
      <c r="M246" s="15">
        <v>3</v>
      </c>
      <c r="N246" s="15">
        <v>5</v>
      </c>
      <c r="O246" s="15">
        <v>2</v>
      </c>
      <c r="P246" s="15" t="s">
        <v>415</v>
      </c>
      <c r="Q246" s="23" t="s">
        <v>416</v>
      </c>
      <c r="R246" s="25">
        <f>ROUND((K246*Parametros!$B$4+L246*Parametros!$B$5+M246*Parametros!$B$6+N246*Parametros!$B$7+O246*Parametros!$B$8)/SUM(Parametros!$B$4:$B$8),2)</f>
        <v>2.95</v>
      </c>
      <c r="S246" s="26">
        <f>IFERROR(INDEX(Parametros!$F$33:$F$42,MATCH(D246,Parametros!$A$33:$A$42,0)),1)</f>
        <v>1.0840000000000001</v>
      </c>
      <c r="T246" s="27">
        <f>IFERROR(INDEX(Parametros!$B$21:$B$26,MATCH(I246,Parametros!$A$21:$A$26,0)),0)</f>
        <v>0</v>
      </c>
      <c r="U246" s="28">
        <f t="shared" si="13"/>
        <v>3.2</v>
      </c>
      <c r="V246" s="9">
        <f>IF(U246&gt;=Parametros!$B$14,4,IF(U246&gt;=Parametros!$B$13,3,IF(U246&gt;=Parametros!$B$12,2,1)))</f>
        <v>2</v>
      </c>
      <c r="W246" s="5">
        <f>MAX(V246,IF(K246=5,Parametros!$B$17,0),IF(P246="Sim",Parametros!$B$18,0))</f>
        <v>2</v>
      </c>
      <c r="X246" s="5" t="str">
        <f t="shared" si="14"/>
        <v>Normal</v>
      </c>
      <c r="Y246" s="29">
        <f t="shared" si="15"/>
        <v>2031.699754</v>
      </c>
      <c r="Z246" s="4" t="s">
        <v>656</v>
      </c>
    </row>
    <row r="247" spans="1:26" ht="28.05" customHeight="1" x14ac:dyDescent="0.3">
      <c r="A247" s="5">
        <f t="shared" si="12"/>
        <v>243</v>
      </c>
      <c r="B247" s="23" t="s">
        <v>691</v>
      </c>
      <c r="C247" s="17" t="s">
        <v>692</v>
      </c>
      <c r="D247" s="4" t="s">
        <v>50</v>
      </c>
      <c r="E247" s="4" t="s">
        <v>65</v>
      </c>
      <c r="F247" s="4" t="s">
        <v>65</v>
      </c>
      <c r="G247" s="4" t="s">
        <v>171</v>
      </c>
      <c r="H247" s="4" t="s">
        <v>172</v>
      </c>
      <c r="I247" s="24" t="s">
        <v>152</v>
      </c>
      <c r="J247" s="15">
        <v>3</v>
      </c>
      <c r="K247" s="15">
        <v>3</v>
      </c>
      <c r="L247" s="15">
        <v>2</v>
      </c>
      <c r="M247" s="15">
        <v>3</v>
      </c>
      <c r="N247" s="15">
        <v>5</v>
      </c>
      <c r="O247" s="15">
        <v>2</v>
      </c>
      <c r="P247" s="15" t="s">
        <v>415</v>
      </c>
      <c r="Q247" s="23" t="s">
        <v>416</v>
      </c>
      <c r="R247" s="25">
        <f>ROUND((K247*Parametros!$B$4+L247*Parametros!$B$5+M247*Parametros!$B$6+N247*Parametros!$B$7+O247*Parametros!$B$8)/SUM(Parametros!$B$4:$B$8),2)</f>
        <v>2.95</v>
      </c>
      <c r="S247" s="26">
        <f>IFERROR(INDEX(Parametros!$F$33:$F$42,MATCH(D247,Parametros!$A$33:$A$42,0)),1)</f>
        <v>1.0840000000000001</v>
      </c>
      <c r="T247" s="27">
        <f>IFERROR(INDEX(Parametros!$B$21:$B$26,MATCH(I247,Parametros!$A$21:$A$26,0)),0)</f>
        <v>0</v>
      </c>
      <c r="U247" s="28">
        <f t="shared" si="13"/>
        <v>3.2</v>
      </c>
      <c r="V247" s="9">
        <f>IF(U247&gt;=Parametros!$B$14,4,IF(U247&gt;=Parametros!$B$13,3,IF(U247&gt;=Parametros!$B$12,2,1)))</f>
        <v>2</v>
      </c>
      <c r="W247" s="5">
        <f>MAX(V247,IF(K247=5,Parametros!$B$17,0),IF(P247="Sim",Parametros!$B$18,0))</f>
        <v>2</v>
      </c>
      <c r="X247" s="5" t="str">
        <f t="shared" si="14"/>
        <v>Normal</v>
      </c>
      <c r="Y247" s="29">
        <f t="shared" si="15"/>
        <v>2031.6997530000001</v>
      </c>
      <c r="Z247" s="4" t="s">
        <v>656</v>
      </c>
    </row>
    <row r="248" spans="1:26" ht="28.05" customHeight="1" x14ac:dyDescent="0.3">
      <c r="A248" s="5">
        <f t="shared" si="12"/>
        <v>244</v>
      </c>
      <c r="B248" s="23" t="s">
        <v>693</v>
      </c>
      <c r="C248" s="17" t="s">
        <v>694</v>
      </c>
      <c r="D248" s="4" t="s">
        <v>52</v>
      </c>
      <c r="E248" s="4" t="s">
        <v>66</v>
      </c>
      <c r="F248" s="4" t="s">
        <v>66</v>
      </c>
      <c r="G248" s="4" t="s">
        <v>171</v>
      </c>
      <c r="H248" s="4" t="s">
        <v>172</v>
      </c>
      <c r="I248" s="24" t="s">
        <v>152</v>
      </c>
      <c r="J248" s="15">
        <v>3</v>
      </c>
      <c r="K248" s="15">
        <v>3</v>
      </c>
      <c r="L248" s="15">
        <v>4</v>
      </c>
      <c r="M248" s="15">
        <v>3</v>
      </c>
      <c r="N248" s="15">
        <v>1</v>
      </c>
      <c r="O248" s="15">
        <v>4</v>
      </c>
      <c r="P248" s="15" t="s">
        <v>415</v>
      </c>
      <c r="Q248" s="23" t="s">
        <v>416</v>
      </c>
      <c r="R248" s="25">
        <f>ROUND((K248*Parametros!$B$4+L248*Parametros!$B$5+M248*Parametros!$B$6+N248*Parametros!$B$7+O248*Parametros!$B$8)/SUM(Parametros!$B$4:$B$8),2)</f>
        <v>3.05</v>
      </c>
      <c r="S248" s="26">
        <f>IFERROR(INDEX(Parametros!$F$33:$F$42,MATCH(D248,Parametros!$A$33:$A$42,0)),1)</f>
        <v>1.05</v>
      </c>
      <c r="T248" s="27">
        <f>IFERROR(INDEX(Parametros!$B$21:$B$26,MATCH(I248,Parametros!$A$21:$A$26,0)),0)</f>
        <v>0</v>
      </c>
      <c r="U248" s="28">
        <f t="shared" si="13"/>
        <v>3.2</v>
      </c>
      <c r="V248" s="9">
        <f>IF(U248&gt;=Parametros!$B$14,4,IF(U248&gt;=Parametros!$B$13,3,IF(U248&gt;=Parametros!$B$12,2,1)))</f>
        <v>2</v>
      </c>
      <c r="W248" s="5">
        <f>MAX(V248,IF(K248=5,Parametros!$B$17,0),IF(P248="Sim",Parametros!$B$18,0))</f>
        <v>2</v>
      </c>
      <c r="X248" s="5" t="str">
        <f t="shared" si="14"/>
        <v>Normal</v>
      </c>
      <c r="Y248" s="29">
        <f t="shared" si="15"/>
        <v>2031.699752</v>
      </c>
      <c r="Z248" s="4" t="s">
        <v>320</v>
      </c>
    </row>
    <row r="249" spans="1:26" ht="28.05" customHeight="1" x14ac:dyDescent="0.3">
      <c r="A249" s="5">
        <f t="shared" si="12"/>
        <v>245</v>
      </c>
      <c r="B249" s="23" t="s">
        <v>695</v>
      </c>
      <c r="C249" s="17" t="s">
        <v>671</v>
      </c>
      <c r="D249" s="4" t="s">
        <v>56</v>
      </c>
      <c r="E249" s="4" t="s">
        <v>64</v>
      </c>
      <c r="F249" s="4" t="s">
        <v>64</v>
      </c>
      <c r="G249" s="4" t="s">
        <v>134</v>
      </c>
      <c r="H249" s="4" t="s">
        <v>108</v>
      </c>
      <c r="I249" s="24" t="s">
        <v>131</v>
      </c>
      <c r="J249" s="15">
        <v>4</v>
      </c>
      <c r="K249" s="15">
        <v>3</v>
      </c>
      <c r="L249" s="15">
        <v>4</v>
      </c>
      <c r="M249" s="15">
        <v>2</v>
      </c>
      <c r="N249" s="15">
        <v>2</v>
      </c>
      <c r="O249" s="15">
        <v>5</v>
      </c>
      <c r="P249" s="15" t="s">
        <v>415</v>
      </c>
      <c r="Q249" s="23" t="s">
        <v>416</v>
      </c>
      <c r="R249" s="25">
        <f>ROUND((K249*Parametros!$B$4+L249*Parametros!$B$5+M249*Parametros!$B$6+N249*Parametros!$B$7+O249*Parametros!$B$8)/SUM(Parametros!$B$4:$B$8),2)</f>
        <v>3.15</v>
      </c>
      <c r="S249" s="26">
        <f>IFERROR(INDEX(Parametros!$F$33:$F$42,MATCH(D249,Parametros!$A$33:$A$42,0)),1)</f>
        <v>1.0169999999999999</v>
      </c>
      <c r="T249" s="27">
        <f>IFERROR(INDEX(Parametros!$B$21:$B$26,MATCH(I249,Parametros!$A$21:$A$26,0)),0)</f>
        <v>0</v>
      </c>
      <c r="U249" s="28">
        <f t="shared" si="13"/>
        <v>3.2</v>
      </c>
      <c r="V249" s="9">
        <f>IF(U249&gt;=Parametros!$B$14,4,IF(U249&gt;=Parametros!$B$13,3,IF(U249&gt;=Parametros!$B$12,2,1)))</f>
        <v>2</v>
      </c>
      <c r="W249" s="5">
        <f>MAX(V249,IF(K249=5,Parametros!$B$17,0),IF(P249="Sim",Parametros!$B$18,0))</f>
        <v>2</v>
      </c>
      <c r="X249" s="5" t="str">
        <f t="shared" si="14"/>
        <v>Normal</v>
      </c>
      <c r="Y249" s="29">
        <f t="shared" si="15"/>
        <v>2031.599751</v>
      </c>
      <c r="Z249" s="4" t="s">
        <v>672</v>
      </c>
    </row>
    <row r="250" spans="1:26" ht="28.05" customHeight="1" x14ac:dyDescent="0.3">
      <c r="A250" s="5">
        <f t="shared" si="12"/>
        <v>246</v>
      </c>
      <c r="B250" s="23" t="s">
        <v>696</v>
      </c>
      <c r="C250" s="17" t="s">
        <v>697</v>
      </c>
      <c r="D250" s="4" t="s">
        <v>52</v>
      </c>
      <c r="E250" s="4" t="s">
        <v>69</v>
      </c>
      <c r="F250" s="4" t="s">
        <v>427</v>
      </c>
      <c r="G250" s="4" t="s">
        <v>171</v>
      </c>
      <c r="H250" s="4" t="s">
        <v>172</v>
      </c>
      <c r="I250" s="24" t="s">
        <v>152</v>
      </c>
      <c r="J250" s="15">
        <v>1</v>
      </c>
      <c r="K250" s="15">
        <v>3</v>
      </c>
      <c r="L250" s="15">
        <v>3</v>
      </c>
      <c r="M250" s="15">
        <v>3</v>
      </c>
      <c r="N250" s="15">
        <v>4</v>
      </c>
      <c r="O250" s="15">
        <v>2</v>
      </c>
      <c r="P250" s="15" t="s">
        <v>415</v>
      </c>
      <c r="Q250" s="23" t="s">
        <v>416</v>
      </c>
      <c r="R250" s="25">
        <f>ROUND((K250*Parametros!$B$4+L250*Parametros!$B$5+M250*Parametros!$B$6+N250*Parametros!$B$7+O250*Parametros!$B$8)/SUM(Parametros!$B$4:$B$8),2)</f>
        <v>3</v>
      </c>
      <c r="S250" s="26">
        <f>IFERROR(INDEX(Parametros!$F$33:$F$42,MATCH(D250,Parametros!$A$33:$A$42,0)),1)</f>
        <v>1.05</v>
      </c>
      <c r="T250" s="27">
        <f>IFERROR(INDEX(Parametros!$B$21:$B$26,MATCH(I250,Parametros!$A$21:$A$26,0)),0)</f>
        <v>0</v>
      </c>
      <c r="U250" s="28">
        <f t="shared" si="13"/>
        <v>3.15</v>
      </c>
      <c r="V250" s="9">
        <f>IF(U250&gt;=Parametros!$B$14,4,IF(U250&gt;=Parametros!$B$13,3,IF(U250&gt;=Parametros!$B$12,2,1)))</f>
        <v>2</v>
      </c>
      <c r="W250" s="5">
        <f>MAX(V250,IF(K250=5,Parametros!$B$17,0),IF(P250="Sim",Parametros!$B$18,0))</f>
        <v>2</v>
      </c>
      <c r="X250" s="5" t="str">
        <f t="shared" si="14"/>
        <v>Normal</v>
      </c>
      <c r="Y250" s="29">
        <f t="shared" si="15"/>
        <v>2031.39975</v>
      </c>
      <c r="Z250" s="4" t="s">
        <v>653</v>
      </c>
    </row>
    <row r="251" spans="1:26" ht="28.05" customHeight="1" x14ac:dyDescent="0.3">
      <c r="A251" s="5">
        <f t="shared" si="12"/>
        <v>247</v>
      </c>
      <c r="B251" s="23" t="s">
        <v>698</v>
      </c>
      <c r="C251" s="17" t="s">
        <v>684</v>
      </c>
      <c r="D251" s="4" t="s">
        <v>56</v>
      </c>
      <c r="E251" s="4" t="s">
        <v>66</v>
      </c>
      <c r="F251" s="4" t="s">
        <v>66</v>
      </c>
      <c r="G251" s="4" t="s">
        <v>134</v>
      </c>
      <c r="H251" s="4" t="s">
        <v>108</v>
      </c>
      <c r="I251" s="24" t="s">
        <v>152</v>
      </c>
      <c r="J251" s="15">
        <v>2</v>
      </c>
      <c r="K251" s="15">
        <v>4</v>
      </c>
      <c r="L251" s="15">
        <v>4</v>
      </c>
      <c r="M251" s="15">
        <v>1</v>
      </c>
      <c r="N251" s="15">
        <v>3</v>
      </c>
      <c r="O251" s="15">
        <v>3</v>
      </c>
      <c r="P251" s="15" t="s">
        <v>415</v>
      </c>
      <c r="Q251" s="23" t="s">
        <v>416</v>
      </c>
      <c r="R251" s="25">
        <f>ROUND((K251*Parametros!$B$4+L251*Parametros!$B$5+M251*Parametros!$B$6+N251*Parametros!$B$7+O251*Parametros!$B$8)/SUM(Parametros!$B$4:$B$8),2)</f>
        <v>3.1</v>
      </c>
      <c r="S251" s="26">
        <f>IFERROR(INDEX(Parametros!$F$33:$F$42,MATCH(D251,Parametros!$A$33:$A$42,0)),1)</f>
        <v>1.0169999999999999</v>
      </c>
      <c r="T251" s="27">
        <f>IFERROR(INDEX(Parametros!$B$21:$B$26,MATCH(I251,Parametros!$A$21:$A$26,0)),0)</f>
        <v>0</v>
      </c>
      <c r="U251" s="28">
        <f t="shared" si="13"/>
        <v>3.15</v>
      </c>
      <c r="V251" s="9">
        <f>IF(U251&gt;=Parametros!$B$14,4,IF(U251&gt;=Parametros!$B$13,3,IF(U251&gt;=Parametros!$B$12,2,1)))</f>
        <v>2</v>
      </c>
      <c r="W251" s="5">
        <f>MAX(V251,IF(K251=5,Parametros!$B$17,0),IF(P251="Sim",Parametros!$B$18,0))</f>
        <v>2</v>
      </c>
      <c r="X251" s="5" t="str">
        <f t="shared" si="14"/>
        <v>Normal</v>
      </c>
      <c r="Y251" s="29">
        <f t="shared" si="15"/>
        <v>2031.299749</v>
      </c>
      <c r="Z251" s="4" t="s">
        <v>283</v>
      </c>
    </row>
    <row r="252" spans="1:26" ht="28.05" customHeight="1" x14ac:dyDescent="0.3">
      <c r="A252" s="5">
        <f t="shared" si="12"/>
        <v>248</v>
      </c>
      <c r="B252" s="23" t="s">
        <v>699</v>
      </c>
      <c r="C252" s="17" t="s">
        <v>700</v>
      </c>
      <c r="D252" s="4" t="s">
        <v>54</v>
      </c>
      <c r="E252" s="4" t="s">
        <v>345</v>
      </c>
      <c r="F252" s="4" t="s">
        <v>345</v>
      </c>
      <c r="G252" s="4" t="s">
        <v>134</v>
      </c>
      <c r="H252" s="4" t="s">
        <v>108</v>
      </c>
      <c r="I252" s="24" t="s">
        <v>152</v>
      </c>
      <c r="J252" s="15">
        <v>2</v>
      </c>
      <c r="K252" s="15">
        <v>3</v>
      </c>
      <c r="L252" s="15">
        <v>4</v>
      </c>
      <c r="M252" s="15">
        <v>3</v>
      </c>
      <c r="N252" s="15">
        <v>2</v>
      </c>
      <c r="O252" s="15">
        <v>3</v>
      </c>
      <c r="P252" s="15" t="s">
        <v>415</v>
      </c>
      <c r="Q252" s="23" t="s">
        <v>416</v>
      </c>
      <c r="R252" s="25">
        <f>ROUND((K252*Parametros!$B$4+L252*Parametros!$B$5+M252*Parametros!$B$6+N252*Parametros!$B$7+O252*Parametros!$B$8)/SUM(Parametros!$B$4:$B$8),2)</f>
        <v>3.05</v>
      </c>
      <c r="S252" s="26">
        <f>IFERROR(INDEX(Parametros!$F$33:$F$42,MATCH(D252,Parametros!$A$33:$A$42,0)),1)</f>
        <v>1.034</v>
      </c>
      <c r="T252" s="27">
        <f>IFERROR(INDEX(Parametros!$B$21:$B$26,MATCH(I252,Parametros!$A$21:$A$26,0)),0)</f>
        <v>0</v>
      </c>
      <c r="U252" s="28">
        <f t="shared" si="13"/>
        <v>3.15</v>
      </c>
      <c r="V252" s="9">
        <f>IF(U252&gt;=Parametros!$B$14,4,IF(U252&gt;=Parametros!$B$13,3,IF(U252&gt;=Parametros!$B$12,2,1)))</f>
        <v>2</v>
      </c>
      <c r="W252" s="5">
        <f>MAX(V252,IF(K252=5,Parametros!$B$17,0),IF(P252="Sim",Parametros!$B$18,0))</f>
        <v>2</v>
      </c>
      <c r="X252" s="5" t="str">
        <f t="shared" si="14"/>
        <v>Normal</v>
      </c>
      <c r="Y252" s="29">
        <f t="shared" si="15"/>
        <v>2031.2997479999999</v>
      </c>
      <c r="Z252" s="4" t="s">
        <v>309</v>
      </c>
    </row>
    <row r="253" spans="1:26" ht="28.05" customHeight="1" x14ac:dyDescent="0.3">
      <c r="A253" s="5">
        <f t="shared" si="12"/>
        <v>249</v>
      </c>
      <c r="B253" s="23" t="s">
        <v>701</v>
      </c>
      <c r="C253" s="17" t="s">
        <v>686</v>
      </c>
      <c r="D253" s="4" t="s">
        <v>56</v>
      </c>
      <c r="E253" s="4" t="s">
        <v>71</v>
      </c>
      <c r="F253" s="4" t="s">
        <v>71</v>
      </c>
      <c r="G253" s="4" t="s">
        <v>112</v>
      </c>
      <c r="H253" s="4" t="s">
        <v>108</v>
      </c>
      <c r="I253" s="24" t="s">
        <v>122</v>
      </c>
      <c r="J253" s="15">
        <v>3</v>
      </c>
      <c r="K253" s="15">
        <v>4</v>
      </c>
      <c r="L253" s="15">
        <v>4</v>
      </c>
      <c r="M253" s="15">
        <v>1</v>
      </c>
      <c r="N253" s="15">
        <v>3</v>
      </c>
      <c r="O253" s="15">
        <v>3</v>
      </c>
      <c r="P253" s="15" t="s">
        <v>415</v>
      </c>
      <c r="Q253" s="23" t="s">
        <v>416</v>
      </c>
      <c r="R253" s="25">
        <f>ROUND((K253*Parametros!$B$4+L253*Parametros!$B$5+M253*Parametros!$B$6+N253*Parametros!$B$7+O253*Parametros!$B$8)/SUM(Parametros!$B$4:$B$8),2)</f>
        <v>3.1</v>
      </c>
      <c r="S253" s="26">
        <f>IFERROR(INDEX(Parametros!$F$33:$F$42,MATCH(D253,Parametros!$A$33:$A$42,0)),1)</f>
        <v>1.0169999999999999</v>
      </c>
      <c r="T253" s="27">
        <f>IFERROR(INDEX(Parametros!$B$21:$B$26,MATCH(I253,Parametros!$A$21:$A$26,0)),0)</f>
        <v>0</v>
      </c>
      <c r="U253" s="28">
        <f t="shared" si="13"/>
        <v>3.15</v>
      </c>
      <c r="V253" s="9">
        <f>IF(U253&gt;=Parametros!$B$14,4,IF(U253&gt;=Parametros!$B$13,3,IF(U253&gt;=Parametros!$B$12,2,1)))</f>
        <v>2</v>
      </c>
      <c r="W253" s="5">
        <f>MAX(V253,IF(K253=5,Parametros!$B$17,0),IF(P253="Sim",Parametros!$B$18,0))</f>
        <v>2</v>
      </c>
      <c r="X253" s="5" t="str">
        <f t="shared" si="14"/>
        <v>Normal</v>
      </c>
      <c r="Y253" s="29">
        <f t="shared" si="15"/>
        <v>2031.1997470000001</v>
      </c>
      <c r="Z253" s="4" t="s">
        <v>283</v>
      </c>
    </row>
    <row r="254" spans="1:26" ht="28.05" customHeight="1" x14ac:dyDescent="0.3">
      <c r="A254" s="5">
        <f t="shared" si="12"/>
        <v>250</v>
      </c>
      <c r="B254" s="23" t="s">
        <v>702</v>
      </c>
      <c r="C254" s="17" t="s">
        <v>703</v>
      </c>
      <c r="D254" s="4" t="s">
        <v>49</v>
      </c>
      <c r="E254" s="4" t="s">
        <v>81</v>
      </c>
      <c r="F254" s="4" t="s">
        <v>81</v>
      </c>
      <c r="G254" s="4" t="s">
        <v>171</v>
      </c>
      <c r="H254" s="4" t="s">
        <v>172</v>
      </c>
      <c r="I254" s="24" t="s">
        <v>152</v>
      </c>
      <c r="J254" s="15">
        <v>2</v>
      </c>
      <c r="K254" s="15">
        <v>3</v>
      </c>
      <c r="L254" s="15">
        <v>4</v>
      </c>
      <c r="M254" s="15">
        <v>2</v>
      </c>
      <c r="N254" s="15">
        <v>2</v>
      </c>
      <c r="O254" s="15">
        <v>3</v>
      </c>
      <c r="P254" s="15" t="s">
        <v>415</v>
      </c>
      <c r="Q254" s="23" t="s">
        <v>416</v>
      </c>
      <c r="R254" s="25">
        <f>ROUND((K254*Parametros!$B$4+L254*Parametros!$B$5+M254*Parametros!$B$6+N254*Parametros!$B$7+O254*Parametros!$B$8)/SUM(Parametros!$B$4:$B$8),2)</f>
        <v>2.85</v>
      </c>
      <c r="S254" s="26">
        <f>IFERROR(INDEX(Parametros!$F$33:$F$42,MATCH(D254,Parametros!$A$33:$A$42,0)),1)</f>
        <v>1.1000000000000001</v>
      </c>
      <c r="T254" s="27">
        <f>IFERROR(INDEX(Parametros!$B$21:$B$26,MATCH(I254,Parametros!$A$21:$A$26,0)),0)</f>
        <v>0</v>
      </c>
      <c r="U254" s="28">
        <f t="shared" si="13"/>
        <v>3.14</v>
      </c>
      <c r="V254" s="9">
        <f>IF(U254&gt;=Parametros!$B$14,4,IF(U254&gt;=Parametros!$B$13,3,IF(U254&gt;=Parametros!$B$12,2,1)))</f>
        <v>2</v>
      </c>
      <c r="W254" s="5">
        <f>MAX(V254,IF(K254=5,Parametros!$B$17,0),IF(P254="Sim",Parametros!$B$18,0))</f>
        <v>2</v>
      </c>
      <c r="X254" s="5" t="str">
        <f t="shared" si="14"/>
        <v>Normal</v>
      </c>
      <c r="Y254" s="29">
        <f t="shared" si="15"/>
        <v>2031.199746</v>
      </c>
      <c r="Z254" s="4" t="s">
        <v>309</v>
      </c>
    </row>
    <row r="255" spans="1:26" ht="28.05" customHeight="1" x14ac:dyDescent="0.3">
      <c r="A255" s="5">
        <f t="shared" si="12"/>
        <v>251</v>
      </c>
      <c r="B255" s="23" t="s">
        <v>704</v>
      </c>
      <c r="C255" s="17" t="s">
        <v>705</v>
      </c>
      <c r="D255" s="4" t="s">
        <v>52</v>
      </c>
      <c r="E255" s="4" t="s">
        <v>65</v>
      </c>
      <c r="F255" s="4" t="s">
        <v>65</v>
      </c>
      <c r="G255" s="4" t="s">
        <v>171</v>
      </c>
      <c r="H255" s="4" t="s">
        <v>172</v>
      </c>
      <c r="I255" s="24" t="s">
        <v>109</v>
      </c>
      <c r="J255" s="15">
        <v>2</v>
      </c>
      <c r="K255" s="15">
        <v>3</v>
      </c>
      <c r="L255" s="15">
        <v>3</v>
      </c>
      <c r="M255" s="15">
        <v>3</v>
      </c>
      <c r="N255" s="15">
        <v>2</v>
      </c>
      <c r="O255" s="15">
        <v>2</v>
      </c>
      <c r="P255" s="15" t="s">
        <v>415</v>
      </c>
      <c r="Q255" s="23" t="s">
        <v>416</v>
      </c>
      <c r="R255" s="25">
        <f>ROUND((K255*Parametros!$B$4+L255*Parametros!$B$5+M255*Parametros!$B$6+N255*Parametros!$B$7+O255*Parametros!$B$8)/SUM(Parametros!$B$4:$B$8),2)</f>
        <v>2.7</v>
      </c>
      <c r="S255" s="26">
        <f>IFERROR(INDEX(Parametros!$F$33:$F$42,MATCH(D255,Parametros!$A$33:$A$42,0)),1)</f>
        <v>1.05</v>
      </c>
      <c r="T255" s="27">
        <f>IFERROR(INDEX(Parametros!$B$21:$B$26,MATCH(I255,Parametros!$A$21:$A$26,0)),0)</f>
        <v>0.3</v>
      </c>
      <c r="U255" s="28">
        <f t="shared" si="13"/>
        <v>3.14</v>
      </c>
      <c r="V255" s="9">
        <f>IF(U255&gt;=Parametros!$B$14,4,IF(U255&gt;=Parametros!$B$13,3,IF(U255&gt;=Parametros!$B$12,2,1)))</f>
        <v>2</v>
      </c>
      <c r="W255" s="5">
        <f>MAX(V255,IF(K255=5,Parametros!$B$17,0),IF(P255="Sim",Parametros!$B$18,0))</f>
        <v>2</v>
      </c>
      <c r="X255" s="5" t="str">
        <f t="shared" si="14"/>
        <v>Normal</v>
      </c>
      <c r="Y255" s="29">
        <f t="shared" si="15"/>
        <v>2031.1997450000001</v>
      </c>
      <c r="Z255" s="4" t="s">
        <v>348</v>
      </c>
    </row>
    <row r="256" spans="1:26" ht="28.05" customHeight="1" x14ac:dyDescent="0.3">
      <c r="A256" s="5">
        <f t="shared" si="12"/>
        <v>252</v>
      </c>
      <c r="B256" s="23" t="s">
        <v>706</v>
      </c>
      <c r="C256" s="17" t="s">
        <v>707</v>
      </c>
      <c r="D256" s="4" t="s">
        <v>50</v>
      </c>
      <c r="E256" s="4" t="s">
        <v>75</v>
      </c>
      <c r="F256" s="4" t="s">
        <v>75</v>
      </c>
      <c r="G256" s="4" t="s">
        <v>171</v>
      </c>
      <c r="H256" s="4" t="s">
        <v>172</v>
      </c>
      <c r="I256" s="24" t="s">
        <v>152</v>
      </c>
      <c r="J256" s="15">
        <v>2</v>
      </c>
      <c r="K256" s="15">
        <v>2</v>
      </c>
      <c r="L256" s="15">
        <v>3</v>
      </c>
      <c r="M256" s="15">
        <v>4</v>
      </c>
      <c r="N256" s="15">
        <v>3</v>
      </c>
      <c r="O256" s="15">
        <v>3</v>
      </c>
      <c r="P256" s="15" t="s">
        <v>415</v>
      </c>
      <c r="Q256" s="23" t="s">
        <v>416</v>
      </c>
      <c r="R256" s="25">
        <f>ROUND((K256*Parametros!$B$4+L256*Parametros!$B$5+M256*Parametros!$B$6+N256*Parametros!$B$7+O256*Parametros!$B$8)/SUM(Parametros!$B$4:$B$8),2)</f>
        <v>2.9</v>
      </c>
      <c r="S256" s="26">
        <f>IFERROR(INDEX(Parametros!$F$33:$F$42,MATCH(D256,Parametros!$A$33:$A$42,0)),1)</f>
        <v>1.0840000000000001</v>
      </c>
      <c r="T256" s="27">
        <f>IFERROR(INDEX(Parametros!$B$21:$B$26,MATCH(I256,Parametros!$A$21:$A$26,0)),0)</f>
        <v>0</v>
      </c>
      <c r="U256" s="28">
        <f t="shared" si="13"/>
        <v>3.14</v>
      </c>
      <c r="V256" s="9">
        <f>IF(U256&gt;=Parametros!$B$14,4,IF(U256&gt;=Parametros!$B$13,3,IF(U256&gt;=Parametros!$B$12,2,1)))</f>
        <v>2</v>
      </c>
      <c r="W256" s="5">
        <f>MAX(V256,IF(K256=5,Parametros!$B$17,0),IF(P256="Sim",Parametros!$B$18,0))</f>
        <v>2</v>
      </c>
      <c r="X256" s="5" t="str">
        <f t="shared" si="14"/>
        <v>Normal</v>
      </c>
      <c r="Y256" s="29">
        <f t="shared" si="15"/>
        <v>2031.199744</v>
      </c>
      <c r="Z256" s="4" t="s">
        <v>289</v>
      </c>
    </row>
    <row r="257" spans="1:26" ht="28.05" customHeight="1" x14ac:dyDescent="0.3">
      <c r="A257" s="5">
        <f t="shared" si="12"/>
        <v>253</v>
      </c>
      <c r="B257" s="23" t="s">
        <v>708</v>
      </c>
      <c r="C257" s="17" t="s">
        <v>709</v>
      </c>
      <c r="D257" s="4" t="s">
        <v>50</v>
      </c>
      <c r="E257" s="4" t="s">
        <v>66</v>
      </c>
      <c r="F257" s="4" t="s">
        <v>66</v>
      </c>
      <c r="G257" s="4" t="s">
        <v>107</v>
      </c>
      <c r="H257" s="4" t="s">
        <v>108</v>
      </c>
      <c r="I257" s="24" t="s">
        <v>131</v>
      </c>
      <c r="J257" s="15">
        <v>3</v>
      </c>
      <c r="K257" s="15">
        <v>3</v>
      </c>
      <c r="L257" s="15">
        <v>4</v>
      </c>
      <c r="M257" s="15">
        <v>3</v>
      </c>
      <c r="N257" s="15">
        <v>1</v>
      </c>
      <c r="O257" s="15">
        <v>3</v>
      </c>
      <c r="P257" s="15" t="s">
        <v>415</v>
      </c>
      <c r="Q257" s="23" t="s">
        <v>416</v>
      </c>
      <c r="R257" s="25">
        <f>ROUND((K257*Parametros!$B$4+L257*Parametros!$B$5+M257*Parametros!$B$6+N257*Parametros!$B$7+O257*Parametros!$B$8)/SUM(Parametros!$B$4:$B$8),2)</f>
        <v>2.9</v>
      </c>
      <c r="S257" s="26">
        <f>IFERROR(INDEX(Parametros!$F$33:$F$42,MATCH(D257,Parametros!$A$33:$A$42,0)),1)</f>
        <v>1.0840000000000001</v>
      </c>
      <c r="T257" s="27">
        <f>IFERROR(INDEX(Parametros!$B$21:$B$26,MATCH(I257,Parametros!$A$21:$A$26,0)),0)</f>
        <v>0</v>
      </c>
      <c r="U257" s="28">
        <f t="shared" si="13"/>
        <v>3.14</v>
      </c>
      <c r="V257" s="9">
        <f>IF(U257&gt;=Parametros!$B$14,4,IF(U257&gt;=Parametros!$B$13,3,IF(U257&gt;=Parametros!$B$12,2,1)))</f>
        <v>2</v>
      </c>
      <c r="W257" s="5">
        <f>MAX(V257,IF(K257=5,Parametros!$B$17,0),IF(P257="Sim",Parametros!$B$18,0))</f>
        <v>2</v>
      </c>
      <c r="X257" s="5" t="str">
        <f t="shared" si="14"/>
        <v>Normal</v>
      </c>
      <c r="Y257" s="29">
        <f t="shared" si="15"/>
        <v>2031.0997430000002</v>
      </c>
      <c r="Z257" s="4" t="s">
        <v>309</v>
      </c>
    </row>
    <row r="258" spans="1:26" ht="28.05" customHeight="1" x14ac:dyDescent="0.3">
      <c r="A258" s="5">
        <f t="shared" si="12"/>
        <v>254</v>
      </c>
      <c r="B258" s="23" t="s">
        <v>710</v>
      </c>
      <c r="C258" s="17" t="s">
        <v>711</v>
      </c>
      <c r="D258" s="4" t="s">
        <v>50</v>
      </c>
      <c r="E258" s="4" t="s">
        <v>75</v>
      </c>
      <c r="F258" s="4" t="s">
        <v>75</v>
      </c>
      <c r="G258" s="4" t="s">
        <v>107</v>
      </c>
      <c r="H258" s="4" t="s">
        <v>108</v>
      </c>
      <c r="I258" s="24" t="s">
        <v>152</v>
      </c>
      <c r="J258" s="15">
        <v>3</v>
      </c>
      <c r="K258" s="15">
        <v>2</v>
      </c>
      <c r="L258" s="15">
        <v>3</v>
      </c>
      <c r="M258" s="15">
        <v>4</v>
      </c>
      <c r="N258" s="15">
        <v>3</v>
      </c>
      <c r="O258" s="15">
        <v>3</v>
      </c>
      <c r="P258" s="15" t="s">
        <v>415</v>
      </c>
      <c r="Q258" s="23" t="s">
        <v>416</v>
      </c>
      <c r="R258" s="25">
        <f>ROUND((K258*Parametros!$B$4+L258*Parametros!$B$5+M258*Parametros!$B$6+N258*Parametros!$B$7+O258*Parametros!$B$8)/SUM(Parametros!$B$4:$B$8),2)</f>
        <v>2.9</v>
      </c>
      <c r="S258" s="26">
        <f>IFERROR(INDEX(Parametros!$F$33:$F$42,MATCH(D258,Parametros!$A$33:$A$42,0)),1)</f>
        <v>1.0840000000000001</v>
      </c>
      <c r="T258" s="27">
        <f>IFERROR(INDEX(Parametros!$B$21:$B$26,MATCH(I258,Parametros!$A$21:$A$26,0)),0)</f>
        <v>0</v>
      </c>
      <c r="U258" s="28">
        <f t="shared" si="13"/>
        <v>3.14</v>
      </c>
      <c r="V258" s="9">
        <f>IF(U258&gt;=Parametros!$B$14,4,IF(U258&gt;=Parametros!$B$13,3,IF(U258&gt;=Parametros!$B$12,2,1)))</f>
        <v>2</v>
      </c>
      <c r="W258" s="5">
        <f>MAX(V258,IF(K258=5,Parametros!$B$17,0),IF(P258="Sim",Parametros!$B$18,0))</f>
        <v>2</v>
      </c>
      <c r="X258" s="5" t="str">
        <f t="shared" si="14"/>
        <v>Normal</v>
      </c>
      <c r="Y258" s="29">
        <f t="shared" si="15"/>
        <v>2031.0997420000001</v>
      </c>
      <c r="Z258" s="4" t="s">
        <v>289</v>
      </c>
    </row>
    <row r="259" spans="1:26" ht="28.05" customHeight="1" x14ac:dyDescent="0.3">
      <c r="A259" s="5">
        <f t="shared" si="12"/>
        <v>255</v>
      </c>
      <c r="B259" s="23" t="s">
        <v>712</v>
      </c>
      <c r="C259" s="17" t="s">
        <v>713</v>
      </c>
      <c r="D259" s="4" t="s">
        <v>50</v>
      </c>
      <c r="E259" s="4" t="s">
        <v>86</v>
      </c>
      <c r="F259" s="4" t="s">
        <v>554</v>
      </c>
      <c r="G259" s="4" t="s">
        <v>171</v>
      </c>
      <c r="H259" s="4" t="s">
        <v>172</v>
      </c>
      <c r="I259" s="24" t="s">
        <v>122</v>
      </c>
      <c r="J259" s="15">
        <v>3</v>
      </c>
      <c r="K259" s="15">
        <v>3</v>
      </c>
      <c r="L259" s="15">
        <v>4</v>
      </c>
      <c r="M259" s="15">
        <v>3</v>
      </c>
      <c r="N259" s="15">
        <v>1</v>
      </c>
      <c r="O259" s="15">
        <v>3</v>
      </c>
      <c r="P259" s="15" t="s">
        <v>415</v>
      </c>
      <c r="Q259" s="23" t="s">
        <v>416</v>
      </c>
      <c r="R259" s="25">
        <f>ROUND((K259*Parametros!$B$4+L259*Parametros!$B$5+M259*Parametros!$B$6+N259*Parametros!$B$7+O259*Parametros!$B$8)/SUM(Parametros!$B$4:$B$8),2)</f>
        <v>2.9</v>
      </c>
      <c r="S259" s="26">
        <f>IFERROR(INDEX(Parametros!$F$33:$F$42,MATCH(D259,Parametros!$A$33:$A$42,0)),1)</f>
        <v>1.0840000000000001</v>
      </c>
      <c r="T259" s="27">
        <f>IFERROR(INDEX(Parametros!$B$21:$B$26,MATCH(I259,Parametros!$A$21:$A$26,0)),0)</f>
        <v>0</v>
      </c>
      <c r="U259" s="28">
        <f t="shared" si="13"/>
        <v>3.14</v>
      </c>
      <c r="V259" s="9">
        <f>IF(U259&gt;=Parametros!$B$14,4,IF(U259&gt;=Parametros!$B$13,3,IF(U259&gt;=Parametros!$B$12,2,1)))</f>
        <v>2</v>
      </c>
      <c r="W259" s="5">
        <f>MAX(V259,IF(K259=5,Parametros!$B$17,0),IF(P259="Sim",Parametros!$B$18,0))</f>
        <v>2</v>
      </c>
      <c r="X259" s="5" t="str">
        <f t="shared" si="14"/>
        <v>Normal</v>
      </c>
      <c r="Y259" s="29">
        <f t="shared" si="15"/>
        <v>2031.0997410000002</v>
      </c>
      <c r="Z259" s="4" t="s">
        <v>309</v>
      </c>
    </row>
    <row r="260" spans="1:26" ht="28.05" customHeight="1" x14ac:dyDescent="0.3">
      <c r="A260" s="5">
        <f t="shared" si="12"/>
        <v>256</v>
      </c>
      <c r="B260" s="23" t="s">
        <v>714</v>
      </c>
      <c r="C260" s="17" t="s">
        <v>715</v>
      </c>
      <c r="D260" s="4" t="s">
        <v>50</v>
      </c>
      <c r="E260" s="4" t="s">
        <v>389</v>
      </c>
      <c r="F260" s="4" t="s">
        <v>389</v>
      </c>
      <c r="G260" s="4" t="s">
        <v>112</v>
      </c>
      <c r="H260" s="4" t="s">
        <v>108</v>
      </c>
      <c r="I260" s="24" t="s">
        <v>152</v>
      </c>
      <c r="J260" s="15">
        <v>3</v>
      </c>
      <c r="K260" s="15">
        <v>3</v>
      </c>
      <c r="L260" s="15">
        <v>4</v>
      </c>
      <c r="M260" s="15">
        <v>3</v>
      </c>
      <c r="N260" s="15">
        <v>1</v>
      </c>
      <c r="O260" s="15">
        <v>3</v>
      </c>
      <c r="P260" s="15" t="s">
        <v>415</v>
      </c>
      <c r="Q260" s="23" t="s">
        <v>416</v>
      </c>
      <c r="R260" s="25">
        <f>ROUND((K260*Parametros!$B$4+L260*Parametros!$B$5+M260*Parametros!$B$6+N260*Parametros!$B$7+O260*Parametros!$B$8)/SUM(Parametros!$B$4:$B$8),2)</f>
        <v>2.9</v>
      </c>
      <c r="S260" s="26">
        <f>IFERROR(INDEX(Parametros!$F$33:$F$42,MATCH(D260,Parametros!$A$33:$A$42,0)),1)</f>
        <v>1.0840000000000001</v>
      </c>
      <c r="T260" s="27">
        <f>IFERROR(INDEX(Parametros!$B$21:$B$26,MATCH(I260,Parametros!$A$21:$A$26,0)),0)</f>
        <v>0</v>
      </c>
      <c r="U260" s="28">
        <f t="shared" si="13"/>
        <v>3.14</v>
      </c>
      <c r="V260" s="9">
        <f>IF(U260&gt;=Parametros!$B$14,4,IF(U260&gt;=Parametros!$B$13,3,IF(U260&gt;=Parametros!$B$12,2,1)))</f>
        <v>2</v>
      </c>
      <c r="W260" s="5">
        <f>MAX(V260,IF(K260=5,Parametros!$B$17,0),IF(P260="Sim",Parametros!$B$18,0))</f>
        <v>2</v>
      </c>
      <c r="X260" s="5" t="str">
        <f t="shared" si="14"/>
        <v>Normal</v>
      </c>
      <c r="Y260" s="29">
        <f t="shared" si="15"/>
        <v>2031.0997400000001</v>
      </c>
      <c r="Z260" s="4" t="s">
        <v>309</v>
      </c>
    </row>
    <row r="261" spans="1:26" ht="28.05" customHeight="1" x14ac:dyDescent="0.3">
      <c r="A261" s="5">
        <f t="shared" ref="A261:A324" si="16">IF(Y261="","",COUNTIF($Y$5:$Y$983,"&gt;"&amp;Y261)+1)</f>
        <v>257</v>
      </c>
      <c r="B261" s="23" t="s">
        <v>716</v>
      </c>
      <c r="C261" s="17" t="s">
        <v>717</v>
      </c>
      <c r="D261" s="4" t="s">
        <v>50</v>
      </c>
      <c r="E261" s="4" t="s">
        <v>64</v>
      </c>
      <c r="F261" s="4" t="s">
        <v>64</v>
      </c>
      <c r="G261" s="4" t="s">
        <v>171</v>
      </c>
      <c r="H261" s="4" t="s">
        <v>172</v>
      </c>
      <c r="I261" s="24" t="s">
        <v>131</v>
      </c>
      <c r="J261" s="15">
        <v>3</v>
      </c>
      <c r="K261" s="15">
        <v>3</v>
      </c>
      <c r="L261" s="15">
        <v>4</v>
      </c>
      <c r="M261" s="15">
        <v>3</v>
      </c>
      <c r="N261" s="15">
        <v>1</v>
      </c>
      <c r="O261" s="15">
        <v>3</v>
      </c>
      <c r="P261" s="15" t="s">
        <v>415</v>
      </c>
      <c r="Q261" s="23" t="s">
        <v>416</v>
      </c>
      <c r="R261" s="25">
        <f>ROUND((K261*Parametros!$B$4+L261*Parametros!$B$5+M261*Parametros!$B$6+N261*Parametros!$B$7+O261*Parametros!$B$8)/SUM(Parametros!$B$4:$B$8),2)</f>
        <v>2.9</v>
      </c>
      <c r="S261" s="26">
        <f>IFERROR(INDEX(Parametros!$F$33:$F$42,MATCH(D261,Parametros!$A$33:$A$42,0)),1)</f>
        <v>1.0840000000000001</v>
      </c>
      <c r="T261" s="27">
        <f>IFERROR(INDEX(Parametros!$B$21:$B$26,MATCH(I261,Parametros!$A$21:$A$26,0)),0)</f>
        <v>0</v>
      </c>
      <c r="U261" s="28">
        <f t="shared" ref="U261:U324" si="17">ROUND(R261*S261+T261,2)</f>
        <v>3.14</v>
      </c>
      <c r="V261" s="9">
        <f>IF(U261&gt;=Parametros!$B$14,4,IF(U261&gt;=Parametros!$B$13,3,IF(U261&gt;=Parametros!$B$12,2,1)))</f>
        <v>2</v>
      </c>
      <c r="W261" s="5">
        <f>MAX(V261,IF(K261=5,Parametros!$B$17,0),IF(P261="Sim",Parametros!$B$18,0))</f>
        <v>2</v>
      </c>
      <c r="X261" s="5" t="str">
        <f t="shared" ref="X261:X324" si="18">CHOOSE(W261,"Baixa","Normal","Alta","Urgente")</f>
        <v>Normal</v>
      </c>
      <c r="Y261" s="29">
        <f t="shared" ref="Y261:Y324" si="19">W261*1000+U261*10-J261/10-ROW()/1000000</f>
        <v>2031.0997390000002</v>
      </c>
      <c r="Z261" s="4" t="s">
        <v>309</v>
      </c>
    </row>
    <row r="262" spans="1:26" ht="28.05" customHeight="1" x14ac:dyDescent="0.3">
      <c r="A262" s="5">
        <f t="shared" si="16"/>
        <v>258</v>
      </c>
      <c r="B262" s="23" t="s">
        <v>718</v>
      </c>
      <c r="C262" s="17" t="s">
        <v>719</v>
      </c>
      <c r="D262" s="4" t="s">
        <v>54</v>
      </c>
      <c r="E262" s="4" t="s">
        <v>64</v>
      </c>
      <c r="F262" s="4" t="s">
        <v>64</v>
      </c>
      <c r="G262" s="4" t="s">
        <v>134</v>
      </c>
      <c r="H262" s="4" t="s">
        <v>108</v>
      </c>
      <c r="I262" s="24" t="s">
        <v>131</v>
      </c>
      <c r="J262" s="15">
        <v>4</v>
      </c>
      <c r="K262" s="15">
        <v>3</v>
      </c>
      <c r="L262" s="15">
        <v>4</v>
      </c>
      <c r="M262" s="15">
        <v>3</v>
      </c>
      <c r="N262" s="15">
        <v>2</v>
      </c>
      <c r="O262" s="15">
        <v>3</v>
      </c>
      <c r="P262" s="15" t="s">
        <v>415</v>
      </c>
      <c r="Q262" s="23" t="s">
        <v>416</v>
      </c>
      <c r="R262" s="25">
        <f>ROUND((K262*Parametros!$B$4+L262*Parametros!$B$5+M262*Parametros!$B$6+N262*Parametros!$B$7+O262*Parametros!$B$8)/SUM(Parametros!$B$4:$B$8),2)</f>
        <v>3.05</v>
      </c>
      <c r="S262" s="26">
        <f>IFERROR(INDEX(Parametros!$F$33:$F$42,MATCH(D262,Parametros!$A$33:$A$42,0)),1)</f>
        <v>1.034</v>
      </c>
      <c r="T262" s="27">
        <f>IFERROR(INDEX(Parametros!$B$21:$B$26,MATCH(I262,Parametros!$A$21:$A$26,0)),0)</f>
        <v>0</v>
      </c>
      <c r="U262" s="28">
        <f t="shared" si="17"/>
        <v>3.15</v>
      </c>
      <c r="V262" s="9">
        <f>IF(U262&gt;=Parametros!$B$14,4,IF(U262&gt;=Parametros!$B$13,3,IF(U262&gt;=Parametros!$B$12,2,1)))</f>
        <v>2</v>
      </c>
      <c r="W262" s="5">
        <f>MAX(V262,IF(K262=5,Parametros!$B$17,0),IF(P262="Sim",Parametros!$B$18,0))</f>
        <v>2</v>
      </c>
      <c r="X262" s="5" t="str">
        <f t="shared" si="18"/>
        <v>Normal</v>
      </c>
      <c r="Y262" s="29">
        <f t="shared" si="19"/>
        <v>2031.0997379999999</v>
      </c>
      <c r="Z262" s="4" t="s">
        <v>309</v>
      </c>
    </row>
    <row r="263" spans="1:26" ht="28.05" customHeight="1" x14ac:dyDescent="0.3">
      <c r="A263" s="5">
        <f t="shared" si="16"/>
        <v>259</v>
      </c>
      <c r="B263" s="23" t="s">
        <v>720</v>
      </c>
      <c r="C263" s="17" t="s">
        <v>721</v>
      </c>
      <c r="D263" s="4" t="s">
        <v>54</v>
      </c>
      <c r="E263" s="4" t="s">
        <v>64</v>
      </c>
      <c r="F263" s="4" t="s">
        <v>64</v>
      </c>
      <c r="G263" s="4" t="s">
        <v>112</v>
      </c>
      <c r="H263" s="4" t="s">
        <v>108</v>
      </c>
      <c r="I263" s="24" t="s">
        <v>131</v>
      </c>
      <c r="J263" s="15">
        <v>4</v>
      </c>
      <c r="K263" s="15">
        <v>3</v>
      </c>
      <c r="L263" s="15">
        <v>4</v>
      </c>
      <c r="M263" s="15">
        <v>3</v>
      </c>
      <c r="N263" s="15">
        <v>1</v>
      </c>
      <c r="O263" s="15">
        <v>4</v>
      </c>
      <c r="P263" s="15" t="s">
        <v>415</v>
      </c>
      <c r="Q263" s="23" t="s">
        <v>416</v>
      </c>
      <c r="R263" s="25">
        <f>ROUND((K263*Parametros!$B$4+L263*Parametros!$B$5+M263*Parametros!$B$6+N263*Parametros!$B$7+O263*Parametros!$B$8)/SUM(Parametros!$B$4:$B$8),2)</f>
        <v>3.05</v>
      </c>
      <c r="S263" s="26">
        <f>IFERROR(INDEX(Parametros!$F$33:$F$42,MATCH(D263,Parametros!$A$33:$A$42,0)),1)</f>
        <v>1.034</v>
      </c>
      <c r="T263" s="27">
        <f>IFERROR(INDEX(Parametros!$B$21:$B$26,MATCH(I263,Parametros!$A$21:$A$26,0)),0)</f>
        <v>0</v>
      </c>
      <c r="U263" s="28">
        <f t="shared" si="17"/>
        <v>3.15</v>
      </c>
      <c r="V263" s="9">
        <f>IF(U263&gt;=Parametros!$B$14,4,IF(U263&gt;=Parametros!$B$13,3,IF(U263&gt;=Parametros!$B$12,2,1)))</f>
        <v>2</v>
      </c>
      <c r="W263" s="5">
        <f>MAX(V263,IF(K263=5,Parametros!$B$17,0),IF(P263="Sim",Parametros!$B$18,0))</f>
        <v>2</v>
      </c>
      <c r="X263" s="5" t="str">
        <f t="shared" si="18"/>
        <v>Normal</v>
      </c>
      <c r="Y263" s="29">
        <f t="shared" si="19"/>
        <v>2031.099737</v>
      </c>
      <c r="Z263" s="4" t="s">
        <v>320</v>
      </c>
    </row>
    <row r="264" spans="1:26" ht="28.05" customHeight="1" x14ac:dyDescent="0.3">
      <c r="A264" s="5">
        <f t="shared" si="16"/>
        <v>260</v>
      </c>
      <c r="B264" s="23" t="s">
        <v>722</v>
      </c>
      <c r="C264" s="17" t="s">
        <v>723</v>
      </c>
      <c r="D264" s="4" t="s">
        <v>55</v>
      </c>
      <c r="E264" s="4" t="s">
        <v>81</v>
      </c>
      <c r="F264" s="4" t="s">
        <v>81</v>
      </c>
      <c r="G264" s="4" t="s">
        <v>134</v>
      </c>
      <c r="H264" s="4" t="s">
        <v>108</v>
      </c>
      <c r="I264" s="24" t="s">
        <v>152</v>
      </c>
      <c r="J264" s="15">
        <v>1</v>
      </c>
      <c r="K264" s="15">
        <v>3</v>
      </c>
      <c r="L264" s="15">
        <v>3</v>
      </c>
      <c r="M264" s="15">
        <v>3</v>
      </c>
      <c r="N264" s="15">
        <v>3</v>
      </c>
      <c r="O264" s="15">
        <v>3</v>
      </c>
      <c r="P264" s="15" t="s">
        <v>415</v>
      </c>
      <c r="Q264" s="23" t="s">
        <v>416</v>
      </c>
      <c r="R264" s="25">
        <f>ROUND((K264*Parametros!$B$4+L264*Parametros!$B$5+M264*Parametros!$B$6+N264*Parametros!$B$7+O264*Parametros!$B$8)/SUM(Parametros!$B$4:$B$8),2)</f>
        <v>3</v>
      </c>
      <c r="S264" s="26">
        <f>IFERROR(INDEX(Parametros!$F$33:$F$42,MATCH(D264,Parametros!$A$33:$A$42,0)),1)</f>
        <v>1.034</v>
      </c>
      <c r="T264" s="27">
        <f>IFERROR(INDEX(Parametros!$B$21:$B$26,MATCH(I264,Parametros!$A$21:$A$26,0)),0)</f>
        <v>0</v>
      </c>
      <c r="U264" s="28">
        <f t="shared" si="17"/>
        <v>3.1</v>
      </c>
      <c r="V264" s="9">
        <f>IF(U264&gt;=Parametros!$B$14,4,IF(U264&gt;=Parametros!$B$13,3,IF(U264&gt;=Parametros!$B$12,2,1)))</f>
        <v>2</v>
      </c>
      <c r="W264" s="5">
        <f>MAX(V264,IF(K264=5,Parametros!$B$17,0),IF(P264="Sim",Parametros!$B$18,0))</f>
        <v>2</v>
      </c>
      <c r="X264" s="5" t="str">
        <f t="shared" si="18"/>
        <v>Normal</v>
      </c>
      <c r="Y264" s="29">
        <f t="shared" si="19"/>
        <v>2030.8997360000001</v>
      </c>
      <c r="Z264" s="4" t="s">
        <v>659</v>
      </c>
    </row>
    <row r="265" spans="1:26" ht="28.05" customHeight="1" x14ac:dyDescent="0.3">
      <c r="A265" s="5">
        <f t="shared" si="16"/>
        <v>261</v>
      </c>
      <c r="B265" s="23" t="s">
        <v>724</v>
      </c>
      <c r="C265" s="17" t="s">
        <v>725</v>
      </c>
      <c r="D265" s="4" t="s">
        <v>54</v>
      </c>
      <c r="E265" s="4" t="s">
        <v>69</v>
      </c>
      <c r="F265" s="4" t="s">
        <v>427</v>
      </c>
      <c r="G265" s="4" t="s">
        <v>171</v>
      </c>
      <c r="H265" s="4" t="s">
        <v>172</v>
      </c>
      <c r="I265" s="24" t="s">
        <v>152</v>
      </c>
      <c r="J265" s="15">
        <v>1</v>
      </c>
      <c r="K265" s="15">
        <v>3</v>
      </c>
      <c r="L265" s="15">
        <v>3</v>
      </c>
      <c r="M265" s="15">
        <v>3</v>
      </c>
      <c r="N265" s="15">
        <v>3</v>
      </c>
      <c r="O265" s="15">
        <v>3</v>
      </c>
      <c r="P265" s="15" t="s">
        <v>415</v>
      </c>
      <c r="Q265" s="23" t="s">
        <v>416</v>
      </c>
      <c r="R265" s="25">
        <f>ROUND((K265*Parametros!$B$4+L265*Parametros!$B$5+M265*Parametros!$B$6+N265*Parametros!$B$7+O265*Parametros!$B$8)/SUM(Parametros!$B$4:$B$8),2)</f>
        <v>3</v>
      </c>
      <c r="S265" s="26">
        <f>IFERROR(INDEX(Parametros!$F$33:$F$42,MATCH(D265,Parametros!$A$33:$A$42,0)),1)</f>
        <v>1.034</v>
      </c>
      <c r="T265" s="27">
        <f>IFERROR(INDEX(Parametros!$B$21:$B$26,MATCH(I265,Parametros!$A$21:$A$26,0)),0)</f>
        <v>0</v>
      </c>
      <c r="U265" s="28">
        <f t="shared" si="17"/>
        <v>3.1</v>
      </c>
      <c r="V265" s="9">
        <f>IF(U265&gt;=Parametros!$B$14,4,IF(U265&gt;=Parametros!$B$13,3,IF(U265&gt;=Parametros!$B$12,2,1)))</f>
        <v>2</v>
      </c>
      <c r="W265" s="5">
        <f>MAX(V265,IF(K265=5,Parametros!$B$17,0),IF(P265="Sim",Parametros!$B$18,0))</f>
        <v>2</v>
      </c>
      <c r="X265" s="5" t="str">
        <f t="shared" si="18"/>
        <v>Normal</v>
      </c>
      <c r="Y265" s="29">
        <f t="shared" si="19"/>
        <v>2030.8997350000002</v>
      </c>
      <c r="Z265" s="4" t="s">
        <v>659</v>
      </c>
    </row>
    <row r="266" spans="1:26" ht="28.05" customHeight="1" x14ac:dyDescent="0.3">
      <c r="A266" s="5">
        <f t="shared" si="16"/>
        <v>262</v>
      </c>
      <c r="B266" s="23" t="s">
        <v>726</v>
      </c>
      <c r="C266" s="17" t="s">
        <v>727</v>
      </c>
      <c r="D266" s="4" t="s">
        <v>53</v>
      </c>
      <c r="E266" s="4" t="s">
        <v>68</v>
      </c>
      <c r="F266" s="4" t="s">
        <v>68</v>
      </c>
      <c r="G266" s="4" t="s">
        <v>112</v>
      </c>
      <c r="H266" s="4" t="s">
        <v>108</v>
      </c>
      <c r="I266" s="24" t="s">
        <v>152</v>
      </c>
      <c r="J266" s="15">
        <v>2</v>
      </c>
      <c r="K266" s="15">
        <v>4</v>
      </c>
      <c r="L266" s="15">
        <v>4</v>
      </c>
      <c r="M266" s="15">
        <v>1</v>
      </c>
      <c r="N266" s="15">
        <v>2</v>
      </c>
      <c r="O266" s="15">
        <v>3</v>
      </c>
      <c r="P266" s="15" t="s">
        <v>415</v>
      </c>
      <c r="Q266" s="23" t="s">
        <v>416</v>
      </c>
      <c r="R266" s="25">
        <f>ROUND((K266*Parametros!$B$4+L266*Parametros!$B$5+M266*Parametros!$B$6+N266*Parametros!$B$7+O266*Parametros!$B$8)/SUM(Parametros!$B$4:$B$8),2)</f>
        <v>2.95</v>
      </c>
      <c r="S266" s="26">
        <f>IFERROR(INDEX(Parametros!$F$33:$F$42,MATCH(D266,Parametros!$A$33:$A$42,0)),1)</f>
        <v>1.05</v>
      </c>
      <c r="T266" s="27">
        <f>IFERROR(INDEX(Parametros!$B$21:$B$26,MATCH(I266,Parametros!$A$21:$A$26,0)),0)</f>
        <v>0</v>
      </c>
      <c r="U266" s="28">
        <f t="shared" si="17"/>
        <v>3.1</v>
      </c>
      <c r="V266" s="9">
        <f>IF(U266&gt;=Parametros!$B$14,4,IF(U266&gt;=Parametros!$B$13,3,IF(U266&gt;=Parametros!$B$12,2,1)))</f>
        <v>2</v>
      </c>
      <c r="W266" s="5">
        <f>MAX(V266,IF(K266=5,Parametros!$B$17,0),IF(P266="Sim",Parametros!$B$18,0))</f>
        <v>2</v>
      </c>
      <c r="X266" s="5" t="str">
        <f t="shared" si="18"/>
        <v>Normal</v>
      </c>
      <c r="Y266" s="29">
        <f t="shared" si="19"/>
        <v>2030.7997339999999</v>
      </c>
      <c r="Z266" s="4" t="s">
        <v>283</v>
      </c>
    </row>
    <row r="267" spans="1:26" ht="28.05" customHeight="1" x14ac:dyDescent="0.3">
      <c r="A267" s="5">
        <f t="shared" si="16"/>
        <v>263</v>
      </c>
      <c r="B267" s="23" t="s">
        <v>728</v>
      </c>
      <c r="C267" s="17" t="s">
        <v>729</v>
      </c>
      <c r="D267" s="4" t="s">
        <v>53</v>
      </c>
      <c r="E267" s="4" t="s">
        <v>76</v>
      </c>
      <c r="F267" s="4" t="s">
        <v>76</v>
      </c>
      <c r="G267" s="4" t="s">
        <v>112</v>
      </c>
      <c r="H267" s="4" t="s">
        <v>108</v>
      </c>
      <c r="I267" s="24" t="s">
        <v>152</v>
      </c>
      <c r="J267" s="15">
        <v>2</v>
      </c>
      <c r="K267" s="15">
        <v>4</v>
      </c>
      <c r="L267" s="15">
        <v>4</v>
      </c>
      <c r="M267" s="15">
        <v>1</v>
      </c>
      <c r="N267" s="15">
        <v>2</v>
      </c>
      <c r="O267" s="15">
        <v>3</v>
      </c>
      <c r="P267" s="15" t="s">
        <v>415</v>
      </c>
      <c r="Q267" s="23" t="s">
        <v>416</v>
      </c>
      <c r="R267" s="25">
        <f>ROUND((K267*Parametros!$B$4+L267*Parametros!$B$5+M267*Parametros!$B$6+N267*Parametros!$B$7+O267*Parametros!$B$8)/SUM(Parametros!$B$4:$B$8),2)</f>
        <v>2.95</v>
      </c>
      <c r="S267" s="26">
        <f>IFERROR(INDEX(Parametros!$F$33:$F$42,MATCH(D267,Parametros!$A$33:$A$42,0)),1)</f>
        <v>1.05</v>
      </c>
      <c r="T267" s="27">
        <f>IFERROR(INDEX(Parametros!$B$21:$B$26,MATCH(I267,Parametros!$A$21:$A$26,0)),0)</f>
        <v>0</v>
      </c>
      <c r="U267" s="28">
        <f t="shared" si="17"/>
        <v>3.1</v>
      </c>
      <c r="V267" s="9">
        <f>IF(U267&gt;=Parametros!$B$14,4,IF(U267&gt;=Parametros!$B$13,3,IF(U267&gt;=Parametros!$B$12,2,1)))</f>
        <v>2</v>
      </c>
      <c r="W267" s="5">
        <f>MAX(V267,IF(K267=5,Parametros!$B$17,0),IF(P267="Sim",Parametros!$B$18,0))</f>
        <v>2</v>
      </c>
      <c r="X267" s="5" t="str">
        <f t="shared" si="18"/>
        <v>Normal</v>
      </c>
      <c r="Y267" s="29">
        <f t="shared" si="19"/>
        <v>2030.7997330000001</v>
      </c>
      <c r="Z267" s="4" t="s">
        <v>283</v>
      </c>
    </row>
    <row r="268" spans="1:26" ht="28.05" customHeight="1" x14ac:dyDescent="0.3">
      <c r="A268" s="5">
        <f t="shared" si="16"/>
        <v>264</v>
      </c>
      <c r="B268" s="23" t="s">
        <v>730</v>
      </c>
      <c r="C268" s="17" t="s">
        <v>731</v>
      </c>
      <c r="D268" s="4" t="s">
        <v>54</v>
      </c>
      <c r="E268" s="4" t="s">
        <v>72</v>
      </c>
      <c r="F268" s="4" t="s">
        <v>72</v>
      </c>
      <c r="G268" s="4" t="s">
        <v>171</v>
      </c>
      <c r="H268" s="4" t="s">
        <v>172</v>
      </c>
      <c r="I268" s="24" t="s">
        <v>152</v>
      </c>
      <c r="J268" s="15">
        <v>2</v>
      </c>
      <c r="K268" s="15">
        <v>3</v>
      </c>
      <c r="L268" s="15">
        <v>3</v>
      </c>
      <c r="M268" s="15">
        <v>3</v>
      </c>
      <c r="N268" s="15">
        <v>3</v>
      </c>
      <c r="O268" s="15">
        <v>3</v>
      </c>
      <c r="P268" s="15" t="s">
        <v>415</v>
      </c>
      <c r="Q268" s="23" t="s">
        <v>416</v>
      </c>
      <c r="R268" s="25">
        <f>ROUND((K268*Parametros!$B$4+L268*Parametros!$B$5+M268*Parametros!$B$6+N268*Parametros!$B$7+O268*Parametros!$B$8)/SUM(Parametros!$B$4:$B$8),2)</f>
        <v>3</v>
      </c>
      <c r="S268" s="26">
        <f>IFERROR(INDEX(Parametros!$F$33:$F$42,MATCH(D268,Parametros!$A$33:$A$42,0)),1)</f>
        <v>1.034</v>
      </c>
      <c r="T268" s="27">
        <f>IFERROR(INDEX(Parametros!$B$21:$B$26,MATCH(I268,Parametros!$A$21:$A$26,0)),0)</f>
        <v>0</v>
      </c>
      <c r="U268" s="28">
        <f t="shared" si="17"/>
        <v>3.1</v>
      </c>
      <c r="V268" s="9">
        <f>IF(U268&gt;=Parametros!$B$14,4,IF(U268&gt;=Parametros!$B$13,3,IF(U268&gt;=Parametros!$B$12,2,1)))</f>
        <v>2</v>
      </c>
      <c r="W268" s="5">
        <f>MAX(V268,IF(K268=5,Parametros!$B$17,0),IF(P268="Sim",Parametros!$B$18,0))</f>
        <v>2</v>
      </c>
      <c r="X268" s="5" t="str">
        <f t="shared" si="18"/>
        <v>Normal</v>
      </c>
      <c r="Y268" s="29">
        <f t="shared" si="19"/>
        <v>2030.7997319999999</v>
      </c>
      <c r="Z268" s="4" t="s">
        <v>659</v>
      </c>
    </row>
    <row r="269" spans="1:26" ht="28.05" customHeight="1" x14ac:dyDescent="0.3">
      <c r="A269" s="5">
        <f t="shared" si="16"/>
        <v>265</v>
      </c>
      <c r="B269" s="23" t="s">
        <v>732</v>
      </c>
      <c r="C269" s="17" t="s">
        <v>733</v>
      </c>
      <c r="D269" s="4" t="s">
        <v>53</v>
      </c>
      <c r="E269" s="4" t="s">
        <v>77</v>
      </c>
      <c r="F269" s="4" t="s">
        <v>77</v>
      </c>
      <c r="G269" s="4" t="s">
        <v>171</v>
      </c>
      <c r="H269" s="4" t="s">
        <v>172</v>
      </c>
      <c r="I269" s="24" t="s">
        <v>152</v>
      </c>
      <c r="J269" s="15">
        <v>2</v>
      </c>
      <c r="K269" s="15">
        <v>3</v>
      </c>
      <c r="L269" s="15">
        <v>3</v>
      </c>
      <c r="M269" s="15">
        <v>2</v>
      </c>
      <c r="N269" s="15">
        <v>3</v>
      </c>
      <c r="O269" s="15">
        <v>4</v>
      </c>
      <c r="P269" s="15" t="s">
        <v>415</v>
      </c>
      <c r="Q269" s="23" t="s">
        <v>416</v>
      </c>
      <c r="R269" s="25">
        <f>ROUND((K269*Parametros!$B$4+L269*Parametros!$B$5+M269*Parametros!$B$6+N269*Parametros!$B$7+O269*Parametros!$B$8)/SUM(Parametros!$B$4:$B$8),2)</f>
        <v>2.95</v>
      </c>
      <c r="S269" s="26">
        <f>IFERROR(INDEX(Parametros!$F$33:$F$42,MATCH(D269,Parametros!$A$33:$A$42,0)),1)</f>
        <v>1.05</v>
      </c>
      <c r="T269" s="27">
        <f>IFERROR(INDEX(Parametros!$B$21:$B$26,MATCH(I269,Parametros!$A$21:$A$26,0)),0)</f>
        <v>0</v>
      </c>
      <c r="U269" s="28">
        <f t="shared" si="17"/>
        <v>3.1</v>
      </c>
      <c r="V269" s="9">
        <f>IF(U269&gt;=Parametros!$B$14,4,IF(U269&gt;=Parametros!$B$13,3,IF(U269&gt;=Parametros!$B$12,2,1)))</f>
        <v>2</v>
      </c>
      <c r="W269" s="5">
        <f>MAX(V269,IF(K269=5,Parametros!$B$17,0),IF(P269="Sim",Parametros!$B$18,0))</f>
        <v>2</v>
      </c>
      <c r="X269" s="5" t="str">
        <f t="shared" si="18"/>
        <v>Normal</v>
      </c>
      <c r="Y269" s="29">
        <f t="shared" si="19"/>
        <v>2030.7997310000001</v>
      </c>
      <c r="Z269" s="4" t="s">
        <v>322</v>
      </c>
    </row>
    <row r="270" spans="1:26" ht="28.05" customHeight="1" x14ac:dyDescent="0.3">
      <c r="A270" s="5">
        <f t="shared" si="16"/>
        <v>266</v>
      </c>
      <c r="B270" s="23" t="s">
        <v>734</v>
      </c>
      <c r="C270" s="17" t="s">
        <v>735</v>
      </c>
      <c r="D270" s="4" t="s">
        <v>53</v>
      </c>
      <c r="E270" s="4" t="s">
        <v>77</v>
      </c>
      <c r="F270" s="4" t="s">
        <v>77</v>
      </c>
      <c r="G270" s="4" t="s">
        <v>171</v>
      </c>
      <c r="H270" s="4" t="s">
        <v>172</v>
      </c>
      <c r="I270" s="24" t="s">
        <v>152</v>
      </c>
      <c r="J270" s="15">
        <v>2</v>
      </c>
      <c r="K270" s="15">
        <v>3</v>
      </c>
      <c r="L270" s="15">
        <v>3</v>
      </c>
      <c r="M270" s="15">
        <v>2</v>
      </c>
      <c r="N270" s="15">
        <v>3</v>
      </c>
      <c r="O270" s="15">
        <v>4</v>
      </c>
      <c r="P270" s="15" t="s">
        <v>415</v>
      </c>
      <c r="Q270" s="23" t="s">
        <v>416</v>
      </c>
      <c r="R270" s="25">
        <f>ROUND((K270*Parametros!$B$4+L270*Parametros!$B$5+M270*Parametros!$B$6+N270*Parametros!$B$7+O270*Parametros!$B$8)/SUM(Parametros!$B$4:$B$8),2)</f>
        <v>2.95</v>
      </c>
      <c r="S270" s="26">
        <f>IFERROR(INDEX(Parametros!$F$33:$F$42,MATCH(D270,Parametros!$A$33:$A$42,0)),1)</f>
        <v>1.05</v>
      </c>
      <c r="T270" s="27">
        <f>IFERROR(INDEX(Parametros!$B$21:$B$26,MATCH(I270,Parametros!$A$21:$A$26,0)),0)</f>
        <v>0</v>
      </c>
      <c r="U270" s="28">
        <f t="shared" si="17"/>
        <v>3.1</v>
      </c>
      <c r="V270" s="9">
        <f>IF(U270&gt;=Parametros!$B$14,4,IF(U270&gt;=Parametros!$B$13,3,IF(U270&gt;=Parametros!$B$12,2,1)))</f>
        <v>2</v>
      </c>
      <c r="W270" s="5">
        <f>MAX(V270,IF(K270=5,Parametros!$B$17,0),IF(P270="Sim",Parametros!$B$18,0))</f>
        <v>2</v>
      </c>
      <c r="X270" s="5" t="str">
        <f t="shared" si="18"/>
        <v>Normal</v>
      </c>
      <c r="Y270" s="29">
        <f t="shared" si="19"/>
        <v>2030.79973</v>
      </c>
      <c r="Z270" s="4" t="s">
        <v>322</v>
      </c>
    </row>
    <row r="271" spans="1:26" ht="28.05" customHeight="1" x14ac:dyDescent="0.3">
      <c r="A271" s="5">
        <f t="shared" si="16"/>
        <v>267</v>
      </c>
      <c r="B271" s="23" t="s">
        <v>736</v>
      </c>
      <c r="C271" s="17" t="s">
        <v>737</v>
      </c>
      <c r="D271" s="4" t="s">
        <v>52</v>
      </c>
      <c r="E271" s="4" t="s">
        <v>63</v>
      </c>
      <c r="F271" s="4" t="s">
        <v>63</v>
      </c>
      <c r="G271" s="4" t="s">
        <v>171</v>
      </c>
      <c r="H271" s="4" t="s">
        <v>172</v>
      </c>
      <c r="I271" s="24" t="s">
        <v>131</v>
      </c>
      <c r="J271" s="15">
        <v>3</v>
      </c>
      <c r="K271" s="15">
        <v>3</v>
      </c>
      <c r="L271" s="15">
        <v>3</v>
      </c>
      <c r="M271" s="15">
        <v>2</v>
      </c>
      <c r="N271" s="15">
        <v>3</v>
      </c>
      <c r="O271" s="15">
        <v>4</v>
      </c>
      <c r="P271" s="15" t="s">
        <v>415</v>
      </c>
      <c r="Q271" s="23" t="s">
        <v>416</v>
      </c>
      <c r="R271" s="25">
        <f>ROUND((K271*Parametros!$B$4+L271*Parametros!$B$5+M271*Parametros!$B$6+N271*Parametros!$B$7+O271*Parametros!$B$8)/SUM(Parametros!$B$4:$B$8),2)</f>
        <v>2.95</v>
      </c>
      <c r="S271" s="26">
        <f>IFERROR(INDEX(Parametros!$F$33:$F$42,MATCH(D271,Parametros!$A$33:$A$42,0)),1)</f>
        <v>1.05</v>
      </c>
      <c r="T271" s="27">
        <f>IFERROR(INDEX(Parametros!$B$21:$B$26,MATCH(I271,Parametros!$A$21:$A$26,0)),0)</f>
        <v>0</v>
      </c>
      <c r="U271" s="28">
        <f t="shared" si="17"/>
        <v>3.1</v>
      </c>
      <c r="V271" s="9">
        <f>IF(U271&gt;=Parametros!$B$14,4,IF(U271&gt;=Parametros!$B$13,3,IF(U271&gt;=Parametros!$B$12,2,1)))</f>
        <v>2</v>
      </c>
      <c r="W271" s="5">
        <f>MAX(V271,IF(K271=5,Parametros!$B$17,0),IF(P271="Sim",Parametros!$B$18,0))</f>
        <v>2</v>
      </c>
      <c r="X271" s="5" t="str">
        <f t="shared" si="18"/>
        <v>Normal</v>
      </c>
      <c r="Y271" s="29">
        <f t="shared" si="19"/>
        <v>2030.6997289999999</v>
      </c>
      <c r="Z271" s="4" t="s">
        <v>322</v>
      </c>
    </row>
    <row r="272" spans="1:26" ht="28.05" customHeight="1" x14ac:dyDescent="0.3">
      <c r="A272" s="5">
        <f t="shared" si="16"/>
        <v>268</v>
      </c>
      <c r="B272" s="23" t="s">
        <v>738</v>
      </c>
      <c r="C272" s="17" t="s">
        <v>739</v>
      </c>
      <c r="D272" s="4" t="s">
        <v>50</v>
      </c>
      <c r="E272" s="4" t="s">
        <v>75</v>
      </c>
      <c r="F272" s="4" t="s">
        <v>75</v>
      </c>
      <c r="G272" s="4" t="s">
        <v>171</v>
      </c>
      <c r="H272" s="4" t="s">
        <v>172</v>
      </c>
      <c r="I272" s="24" t="s">
        <v>152</v>
      </c>
      <c r="J272" s="15">
        <v>2</v>
      </c>
      <c r="K272" s="15">
        <v>3</v>
      </c>
      <c r="L272" s="15">
        <v>3</v>
      </c>
      <c r="M272" s="15">
        <v>3</v>
      </c>
      <c r="N272" s="15">
        <v>3</v>
      </c>
      <c r="O272" s="15">
        <v>2</v>
      </c>
      <c r="P272" s="15" t="s">
        <v>415</v>
      </c>
      <c r="Q272" s="23" t="s">
        <v>416</v>
      </c>
      <c r="R272" s="25">
        <f>ROUND((K272*Parametros!$B$4+L272*Parametros!$B$5+M272*Parametros!$B$6+N272*Parametros!$B$7+O272*Parametros!$B$8)/SUM(Parametros!$B$4:$B$8),2)</f>
        <v>2.85</v>
      </c>
      <c r="S272" s="26">
        <f>IFERROR(INDEX(Parametros!$F$33:$F$42,MATCH(D272,Parametros!$A$33:$A$42,0)),1)</f>
        <v>1.0840000000000001</v>
      </c>
      <c r="T272" s="27">
        <f>IFERROR(INDEX(Parametros!$B$21:$B$26,MATCH(I272,Parametros!$A$21:$A$26,0)),0)</f>
        <v>0</v>
      </c>
      <c r="U272" s="28">
        <f t="shared" si="17"/>
        <v>3.09</v>
      </c>
      <c r="V272" s="9">
        <f>IF(U272&gt;=Parametros!$B$14,4,IF(U272&gt;=Parametros!$B$13,3,IF(U272&gt;=Parametros!$B$12,2,1)))</f>
        <v>2</v>
      </c>
      <c r="W272" s="5">
        <f>MAX(V272,IF(K272=5,Parametros!$B$17,0),IF(P272="Sim",Parametros!$B$18,0))</f>
        <v>2</v>
      </c>
      <c r="X272" s="5" t="str">
        <f t="shared" si="18"/>
        <v>Normal</v>
      </c>
      <c r="Y272" s="29">
        <f t="shared" si="19"/>
        <v>2030.6997280000001</v>
      </c>
      <c r="Z272" s="4" t="s">
        <v>659</v>
      </c>
    </row>
    <row r="273" spans="1:26" ht="28.05" customHeight="1" x14ac:dyDescent="0.3">
      <c r="A273" s="5">
        <f t="shared" si="16"/>
        <v>269</v>
      </c>
      <c r="B273" s="23" t="s">
        <v>740</v>
      </c>
      <c r="C273" s="17" t="s">
        <v>741</v>
      </c>
      <c r="D273" s="4" t="s">
        <v>48</v>
      </c>
      <c r="E273" s="4" t="s">
        <v>82</v>
      </c>
      <c r="F273" s="4" t="s">
        <v>82</v>
      </c>
      <c r="G273" s="4" t="s">
        <v>171</v>
      </c>
      <c r="H273" s="4" t="s">
        <v>172</v>
      </c>
      <c r="I273" s="24" t="s">
        <v>152</v>
      </c>
      <c r="J273" s="15">
        <v>1</v>
      </c>
      <c r="K273" s="15">
        <v>4</v>
      </c>
      <c r="L273" s="15">
        <v>4</v>
      </c>
      <c r="M273" s="15">
        <v>1</v>
      </c>
      <c r="N273" s="15">
        <v>2</v>
      </c>
      <c r="O273" s="15">
        <v>2</v>
      </c>
      <c r="P273" s="15" t="s">
        <v>415</v>
      </c>
      <c r="Q273" s="23" t="s">
        <v>416</v>
      </c>
      <c r="R273" s="25">
        <f>ROUND((K273*Parametros!$B$4+L273*Parametros!$B$5+M273*Parametros!$B$6+N273*Parametros!$B$7+O273*Parametros!$B$8)/SUM(Parametros!$B$4:$B$8),2)</f>
        <v>2.8</v>
      </c>
      <c r="S273" s="26">
        <f>IFERROR(INDEX(Parametros!$F$33:$F$42,MATCH(D273,Parametros!$A$33:$A$42,0)),1)</f>
        <v>1.1000000000000001</v>
      </c>
      <c r="T273" s="27">
        <f>IFERROR(INDEX(Parametros!$B$21:$B$26,MATCH(I273,Parametros!$A$21:$A$26,0)),0)</f>
        <v>0</v>
      </c>
      <c r="U273" s="28">
        <f t="shared" si="17"/>
        <v>3.08</v>
      </c>
      <c r="V273" s="9">
        <f>IF(U273&gt;=Parametros!$B$14,4,IF(U273&gt;=Parametros!$B$13,3,IF(U273&gt;=Parametros!$B$12,2,1)))</f>
        <v>2</v>
      </c>
      <c r="W273" s="5">
        <f>MAX(V273,IF(K273=5,Parametros!$B$17,0),IF(P273="Sim",Parametros!$B$18,0))</f>
        <v>2</v>
      </c>
      <c r="X273" s="5" t="str">
        <f t="shared" si="18"/>
        <v>Normal</v>
      </c>
      <c r="Y273" s="29">
        <f t="shared" si="19"/>
        <v>2030.6997269999999</v>
      </c>
      <c r="Z273" s="4" t="s">
        <v>283</v>
      </c>
    </row>
    <row r="274" spans="1:26" ht="28.05" customHeight="1" x14ac:dyDescent="0.3">
      <c r="A274" s="5">
        <f t="shared" si="16"/>
        <v>270</v>
      </c>
      <c r="B274" s="23" t="s">
        <v>742</v>
      </c>
      <c r="C274" s="17" t="s">
        <v>743</v>
      </c>
      <c r="D274" s="4" t="s">
        <v>50</v>
      </c>
      <c r="E274" s="4" t="s">
        <v>65</v>
      </c>
      <c r="F274" s="4" t="s">
        <v>65</v>
      </c>
      <c r="G274" s="4" t="s">
        <v>107</v>
      </c>
      <c r="H274" s="4" t="s">
        <v>108</v>
      </c>
      <c r="I274" s="24" t="s">
        <v>122</v>
      </c>
      <c r="J274" s="15">
        <v>3</v>
      </c>
      <c r="K274" s="15">
        <v>3</v>
      </c>
      <c r="L274" s="15">
        <v>3</v>
      </c>
      <c r="M274" s="15">
        <v>3</v>
      </c>
      <c r="N274" s="15">
        <v>2</v>
      </c>
      <c r="O274" s="15">
        <v>3</v>
      </c>
      <c r="P274" s="15" t="s">
        <v>415</v>
      </c>
      <c r="Q274" s="23" t="s">
        <v>416</v>
      </c>
      <c r="R274" s="25">
        <f>ROUND((K274*Parametros!$B$4+L274*Parametros!$B$5+M274*Parametros!$B$6+N274*Parametros!$B$7+O274*Parametros!$B$8)/SUM(Parametros!$B$4:$B$8),2)</f>
        <v>2.85</v>
      </c>
      <c r="S274" s="26">
        <f>IFERROR(INDEX(Parametros!$F$33:$F$42,MATCH(D274,Parametros!$A$33:$A$42,0)),1)</f>
        <v>1.0840000000000001</v>
      </c>
      <c r="T274" s="27">
        <f>IFERROR(INDEX(Parametros!$B$21:$B$26,MATCH(I274,Parametros!$A$21:$A$26,0)),0)</f>
        <v>0</v>
      </c>
      <c r="U274" s="28">
        <f t="shared" si="17"/>
        <v>3.09</v>
      </c>
      <c r="V274" s="9">
        <f>IF(U274&gt;=Parametros!$B$14,4,IF(U274&gt;=Parametros!$B$13,3,IF(U274&gt;=Parametros!$B$12,2,1)))</f>
        <v>2</v>
      </c>
      <c r="W274" s="5">
        <f>MAX(V274,IF(K274=5,Parametros!$B$17,0),IF(P274="Sim",Parametros!$B$18,0))</f>
        <v>2</v>
      </c>
      <c r="X274" s="5" t="str">
        <f t="shared" si="18"/>
        <v>Normal</v>
      </c>
      <c r="Y274" s="29">
        <f t="shared" si="19"/>
        <v>2030.5997260000001</v>
      </c>
      <c r="Z274" s="4" t="s">
        <v>659</v>
      </c>
    </row>
    <row r="275" spans="1:26" ht="28.05" customHeight="1" x14ac:dyDescent="0.3">
      <c r="A275" s="5">
        <f t="shared" si="16"/>
        <v>271</v>
      </c>
      <c r="B275" s="23" t="s">
        <v>744</v>
      </c>
      <c r="C275" s="17" t="s">
        <v>745</v>
      </c>
      <c r="D275" s="4" t="s">
        <v>55</v>
      </c>
      <c r="E275" s="4" t="s">
        <v>73</v>
      </c>
      <c r="F275" s="4" t="s">
        <v>73</v>
      </c>
      <c r="G275" s="4" t="s">
        <v>112</v>
      </c>
      <c r="H275" s="4" t="s">
        <v>108</v>
      </c>
      <c r="I275" s="24" t="s">
        <v>152</v>
      </c>
      <c r="J275" s="15">
        <v>4</v>
      </c>
      <c r="K275" s="15">
        <v>3</v>
      </c>
      <c r="L275" s="15">
        <v>4</v>
      </c>
      <c r="M275" s="15">
        <v>2</v>
      </c>
      <c r="N275" s="15">
        <v>2</v>
      </c>
      <c r="O275" s="15">
        <v>4</v>
      </c>
      <c r="P275" s="15" t="s">
        <v>415</v>
      </c>
      <c r="Q275" s="23" t="s">
        <v>416</v>
      </c>
      <c r="R275" s="25">
        <f>ROUND((K275*Parametros!$B$4+L275*Parametros!$B$5+M275*Parametros!$B$6+N275*Parametros!$B$7+O275*Parametros!$B$8)/SUM(Parametros!$B$4:$B$8),2)</f>
        <v>3</v>
      </c>
      <c r="S275" s="26">
        <f>IFERROR(INDEX(Parametros!$F$33:$F$42,MATCH(D275,Parametros!$A$33:$A$42,0)),1)</f>
        <v>1.034</v>
      </c>
      <c r="T275" s="27">
        <f>IFERROR(INDEX(Parametros!$B$21:$B$26,MATCH(I275,Parametros!$A$21:$A$26,0)),0)</f>
        <v>0</v>
      </c>
      <c r="U275" s="28">
        <f t="shared" si="17"/>
        <v>3.1</v>
      </c>
      <c r="V275" s="9">
        <f>IF(U275&gt;=Parametros!$B$14,4,IF(U275&gt;=Parametros!$B$13,3,IF(U275&gt;=Parametros!$B$12,2,1)))</f>
        <v>2</v>
      </c>
      <c r="W275" s="5">
        <f>MAX(V275,IF(K275=5,Parametros!$B$17,0),IF(P275="Sim",Parametros!$B$18,0))</f>
        <v>2</v>
      </c>
      <c r="X275" s="5" t="str">
        <f t="shared" si="18"/>
        <v>Normal</v>
      </c>
      <c r="Y275" s="29">
        <f t="shared" si="19"/>
        <v>2030.5997249999998</v>
      </c>
      <c r="Z275" s="4" t="s">
        <v>320</v>
      </c>
    </row>
    <row r="276" spans="1:26" ht="28.05" customHeight="1" x14ac:dyDescent="0.3">
      <c r="A276" s="5">
        <f t="shared" si="16"/>
        <v>272</v>
      </c>
      <c r="B276" s="23" t="s">
        <v>746</v>
      </c>
      <c r="C276" s="17" t="s">
        <v>747</v>
      </c>
      <c r="D276" s="4" t="s">
        <v>49</v>
      </c>
      <c r="E276" s="4" t="s">
        <v>81</v>
      </c>
      <c r="F276" s="4" t="s">
        <v>81</v>
      </c>
      <c r="G276" s="4" t="s">
        <v>107</v>
      </c>
      <c r="H276" s="4" t="s">
        <v>108</v>
      </c>
      <c r="I276" s="24" t="s">
        <v>152</v>
      </c>
      <c r="J276" s="15">
        <v>3</v>
      </c>
      <c r="K276" s="15">
        <v>3</v>
      </c>
      <c r="L276" s="15">
        <v>3</v>
      </c>
      <c r="M276" s="15">
        <v>2</v>
      </c>
      <c r="N276" s="15">
        <v>3</v>
      </c>
      <c r="O276" s="15">
        <v>3</v>
      </c>
      <c r="P276" s="15" t="s">
        <v>415</v>
      </c>
      <c r="Q276" s="23" t="s">
        <v>416</v>
      </c>
      <c r="R276" s="25">
        <f>ROUND((K276*Parametros!$B$4+L276*Parametros!$B$5+M276*Parametros!$B$6+N276*Parametros!$B$7+O276*Parametros!$B$8)/SUM(Parametros!$B$4:$B$8),2)</f>
        <v>2.8</v>
      </c>
      <c r="S276" s="26">
        <f>IFERROR(INDEX(Parametros!$F$33:$F$42,MATCH(D276,Parametros!$A$33:$A$42,0)),1)</f>
        <v>1.1000000000000001</v>
      </c>
      <c r="T276" s="27">
        <f>IFERROR(INDEX(Parametros!$B$21:$B$26,MATCH(I276,Parametros!$A$21:$A$26,0)),0)</f>
        <v>0</v>
      </c>
      <c r="U276" s="28">
        <f t="shared" si="17"/>
        <v>3.08</v>
      </c>
      <c r="V276" s="9">
        <f>IF(U276&gt;=Parametros!$B$14,4,IF(U276&gt;=Parametros!$B$13,3,IF(U276&gt;=Parametros!$B$12,2,1)))</f>
        <v>2</v>
      </c>
      <c r="W276" s="5">
        <f>MAX(V276,IF(K276=5,Parametros!$B$17,0),IF(P276="Sim",Parametros!$B$18,0))</f>
        <v>2</v>
      </c>
      <c r="X276" s="5" t="str">
        <f t="shared" si="18"/>
        <v>Normal</v>
      </c>
      <c r="Y276" s="29">
        <f t="shared" si="19"/>
        <v>2030.499724</v>
      </c>
      <c r="Z276" s="4" t="s">
        <v>659</v>
      </c>
    </row>
    <row r="277" spans="1:26" ht="28.05" customHeight="1" x14ac:dyDescent="0.3">
      <c r="A277" s="5">
        <f t="shared" si="16"/>
        <v>273</v>
      </c>
      <c r="B277" s="23" t="s">
        <v>748</v>
      </c>
      <c r="C277" s="17" t="s">
        <v>723</v>
      </c>
      <c r="D277" s="4" t="s">
        <v>56</v>
      </c>
      <c r="E277" s="4" t="s">
        <v>81</v>
      </c>
      <c r="F277" s="4" t="s">
        <v>81</v>
      </c>
      <c r="G277" s="4" t="s">
        <v>134</v>
      </c>
      <c r="H277" s="4" t="s">
        <v>108</v>
      </c>
      <c r="I277" s="24" t="s">
        <v>152</v>
      </c>
      <c r="J277" s="15">
        <v>1</v>
      </c>
      <c r="K277" s="15">
        <v>3</v>
      </c>
      <c r="L277" s="15">
        <v>3</v>
      </c>
      <c r="M277" s="15">
        <v>3</v>
      </c>
      <c r="N277" s="15">
        <v>3</v>
      </c>
      <c r="O277" s="15">
        <v>3</v>
      </c>
      <c r="P277" s="15" t="s">
        <v>415</v>
      </c>
      <c r="Q277" s="23" t="s">
        <v>416</v>
      </c>
      <c r="R277" s="25">
        <f>ROUND((K277*Parametros!$B$4+L277*Parametros!$B$5+M277*Parametros!$B$6+N277*Parametros!$B$7+O277*Parametros!$B$8)/SUM(Parametros!$B$4:$B$8),2)</f>
        <v>3</v>
      </c>
      <c r="S277" s="26">
        <f>IFERROR(INDEX(Parametros!$F$33:$F$42,MATCH(D277,Parametros!$A$33:$A$42,0)),1)</f>
        <v>1.0169999999999999</v>
      </c>
      <c r="T277" s="27">
        <f>IFERROR(INDEX(Parametros!$B$21:$B$26,MATCH(I277,Parametros!$A$21:$A$26,0)),0)</f>
        <v>0</v>
      </c>
      <c r="U277" s="28">
        <f t="shared" si="17"/>
        <v>3.05</v>
      </c>
      <c r="V277" s="9">
        <f>IF(U277&gt;=Parametros!$B$14,4,IF(U277&gt;=Parametros!$B$13,3,IF(U277&gt;=Parametros!$B$12,2,1)))</f>
        <v>2</v>
      </c>
      <c r="W277" s="5">
        <f>MAX(V277,IF(K277=5,Parametros!$B$17,0),IF(P277="Sim",Parametros!$B$18,0))</f>
        <v>2</v>
      </c>
      <c r="X277" s="5" t="str">
        <f t="shared" si="18"/>
        <v>Normal</v>
      </c>
      <c r="Y277" s="29">
        <f t="shared" si="19"/>
        <v>2030.399723</v>
      </c>
      <c r="Z277" s="4" t="s">
        <v>659</v>
      </c>
    </row>
    <row r="278" spans="1:26" ht="28.05" customHeight="1" x14ac:dyDescent="0.3">
      <c r="A278" s="5">
        <f t="shared" si="16"/>
        <v>274</v>
      </c>
      <c r="B278" s="23" t="s">
        <v>749</v>
      </c>
      <c r="C278" s="17" t="s">
        <v>750</v>
      </c>
      <c r="D278" s="4" t="s">
        <v>54</v>
      </c>
      <c r="E278" s="4" t="s">
        <v>78</v>
      </c>
      <c r="F278" s="4" t="s">
        <v>78</v>
      </c>
      <c r="G278" s="4" t="s">
        <v>171</v>
      </c>
      <c r="H278" s="4" t="s">
        <v>172</v>
      </c>
      <c r="I278" s="24" t="s">
        <v>152</v>
      </c>
      <c r="J278" s="15">
        <v>1</v>
      </c>
      <c r="K278" s="15">
        <v>3</v>
      </c>
      <c r="L278" s="15">
        <v>2</v>
      </c>
      <c r="M278" s="15">
        <v>3</v>
      </c>
      <c r="N278" s="15">
        <v>4</v>
      </c>
      <c r="O278" s="15">
        <v>3</v>
      </c>
      <c r="P278" s="15" t="s">
        <v>415</v>
      </c>
      <c r="Q278" s="23" t="s">
        <v>416</v>
      </c>
      <c r="R278" s="25">
        <f>ROUND((K278*Parametros!$B$4+L278*Parametros!$B$5+M278*Parametros!$B$6+N278*Parametros!$B$7+O278*Parametros!$B$8)/SUM(Parametros!$B$4:$B$8),2)</f>
        <v>2.95</v>
      </c>
      <c r="S278" s="26">
        <f>IFERROR(INDEX(Parametros!$F$33:$F$42,MATCH(D278,Parametros!$A$33:$A$42,0)),1)</f>
        <v>1.034</v>
      </c>
      <c r="T278" s="27">
        <f>IFERROR(INDEX(Parametros!$B$21:$B$26,MATCH(I278,Parametros!$A$21:$A$26,0)),0)</f>
        <v>0</v>
      </c>
      <c r="U278" s="28">
        <f t="shared" si="17"/>
        <v>3.05</v>
      </c>
      <c r="V278" s="9">
        <f>IF(U278&gt;=Parametros!$B$14,4,IF(U278&gt;=Parametros!$B$13,3,IF(U278&gt;=Parametros!$B$12,2,1)))</f>
        <v>2</v>
      </c>
      <c r="W278" s="5">
        <f>MAX(V278,IF(K278=5,Parametros!$B$17,0),IF(P278="Sim",Parametros!$B$18,0))</f>
        <v>2</v>
      </c>
      <c r="X278" s="5" t="str">
        <f t="shared" si="18"/>
        <v>Normal</v>
      </c>
      <c r="Y278" s="29">
        <f t="shared" si="19"/>
        <v>2030.3997220000001</v>
      </c>
      <c r="Z278" s="4" t="s">
        <v>653</v>
      </c>
    </row>
    <row r="279" spans="1:26" ht="28.05" customHeight="1" x14ac:dyDescent="0.3">
      <c r="A279" s="5">
        <f t="shared" si="16"/>
        <v>275</v>
      </c>
      <c r="B279" s="23" t="s">
        <v>751</v>
      </c>
      <c r="C279" s="17" t="s">
        <v>752</v>
      </c>
      <c r="D279" s="4" t="s">
        <v>50</v>
      </c>
      <c r="E279" s="4" t="s">
        <v>69</v>
      </c>
      <c r="F279" s="4" t="s">
        <v>427</v>
      </c>
      <c r="G279" s="4" t="s">
        <v>171</v>
      </c>
      <c r="H279" s="4" t="s">
        <v>172</v>
      </c>
      <c r="I279" s="24" t="s">
        <v>152</v>
      </c>
      <c r="J279" s="15">
        <v>1</v>
      </c>
      <c r="K279" s="15">
        <v>3</v>
      </c>
      <c r="L279" s="15">
        <v>2</v>
      </c>
      <c r="M279" s="15">
        <v>3</v>
      </c>
      <c r="N279" s="15">
        <v>4</v>
      </c>
      <c r="O279" s="15">
        <v>2</v>
      </c>
      <c r="P279" s="15" t="s">
        <v>415</v>
      </c>
      <c r="Q279" s="23" t="s">
        <v>416</v>
      </c>
      <c r="R279" s="25">
        <f>ROUND((K279*Parametros!$B$4+L279*Parametros!$B$5+M279*Parametros!$B$6+N279*Parametros!$B$7+O279*Parametros!$B$8)/SUM(Parametros!$B$4:$B$8),2)</f>
        <v>2.8</v>
      </c>
      <c r="S279" s="26">
        <f>IFERROR(INDEX(Parametros!$F$33:$F$42,MATCH(D279,Parametros!$A$33:$A$42,0)),1)</f>
        <v>1.0840000000000001</v>
      </c>
      <c r="T279" s="27">
        <f>IFERROR(INDEX(Parametros!$B$21:$B$26,MATCH(I279,Parametros!$A$21:$A$26,0)),0)</f>
        <v>0</v>
      </c>
      <c r="U279" s="28">
        <f t="shared" si="17"/>
        <v>3.04</v>
      </c>
      <c r="V279" s="9">
        <f>IF(U279&gt;=Parametros!$B$14,4,IF(U279&gt;=Parametros!$B$13,3,IF(U279&gt;=Parametros!$B$12,2,1)))</f>
        <v>2</v>
      </c>
      <c r="W279" s="5">
        <f>MAX(V279,IF(K279=5,Parametros!$B$17,0),IF(P279="Sim",Parametros!$B$18,0))</f>
        <v>2</v>
      </c>
      <c r="X279" s="5" t="str">
        <f t="shared" si="18"/>
        <v>Normal</v>
      </c>
      <c r="Y279" s="29">
        <f t="shared" si="19"/>
        <v>2030.2997210000001</v>
      </c>
      <c r="Z279" s="4" t="s">
        <v>653</v>
      </c>
    </row>
    <row r="280" spans="1:26" ht="28.05" customHeight="1" x14ac:dyDescent="0.3">
      <c r="A280" s="5">
        <f t="shared" si="16"/>
        <v>276</v>
      </c>
      <c r="B280" s="23" t="s">
        <v>753</v>
      </c>
      <c r="C280" s="17" t="s">
        <v>754</v>
      </c>
      <c r="D280" s="4" t="s">
        <v>54</v>
      </c>
      <c r="E280" s="4" t="s">
        <v>63</v>
      </c>
      <c r="F280" s="4" t="s">
        <v>63</v>
      </c>
      <c r="G280" s="4" t="s">
        <v>119</v>
      </c>
      <c r="H280" s="4" t="s">
        <v>108</v>
      </c>
      <c r="I280" s="24" t="s">
        <v>152</v>
      </c>
      <c r="J280" s="15">
        <v>2</v>
      </c>
      <c r="K280" s="15">
        <v>3</v>
      </c>
      <c r="L280" s="15">
        <v>3</v>
      </c>
      <c r="M280" s="15">
        <v>2</v>
      </c>
      <c r="N280" s="15">
        <v>3</v>
      </c>
      <c r="O280" s="15">
        <v>4</v>
      </c>
      <c r="P280" s="15" t="s">
        <v>415</v>
      </c>
      <c r="Q280" s="23" t="s">
        <v>416</v>
      </c>
      <c r="R280" s="25">
        <f>ROUND((K280*Parametros!$B$4+L280*Parametros!$B$5+M280*Parametros!$B$6+N280*Parametros!$B$7+O280*Parametros!$B$8)/SUM(Parametros!$B$4:$B$8),2)</f>
        <v>2.95</v>
      </c>
      <c r="S280" s="26">
        <f>IFERROR(INDEX(Parametros!$F$33:$F$42,MATCH(D280,Parametros!$A$33:$A$42,0)),1)</f>
        <v>1.034</v>
      </c>
      <c r="T280" s="27">
        <f>IFERROR(INDEX(Parametros!$B$21:$B$26,MATCH(I280,Parametros!$A$21:$A$26,0)),0)</f>
        <v>0</v>
      </c>
      <c r="U280" s="28">
        <f t="shared" si="17"/>
        <v>3.05</v>
      </c>
      <c r="V280" s="9">
        <f>IF(U280&gt;=Parametros!$B$14,4,IF(U280&gt;=Parametros!$B$13,3,IF(U280&gt;=Parametros!$B$12,2,1)))</f>
        <v>2</v>
      </c>
      <c r="W280" s="5">
        <f>MAX(V280,IF(K280=5,Parametros!$B$17,0),IF(P280="Sim",Parametros!$B$18,0))</f>
        <v>2</v>
      </c>
      <c r="X280" s="5" t="str">
        <f t="shared" si="18"/>
        <v>Normal</v>
      </c>
      <c r="Y280" s="29">
        <f t="shared" si="19"/>
        <v>2030.29972</v>
      </c>
      <c r="Z280" s="4" t="s">
        <v>322</v>
      </c>
    </row>
    <row r="281" spans="1:26" ht="28.05" customHeight="1" x14ac:dyDescent="0.3">
      <c r="A281" s="5">
        <f t="shared" si="16"/>
        <v>277</v>
      </c>
      <c r="B281" s="23" t="s">
        <v>755</v>
      </c>
      <c r="C281" s="17" t="s">
        <v>756</v>
      </c>
      <c r="D281" s="4" t="s">
        <v>48</v>
      </c>
      <c r="E281" s="4" t="s">
        <v>82</v>
      </c>
      <c r="F281" s="4" t="s">
        <v>82</v>
      </c>
      <c r="G281" s="4" t="s">
        <v>119</v>
      </c>
      <c r="H281" s="4" t="s">
        <v>108</v>
      </c>
      <c r="I281" s="24" t="s">
        <v>152</v>
      </c>
      <c r="J281" s="15">
        <v>5</v>
      </c>
      <c r="K281" s="15">
        <v>2</v>
      </c>
      <c r="L281" s="15">
        <v>4</v>
      </c>
      <c r="M281" s="15">
        <v>4</v>
      </c>
      <c r="N281" s="15">
        <v>1</v>
      </c>
      <c r="O281" s="15">
        <v>3</v>
      </c>
      <c r="P281" s="15" t="s">
        <v>415</v>
      </c>
      <c r="Q281" s="23" t="s">
        <v>416</v>
      </c>
      <c r="R281" s="25">
        <f>ROUND((K281*Parametros!$B$4+L281*Parametros!$B$5+M281*Parametros!$B$6+N281*Parametros!$B$7+O281*Parametros!$B$8)/SUM(Parametros!$B$4:$B$8),2)</f>
        <v>2.8</v>
      </c>
      <c r="S281" s="26">
        <f>IFERROR(INDEX(Parametros!$F$33:$F$42,MATCH(D281,Parametros!$A$33:$A$42,0)),1)</f>
        <v>1.1000000000000001</v>
      </c>
      <c r="T281" s="27">
        <f>IFERROR(INDEX(Parametros!$B$21:$B$26,MATCH(I281,Parametros!$A$21:$A$26,0)),0)</f>
        <v>0</v>
      </c>
      <c r="U281" s="28">
        <f t="shared" si="17"/>
        <v>3.08</v>
      </c>
      <c r="V281" s="9">
        <f>IF(U281&gt;=Parametros!$B$14,4,IF(U281&gt;=Parametros!$B$13,3,IF(U281&gt;=Parametros!$B$12,2,1)))</f>
        <v>2</v>
      </c>
      <c r="W281" s="5">
        <f>MAX(V281,IF(K281=5,Parametros!$B$17,0),IF(P281="Sim",Parametros!$B$18,0))</f>
        <v>2</v>
      </c>
      <c r="X281" s="5" t="str">
        <f t="shared" si="18"/>
        <v>Normal</v>
      </c>
      <c r="Y281" s="29">
        <f t="shared" si="19"/>
        <v>2030.2997189999999</v>
      </c>
      <c r="Z281" s="4" t="s">
        <v>235</v>
      </c>
    </row>
    <row r="282" spans="1:26" ht="28.05" customHeight="1" x14ac:dyDescent="0.3">
      <c r="A282" s="5">
        <f t="shared" si="16"/>
        <v>278</v>
      </c>
      <c r="B282" s="23" t="s">
        <v>757</v>
      </c>
      <c r="C282" s="17" t="s">
        <v>758</v>
      </c>
      <c r="D282" s="4" t="s">
        <v>54</v>
      </c>
      <c r="E282" s="4" t="s">
        <v>65</v>
      </c>
      <c r="F282" s="4" t="s">
        <v>65</v>
      </c>
      <c r="G282" s="4" t="s">
        <v>171</v>
      </c>
      <c r="H282" s="4" t="s">
        <v>172</v>
      </c>
      <c r="I282" s="24" t="s">
        <v>109</v>
      </c>
      <c r="J282" s="15">
        <v>2</v>
      </c>
      <c r="K282" s="15">
        <v>3</v>
      </c>
      <c r="L282" s="15">
        <v>3</v>
      </c>
      <c r="M282" s="15">
        <v>2</v>
      </c>
      <c r="N282" s="15">
        <v>2</v>
      </c>
      <c r="O282" s="15">
        <v>3</v>
      </c>
      <c r="P282" s="15" t="s">
        <v>415</v>
      </c>
      <c r="Q282" s="23" t="s">
        <v>416</v>
      </c>
      <c r="R282" s="25">
        <f>ROUND((K282*Parametros!$B$4+L282*Parametros!$B$5+M282*Parametros!$B$6+N282*Parametros!$B$7+O282*Parametros!$B$8)/SUM(Parametros!$B$4:$B$8),2)</f>
        <v>2.65</v>
      </c>
      <c r="S282" s="26">
        <f>IFERROR(INDEX(Parametros!$F$33:$F$42,MATCH(D282,Parametros!$A$33:$A$42,0)),1)</f>
        <v>1.034</v>
      </c>
      <c r="T282" s="27">
        <f>IFERROR(INDEX(Parametros!$B$21:$B$26,MATCH(I282,Parametros!$A$21:$A$26,0)),0)</f>
        <v>0.3</v>
      </c>
      <c r="U282" s="28">
        <f t="shared" si="17"/>
        <v>3.04</v>
      </c>
      <c r="V282" s="9">
        <f>IF(U282&gt;=Parametros!$B$14,4,IF(U282&gt;=Parametros!$B$13,3,IF(U282&gt;=Parametros!$B$12,2,1)))</f>
        <v>2</v>
      </c>
      <c r="W282" s="5">
        <f>MAX(V282,IF(K282=5,Parametros!$B$17,0),IF(P282="Sim",Parametros!$B$18,0))</f>
        <v>2</v>
      </c>
      <c r="X282" s="5" t="str">
        <f t="shared" si="18"/>
        <v>Normal</v>
      </c>
      <c r="Y282" s="29">
        <f t="shared" si="19"/>
        <v>2030.1997180000001</v>
      </c>
      <c r="Z282" s="4" t="s">
        <v>348</v>
      </c>
    </row>
    <row r="283" spans="1:26" ht="28.05" customHeight="1" x14ac:dyDescent="0.3">
      <c r="A283" s="5">
        <f t="shared" si="16"/>
        <v>279</v>
      </c>
      <c r="B283" s="23" t="s">
        <v>759</v>
      </c>
      <c r="C283" s="17" t="s">
        <v>760</v>
      </c>
      <c r="D283" s="4" t="s">
        <v>54</v>
      </c>
      <c r="E283" s="4" t="s">
        <v>69</v>
      </c>
      <c r="F283" s="4" t="s">
        <v>427</v>
      </c>
      <c r="G283" s="4" t="s">
        <v>107</v>
      </c>
      <c r="H283" s="4" t="s">
        <v>108</v>
      </c>
      <c r="I283" s="24" t="s">
        <v>152</v>
      </c>
      <c r="J283" s="15">
        <v>3</v>
      </c>
      <c r="K283" s="15">
        <v>3</v>
      </c>
      <c r="L283" s="15">
        <v>3</v>
      </c>
      <c r="M283" s="15">
        <v>2</v>
      </c>
      <c r="N283" s="15">
        <v>4</v>
      </c>
      <c r="O283" s="15">
        <v>3</v>
      </c>
      <c r="P283" s="15" t="s">
        <v>415</v>
      </c>
      <c r="Q283" s="23" t="s">
        <v>416</v>
      </c>
      <c r="R283" s="25">
        <f>ROUND((K283*Parametros!$B$4+L283*Parametros!$B$5+M283*Parametros!$B$6+N283*Parametros!$B$7+O283*Parametros!$B$8)/SUM(Parametros!$B$4:$B$8),2)</f>
        <v>2.95</v>
      </c>
      <c r="S283" s="26">
        <f>IFERROR(INDEX(Parametros!$F$33:$F$42,MATCH(D283,Parametros!$A$33:$A$42,0)),1)</f>
        <v>1.034</v>
      </c>
      <c r="T283" s="27">
        <f>IFERROR(INDEX(Parametros!$B$21:$B$26,MATCH(I283,Parametros!$A$21:$A$26,0)),0)</f>
        <v>0</v>
      </c>
      <c r="U283" s="28">
        <f t="shared" si="17"/>
        <v>3.05</v>
      </c>
      <c r="V283" s="9">
        <f>IF(U283&gt;=Parametros!$B$14,4,IF(U283&gt;=Parametros!$B$13,3,IF(U283&gt;=Parametros!$B$12,2,1)))</f>
        <v>2</v>
      </c>
      <c r="W283" s="5">
        <f>MAX(V283,IF(K283=5,Parametros!$B$17,0),IF(P283="Sim",Parametros!$B$18,0))</f>
        <v>2</v>
      </c>
      <c r="X283" s="5" t="str">
        <f t="shared" si="18"/>
        <v>Normal</v>
      </c>
      <c r="Y283" s="29">
        <f t="shared" si="19"/>
        <v>2030.199717</v>
      </c>
      <c r="Z283" s="4" t="s">
        <v>653</v>
      </c>
    </row>
    <row r="284" spans="1:26" ht="28.05" customHeight="1" x14ac:dyDescent="0.3">
      <c r="A284" s="5">
        <f t="shared" si="16"/>
        <v>280</v>
      </c>
      <c r="B284" s="23" t="s">
        <v>761</v>
      </c>
      <c r="C284" s="17" t="s">
        <v>762</v>
      </c>
      <c r="D284" s="4" t="s">
        <v>53</v>
      </c>
      <c r="E284" s="4" t="s">
        <v>77</v>
      </c>
      <c r="F284" s="4" t="s">
        <v>77</v>
      </c>
      <c r="G284" s="4" t="s">
        <v>171</v>
      </c>
      <c r="H284" s="4" t="s">
        <v>172</v>
      </c>
      <c r="I284" s="24" t="s">
        <v>152</v>
      </c>
      <c r="J284" s="15">
        <v>3</v>
      </c>
      <c r="K284" s="15">
        <v>4</v>
      </c>
      <c r="L284" s="15">
        <v>3</v>
      </c>
      <c r="M284" s="15">
        <v>1</v>
      </c>
      <c r="N284" s="15">
        <v>3</v>
      </c>
      <c r="O284" s="15">
        <v>3</v>
      </c>
      <c r="P284" s="15" t="s">
        <v>415</v>
      </c>
      <c r="Q284" s="23" t="s">
        <v>416</v>
      </c>
      <c r="R284" s="25">
        <f>ROUND((K284*Parametros!$B$4+L284*Parametros!$B$5+M284*Parametros!$B$6+N284*Parametros!$B$7+O284*Parametros!$B$8)/SUM(Parametros!$B$4:$B$8),2)</f>
        <v>2.9</v>
      </c>
      <c r="S284" s="26">
        <f>IFERROR(INDEX(Parametros!$F$33:$F$42,MATCH(D284,Parametros!$A$33:$A$42,0)),1)</f>
        <v>1.05</v>
      </c>
      <c r="T284" s="27">
        <f>IFERROR(INDEX(Parametros!$B$21:$B$26,MATCH(I284,Parametros!$A$21:$A$26,0)),0)</f>
        <v>0</v>
      </c>
      <c r="U284" s="28">
        <f t="shared" si="17"/>
        <v>3.05</v>
      </c>
      <c r="V284" s="9">
        <f>IF(U284&gt;=Parametros!$B$14,4,IF(U284&gt;=Parametros!$B$13,3,IF(U284&gt;=Parametros!$B$12,2,1)))</f>
        <v>2</v>
      </c>
      <c r="W284" s="5">
        <f>MAX(V284,IF(K284=5,Parametros!$B$17,0),IF(P284="Sim",Parametros!$B$18,0))</f>
        <v>2</v>
      </c>
      <c r="X284" s="5" t="str">
        <f t="shared" si="18"/>
        <v>Normal</v>
      </c>
      <c r="Y284" s="29">
        <f t="shared" si="19"/>
        <v>2030.1997160000001</v>
      </c>
      <c r="Z284" s="4" t="s">
        <v>385</v>
      </c>
    </row>
    <row r="285" spans="1:26" ht="28.05" customHeight="1" x14ac:dyDescent="0.3">
      <c r="A285" s="5">
        <f t="shared" si="16"/>
        <v>281</v>
      </c>
      <c r="B285" s="23" t="s">
        <v>763</v>
      </c>
      <c r="C285" s="17" t="s">
        <v>764</v>
      </c>
      <c r="D285" s="4" t="s">
        <v>54</v>
      </c>
      <c r="E285" s="4" t="s">
        <v>72</v>
      </c>
      <c r="F285" s="4" t="s">
        <v>72</v>
      </c>
      <c r="G285" s="4" t="s">
        <v>184</v>
      </c>
      <c r="H285" s="4" t="s">
        <v>185</v>
      </c>
      <c r="I285" s="24" t="s">
        <v>109</v>
      </c>
      <c r="J285" s="15">
        <v>3</v>
      </c>
      <c r="K285" s="15">
        <v>3</v>
      </c>
      <c r="L285" s="15">
        <v>3</v>
      </c>
      <c r="M285" s="15">
        <v>2</v>
      </c>
      <c r="N285" s="15">
        <v>2</v>
      </c>
      <c r="O285" s="15">
        <v>3</v>
      </c>
      <c r="P285" s="15" t="s">
        <v>415</v>
      </c>
      <c r="Q285" s="23" t="s">
        <v>416</v>
      </c>
      <c r="R285" s="25">
        <f>ROUND((K285*Parametros!$B$4+L285*Parametros!$B$5+M285*Parametros!$B$6+N285*Parametros!$B$7+O285*Parametros!$B$8)/SUM(Parametros!$B$4:$B$8),2)</f>
        <v>2.65</v>
      </c>
      <c r="S285" s="26">
        <f>IFERROR(INDEX(Parametros!$F$33:$F$42,MATCH(D285,Parametros!$A$33:$A$42,0)),1)</f>
        <v>1.034</v>
      </c>
      <c r="T285" s="27">
        <f>IFERROR(INDEX(Parametros!$B$21:$B$26,MATCH(I285,Parametros!$A$21:$A$26,0)),0)</f>
        <v>0.3</v>
      </c>
      <c r="U285" s="28">
        <f t="shared" si="17"/>
        <v>3.04</v>
      </c>
      <c r="V285" s="9">
        <f>IF(U285&gt;=Parametros!$B$14,4,IF(U285&gt;=Parametros!$B$13,3,IF(U285&gt;=Parametros!$B$12,2,1)))</f>
        <v>2</v>
      </c>
      <c r="W285" s="5">
        <f>MAX(V285,IF(K285=5,Parametros!$B$17,0),IF(P285="Sim",Parametros!$B$18,0))</f>
        <v>2</v>
      </c>
      <c r="X285" s="5" t="str">
        <f t="shared" si="18"/>
        <v>Normal</v>
      </c>
      <c r="Y285" s="29">
        <f t="shared" si="19"/>
        <v>2030.0997150000001</v>
      </c>
      <c r="Z285" s="4" t="s">
        <v>348</v>
      </c>
    </row>
    <row r="286" spans="1:26" ht="28.05" customHeight="1" x14ac:dyDescent="0.3">
      <c r="A286" s="5">
        <f t="shared" si="16"/>
        <v>282</v>
      </c>
      <c r="B286" s="23" t="s">
        <v>765</v>
      </c>
      <c r="C286" s="17" t="s">
        <v>766</v>
      </c>
      <c r="D286" s="4" t="s">
        <v>51</v>
      </c>
      <c r="E286" s="4" t="s">
        <v>64</v>
      </c>
      <c r="F286" s="4" t="s">
        <v>64</v>
      </c>
      <c r="G286" s="4" t="s">
        <v>107</v>
      </c>
      <c r="H286" s="4" t="s">
        <v>108</v>
      </c>
      <c r="I286" s="24" t="s">
        <v>131</v>
      </c>
      <c r="J286" s="15">
        <v>3</v>
      </c>
      <c r="K286" s="15">
        <v>3</v>
      </c>
      <c r="L286" s="15">
        <v>4</v>
      </c>
      <c r="M286" s="15">
        <v>2</v>
      </c>
      <c r="N286" s="15">
        <v>2</v>
      </c>
      <c r="O286" s="15">
        <v>3</v>
      </c>
      <c r="P286" s="15" t="s">
        <v>415</v>
      </c>
      <c r="Q286" s="23" t="s">
        <v>416</v>
      </c>
      <c r="R286" s="25">
        <f>ROUND((K286*Parametros!$B$4+L286*Parametros!$B$5+M286*Parametros!$B$6+N286*Parametros!$B$7+O286*Parametros!$B$8)/SUM(Parametros!$B$4:$B$8),2)</f>
        <v>2.85</v>
      </c>
      <c r="S286" s="26">
        <f>IFERROR(INDEX(Parametros!$F$33:$F$42,MATCH(D286,Parametros!$A$33:$A$42,0)),1)</f>
        <v>1.0669999999999999</v>
      </c>
      <c r="T286" s="27">
        <f>IFERROR(INDEX(Parametros!$B$21:$B$26,MATCH(I286,Parametros!$A$21:$A$26,0)),0)</f>
        <v>0</v>
      </c>
      <c r="U286" s="28">
        <f t="shared" si="17"/>
        <v>3.04</v>
      </c>
      <c r="V286" s="9">
        <f>IF(U286&gt;=Parametros!$B$14,4,IF(U286&gt;=Parametros!$B$13,3,IF(U286&gt;=Parametros!$B$12,2,1)))</f>
        <v>2</v>
      </c>
      <c r="W286" s="5">
        <f>MAX(V286,IF(K286=5,Parametros!$B$17,0),IF(P286="Sim",Parametros!$B$18,0))</f>
        <v>2</v>
      </c>
      <c r="X286" s="5" t="str">
        <f t="shared" si="18"/>
        <v>Normal</v>
      </c>
      <c r="Y286" s="29">
        <f t="shared" si="19"/>
        <v>2030.0997140000002</v>
      </c>
      <c r="Z286" s="4" t="s">
        <v>309</v>
      </c>
    </row>
    <row r="287" spans="1:26" ht="28.05" customHeight="1" x14ac:dyDescent="0.3">
      <c r="A287" s="5">
        <f t="shared" si="16"/>
        <v>283</v>
      </c>
      <c r="B287" s="23" t="s">
        <v>767</v>
      </c>
      <c r="C287" s="17" t="s">
        <v>745</v>
      </c>
      <c r="D287" s="4" t="s">
        <v>56</v>
      </c>
      <c r="E287" s="4" t="s">
        <v>73</v>
      </c>
      <c r="F287" s="4" t="s">
        <v>73</v>
      </c>
      <c r="G287" s="4" t="s">
        <v>112</v>
      </c>
      <c r="H287" s="4" t="s">
        <v>108</v>
      </c>
      <c r="I287" s="24" t="s">
        <v>152</v>
      </c>
      <c r="J287" s="15">
        <v>4</v>
      </c>
      <c r="K287" s="15">
        <v>3</v>
      </c>
      <c r="L287" s="15">
        <v>4</v>
      </c>
      <c r="M287" s="15">
        <v>2</v>
      </c>
      <c r="N287" s="15">
        <v>2</v>
      </c>
      <c r="O287" s="15">
        <v>4</v>
      </c>
      <c r="P287" s="15" t="s">
        <v>415</v>
      </c>
      <c r="Q287" s="23" t="s">
        <v>416</v>
      </c>
      <c r="R287" s="25">
        <f>ROUND((K287*Parametros!$B$4+L287*Parametros!$B$5+M287*Parametros!$B$6+N287*Parametros!$B$7+O287*Parametros!$B$8)/SUM(Parametros!$B$4:$B$8),2)</f>
        <v>3</v>
      </c>
      <c r="S287" s="26">
        <f>IFERROR(INDEX(Parametros!$F$33:$F$42,MATCH(D287,Parametros!$A$33:$A$42,0)),1)</f>
        <v>1.0169999999999999</v>
      </c>
      <c r="T287" s="27">
        <f>IFERROR(INDEX(Parametros!$B$21:$B$26,MATCH(I287,Parametros!$A$21:$A$26,0)),0)</f>
        <v>0</v>
      </c>
      <c r="U287" s="28">
        <f t="shared" si="17"/>
        <v>3.05</v>
      </c>
      <c r="V287" s="9">
        <f>IF(U287&gt;=Parametros!$B$14,4,IF(U287&gt;=Parametros!$B$13,3,IF(U287&gt;=Parametros!$B$12,2,1)))</f>
        <v>2</v>
      </c>
      <c r="W287" s="5">
        <f>MAX(V287,IF(K287=5,Parametros!$B$17,0),IF(P287="Sim",Parametros!$B$18,0))</f>
        <v>2</v>
      </c>
      <c r="X287" s="5" t="str">
        <f t="shared" si="18"/>
        <v>Normal</v>
      </c>
      <c r="Y287" s="29">
        <f t="shared" si="19"/>
        <v>2030.0997129999998</v>
      </c>
      <c r="Z287" s="4" t="s">
        <v>320</v>
      </c>
    </row>
    <row r="288" spans="1:26" ht="28.05" customHeight="1" x14ac:dyDescent="0.3">
      <c r="A288" s="5">
        <f t="shared" si="16"/>
        <v>284</v>
      </c>
      <c r="B288" s="23" t="s">
        <v>768</v>
      </c>
      <c r="C288" s="17" t="s">
        <v>769</v>
      </c>
      <c r="D288" s="4" t="s">
        <v>53</v>
      </c>
      <c r="E288" s="4" t="s">
        <v>64</v>
      </c>
      <c r="F288" s="4" t="s">
        <v>64</v>
      </c>
      <c r="G288" s="4" t="s">
        <v>171</v>
      </c>
      <c r="H288" s="4" t="s">
        <v>172</v>
      </c>
      <c r="I288" s="24" t="s">
        <v>109</v>
      </c>
      <c r="J288" s="15">
        <v>2</v>
      </c>
      <c r="K288" s="15">
        <v>4</v>
      </c>
      <c r="L288" s="15">
        <v>3</v>
      </c>
      <c r="M288" s="15">
        <v>1</v>
      </c>
      <c r="N288" s="15">
        <v>2</v>
      </c>
      <c r="O288" s="15">
        <v>2</v>
      </c>
      <c r="P288" s="15" t="s">
        <v>415</v>
      </c>
      <c r="Q288" s="23" t="s">
        <v>416</v>
      </c>
      <c r="R288" s="25">
        <f>ROUND((K288*Parametros!$B$4+L288*Parametros!$B$5+M288*Parametros!$B$6+N288*Parametros!$B$7+O288*Parametros!$B$8)/SUM(Parametros!$B$4:$B$8),2)</f>
        <v>2.6</v>
      </c>
      <c r="S288" s="26">
        <f>IFERROR(INDEX(Parametros!$F$33:$F$42,MATCH(D288,Parametros!$A$33:$A$42,0)),1)</f>
        <v>1.05</v>
      </c>
      <c r="T288" s="27">
        <f>IFERROR(INDEX(Parametros!$B$21:$B$26,MATCH(I288,Parametros!$A$21:$A$26,0)),0)</f>
        <v>0.3</v>
      </c>
      <c r="U288" s="28">
        <f t="shared" si="17"/>
        <v>3.03</v>
      </c>
      <c r="V288" s="9">
        <f>IF(U288&gt;=Parametros!$B$14,4,IF(U288&gt;=Parametros!$B$13,3,IF(U288&gt;=Parametros!$B$12,2,1)))</f>
        <v>2</v>
      </c>
      <c r="W288" s="5">
        <f>MAX(V288,IF(K288=5,Parametros!$B$17,0),IF(P288="Sim",Parametros!$B$18,0))</f>
        <v>2</v>
      </c>
      <c r="X288" s="5" t="str">
        <f t="shared" si="18"/>
        <v>Normal</v>
      </c>
      <c r="Y288" s="29">
        <f t="shared" si="19"/>
        <v>2030.099712</v>
      </c>
      <c r="Z288" s="4" t="s">
        <v>351</v>
      </c>
    </row>
    <row r="289" spans="1:26" ht="28.05" customHeight="1" x14ac:dyDescent="0.3">
      <c r="A289" s="5">
        <f t="shared" si="16"/>
        <v>285</v>
      </c>
      <c r="B289" s="23" t="s">
        <v>770</v>
      </c>
      <c r="C289" s="17" t="s">
        <v>771</v>
      </c>
      <c r="D289" s="4" t="s">
        <v>53</v>
      </c>
      <c r="E289" s="4" t="s">
        <v>77</v>
      </c>
      <c r="F289" s="4" t="s">
        <v>77</v>
      </c>
      <c r="G289" s="4" t="s">
        <v>171</v>
      </c>
      <c r="H289" s="4" t="s">
        <v>172</v>
      </c>
      <c r="I289" s="24" t="s">
        <v>109</v>
      </c>
      <c r="J289" s="15">
        <v>3</v>
      </c>
      <c r="K289" s="15">
        <v>4</v>
      </c>
      <c r="L289" s="15">
        <v>3</v>
      </c>
      <c r="M289" s="15">
        <v>1</v>
      </c>
      <c r="N289" s="15">
        <v>2</v>
      </c>
      <c r="O289" s="15">
        <v>2</v>
      </c>
      <c r="P289" s="15" t="s">
        <v>415</v>
      </c>
      <c r="Q289" s="23" t="s">
        <v>416</v>
      </c>
      <c r="R289" s="25">
        <f>ROUND((K289*Parametros!$B$4+L289*Parametros!$B$5+M289*Parametros!$B$6+N289*Parametros!$B$7+O289*Parametros!$B$8)/SUM(Parametros!$B$4:$B$8),2)</f>
        <v>2.6</v>
      </c>
      <c r="S289" s="26">
        <f>IFERROR(INDEX(Parametros!$F$33:$F$42,MATCH(D289,Parametros!$A$33:$A$42,0)),1)</f>
        <v>1.05</v>
      </c>
      <c r="T289" s="27">
        <f>IFERROR(INDEX(Parametros!$B$21:$B$26,MATCH(I289,Parametros!$A$21:$A$26,0)),0)</f>
        <v>0.3</v>
      </c>
      <c r="U289" s="28">
        <f t="shared" si="17"/>
        <v>3.03</v>
      </c>
      <c r="V289" s="9">
        <f>IF(U289&gt;=Parametros!$B$14,4,IF(U289&gt;=Parametros!$B$13,3,IF(U289&gt;=Parametros!$B$12,2,1)))</f>
        <v>2</v>
      </c>
      <c r="W289" s="5">
        <f>MAX(V289,IF(K289=5,Parametros!$B$17,0),IF(P289="Sim",Parametros!$B$18,0))</f>
        <v>2</v>
      </c>
      <c r="X289" s="5" t="str">
        <f t="shared" si="18"/>
        <v>Normal</v>
      </c>
      <c r="Y289" s="29">
        <f t="shared" si="19"/>
        <v>2029.9997109999999</v>
      </c>
      <c r="Z289" s="4" t="s">
        <v>351</v>
      </c>
    </row>
    <row r="290" spans="1:26" ht="28.05" customHeight="1" x14ac:dyDescent="0.3">
      <c r="A290" s="5">
        <f t="shared" si="16"/>
        <v>286</v>
      </c>
      <c r="B290" s="23" t="s">
        <v>772</v>
      </c>
      <c r="C290" s="17" t="s">
        <v>773</v>
      </c>
      <c r="D290" s="4" t="s">
        <v>52</v>
      </c>
      <c r="E290" s="4" t="s">
        <v>64</v>
      </c>
      <c r="F290" s="4" t="s">
        <v>64</v>
      </c>
      <c r="G290" s="4" t="s">
        <v>171</v>
      </c>
      <c r="H290" s="4" t="s">
        <v>172</v>
      </c>
      <c r="I290" s="24" t="s">
        <v>109</v>
      </c>
      <c r="J290" s="15">
        <v>3</v>
      </c>
      <c r="K290" s="15">
        <v>3</v>
      </c>
      <c r="L290" s="15">
        <v>3</v>
      </c>
      <c r="M290" s="15">
        <v>1</v>
      </c>
      <c r="N290" s="15">
        <v>2</v>
      </c>
      <c r="O290" s="15">
        <v>4</v>
      </c>
      <c r="P290" s="15" t="s">
        <v>415</v>
      </c>
      <c r="Q290" s="23" t="s">
        <v>416</v>
      </c>
      <c r="R290" s="25">
        <f>ROUND((K290*Parametros!$B$4+L290*Parametros!$B$5+M290*Parametros!$B$6+N290*Parametros!$B$7+O290*Parametros!$B$8)/SUM(Parametros!$B$4:$B$8),2)</f>
        <v>2.6</v>
      </c>
      <c r="S290" s="26">
        <f>IFERROR(INDEX(Parametros!$F$33:$F$42,MATCH(D290,Parametros!$A$33:$A$42,0)),1)</f>
        <v>1.05</v>
      </c>
      <c r="T290" s="27">
        <f>IFERROR(INDEX(Parametros!$B$21:$B$26,MATCH(I290,Parametros!$A$21:$A$26,0)),0)</f>
        <v>0.3</v>
      </c>
      <c r="U290" s="28">
        <f t="shared" si="17"/>
        <v>3.03</v>
      </c>
      <c r="V290" s="9">
        <f>IF(U290&gt;=Parametros!$B$14,4,IF(U290&gt;=Parametros!$B$13,3,IF(U290&gt;=Parametros!$B$12,2,1)))</f>
        <v>2</v>
      </c>
      <c r="W290" s="5">
        <f>MAX(V290,IF(K290=5,Parametros!$B$17,0),IF(P290="Sim",Parametros!$B$18,0))</f>
        <v>2</v>
      </c>
      <c r="X290" s="5" t="str">
        <f t="shared" si="18"/>
        <v>Normal</v>
      </c>
      <c r="Y290" s="29">
        <f t="shared" si="19"/>
        <v>2029.9997100000001</v>
      </c>
      <c r="Z290" s="4" t="s">
        <v>774</v>
      </c>
    </row>
    <row r="291" spans="1:26" ht="28.05" customHeight="1" x14ac:dyDescent="0.3">
      <c r="A291" s="5">
        <f t="shared" si="16"/>
        <v>287</v>
      </c>
      <c r="B291" s="23" t="s">
        <v>775</v>
      </c>
      <c r="C291" s="17" t="s">
        <v>776</v>
      </c>
      <c r="D291" s="4" t="s">
        <v>52</v>
      </c>
      <c r="E291" s="4" t="s">
        <v>66</v>
      </c>
      <c r="F291" s="4" t="s">
        <v>66</v>
      </c>
      <c r="G291" s="4" t="s">
        <v>171</v>
      </c>
      <c r="H291" s="4" t="s">
        <v>172</v>
      </c>
      <c r="I291" s="24" t="s">
        <v>109</v>
      </c>
      <c r="J291" s="15">
        <v>3</v>
      </c>
      <c r="K291" s="15">
        <v>3</v>
      </c>
      <c r="L291" s="15">
        <v>3</v>
      </c>
      <c r="M291" s="15">
        <v>1</v>
      </c>
      <c r="N291" s="15">
        <v>2</v>
      </c>
      <c r="O291" s="15">
        <v>4</v>
      </c>
      <c r="P291" s="15" t="s">
        <v>415</v>
      </c>
      <c r="Q291" s="23" t="s">
        <v>416</v>
      </c>
      <c r="R291" s="25">
        <f>ROUND((K291*Parametros!$B$4+L291*Parametros!$B$5+M291*Parametros!$B$6+N291*Parametros!$B$7+O291*Parametros!$B$8)/SUM(Parametros!$B$4:$B$8),2)</f>
        <v>2.6</v>
      </c>
      <c r="S291" s="26">
        <f>IFERROR(INDEX(Parametros!$F$33:$F$42,MATCH(D291,Parametros!$A$33:$A$42,0)),1)</f>
        <v>1.05</v>
      </c>
      <c r="T291" s="27">
        <f>IFERROR(INDEX(Parametros!$B$21:$B$26,MATCH(I291,Parametros!$A$21:$A$26,0)),0)</f>
        <v>0.3</v>
      </c>
      <c r="U291" s="28">
        <f t="shared" si="17"/>
        <v>3.03</v>
      </c>
      <c r="V291" s="9">
        <f>IF(U291&gt;=Parametros!$B$14,4,IF(U291&gt;=Parametros!$B$13,3,IF(U291&gt;=Parametros!$B$12,2,1)))</f>
        <v>2</v>
      </c>
      <c r="W291" s="5">
        <f>MAX(V291,IF(K291=5,Parametros!$B$17,0),IF(P291="Sim",Parametros!$B$18,0))</f>
        <v>2</v>
      </c>
      <c r="X291" s="5" t="str">
        <f t="shared" si="18"/>
        <v>Normal</v>
      </c>
      <c r="Y291" s="29">
        <f t="shared" si="19"/>
        <v>2029.9997089999999</v>
      </c>
      <c r="Z291" s="4" t="s">
        <v>774</v>
      </c>
    </row>
    <row r="292" spans="1:26" ht="28.05" customHeight="1" x14ac:dyDescent="0.3">
      <c r="A292" s="5">
        <f t="shared" si="16"/>
        <v>288</v>
      </c>
      <c r="B292" s="23" t="s">
        <v>777</v>
      </c>
      <c r="C292" s="17" t="s">
        <v>778</v>
      </c>
      <c r="D292" s="4" t="s">
        <v>51</v>
      </c>
      <c r="E292" s="4" t="s">
        <v>64</v>
      </c>
      <c r="F292" s="4" t="s">
        <v>64</v>
      </c>
      <c r="G292" s="4" t="s">
        <v>107</v>
      </c>
      <c r="H292" s="4" t="s">
        <v>108</v>
      </c>
      <c r="I292" s="24" t="s">
        <v>131</v>
      </c>
      <c r="J292" s="15">
        <v>4</v>
      </c>
      <c r="K292" s="15">
        <v>3</v>
      </c>
      <c r="L292" s="15">
        <v>4</v>
      </c>
      <c r="M292" s="15">
        <v>2</v>
      </c>
      <c r="N292" s="15">
        <v>2</v>
      </c>
      <c r="O292" s="15">
        <v>3</v>
      </c>
      <c r="P292" s="15" t="s">
        <v>415</v>
      </c>
      <c r="Q292" s="23" t="s">
        <v>416</v>
      </c>
      <c r="R292" s="25">
        <f>ROUND((K292*Parametros!$B$4+L292*Parametros!$B$5+M292*Parametros!$B$6+N292*Parametros!$B$7+O292*Parametros!$B$8)/SUM(Parametros!$B$4:$B$8),2)</f>
        <v>2.85</v>
      </c>
      <c r="S292" s="26">
        <f>IFERROR(INDEX(Parametros!$F$33:$F$42,MATCH(D292,Parametros!$A$33:$A$42,0)),1)</f>
        <v>1.0669999999999999</v>
      </c>
      <c r="T292" s="27">
        <f>IFERROR(INDEX(Parametros!$B$21:$B$26,MATCH(I292,Parametros!$A$21:$A$26,0)),0)</f>
        <v>0</v>
      </c>
      <c r="U292" s="28">
        <f t="shared" si="17"/>
        <v>3.04</v>
      </c>
      <c r="V292" s="9">
        <f>IF(U292&gt;=Parametros!$B$14,4,IF(U292&gt;=Parametros!$B$13,3,IF(U292&gt;=Parametros!$B$12,2,1)))</f>
        <v>2</v>
      </c>
      <c r="W292" s="5">
        <f>MAX(V292,IF(K292=5,Parametros!$B$17,0),IF(P292="Sim",Parametros!$B$18,0))</f>
        <v>2</v>
      </c>
      <c r="X292" s="5" t="str">
        <f t="shared" si="18"/>
        <v>Normal</v>
      </c>
      <c r="Y292" s="29">
        <f t="shared" si="19"/>
        <v>2029.9997080000001</v>
      </c>
      <c r="Z292" s="4" t="s">
        <v>309</v>
      </c>
    </row>
    <row r="293" spans="1:26" ht="28.05" customHeight="1" x14ac:dyDescent="0.3">
      <c r="A293" s="5">
        <f t="shared" si="16"/>
        <v>289</v>
      </c>
      <c r="B293" s="23" t="s">
        <v>779</v>
      </c>
      <c r="C293" s="17" t="s">
        <v>780</v>
      </c>
      <c r="D293" s="4" t="s">
        <v>55</v>
      </c>
      <c r="E293" s="4" t="s">
        <v>69</v>
      </c>
      <c r="F293" s="4" t="s">
        <v>69</v>
      </c>
      <c r="G293" s="4" t="s">
        <v>112</v>
      </c>
      <c r="H293" s="4" t="s">
        <v>108</v>
      </c>
      <c r="I293" s="24" t="s">
        <v>152</v>
      </c>
      <c r="J293" s="15">
        <v>3</v>
      </c>
      <c r="K293" s="15">
        <v>3</v>
      </c>
      <c r="L293" s="15">
        <v>3</v>
      </c>
      <c r="M293" s="15">
        <v>1</v>
      </c>
      <c r="N293" s="15">
        <v>5</v>
      </c>
      <c r="O293" s="15">
        <v>3</v>
      </c>
      <c r="P293" s="15" t="s">
        <v>415</v>
      </c>
      <c r="Q293" s="23" t="s">
        <v>416</v>
      </c>
      <c r="R293" s="25">
        <f>ROUND((K293*Parametros!$B$4+L293*Parametros!$B$5+M293*Parametros!$B$6+N293*Parametros!$B$7+O293*Parametros!$B$8)/SUM(Parametros!$B$4:$B$8),2)</f>
        <v>2.9</v>
      </c>
      <c r="S293" s="26">
        <f>IFERROR(INDEX(Parametros!$F$33:$F$42,MATCH(D293,Parametros!$A$33:$A$42,0)),1)</f>
        <v>1.034</v>
      </c>
      <c r="T293" s="27">
        <f>IFERROR(INDEX(Parametros!$B$21:$B$26,MATCH(I293,Parametros!$A$21:$A$26,0)),0)</f>
        <v>0</v>
      </c>
      <c r="U293" s="28">
        <f t="shared" si="17"/>
        <v>3</v>
      </c>
      <c r="V293" s="9">
        <f>IF(U293&gt;=Parametros!$B$14,4,IF(U293&gt;=Parametros!$B$13,3,IF(U293&gt;=Parametros!$B$12,2,1)))</f>
        <v>2</v>
      </c>
      <c r="W293" s="5">
        <f>MAX(V293,IF(K293=5,Parametros!$B$17,0),IF(P293="Sim",Parametros!$B$18,0))</f>
        <v>2</v>
      </c>
      <c r="X293" s="5" t="str">
        <f t="shared" si="18"/>
        <v>Normal</v>
      </c>
      <c r="Y293" s="29">
        <f t="shared" si="19"/>
        <v>2029.699707</v>
      </c>
      <c r="Z293" s="4" t="s">
        <v>656</v>
      </c>
    </row>
    <row r="294" spans="1:26" ht="28.05" customHeight="1" x14ac:dyDescent="0.3">
      <c r="A294" s="5">
        <f t="shared" si="16"/>
        <v>290</v>
      </c>
      <c r="B294" s="23" t="s">
        <v>781</v>
      </c>
      <c r="C294" s="17" t="s">
        <v>782</v>
      </c>
      <c r="D294" s="4" t="s">
        <v>53</v>
      </c>
      <c r="E294" s="4" t="s">
        <v>77</v>
      </c>
      <c r="F294" s="4" t="s">
        <v>77</v>
      </c>
      <c r="G294" s="4" t="s">
        <v>171</v>
      </c>
      <c r="H294" s="4" t="s">
        <v>172</v>
      </c>
      <c r="I294" s="24" t="s">
        <v>152</v>
      </c>
      <c r="J294" s="15">
        <v>2</v>
      </c>
      <c r="K294" s="15">
        <v>3</v>
      </c>
      <c r="L294" s="15">
        <v>3</v>
      </c>
      <c r="M294" s="15">
        <v>3</v>
      </c>
      <c r="N294" s="15">
        <v>2</v>
      </c>
      <c r="O294" s="15">
        <v>3</v>
      </c>
      <c r="P294" s="15" t="s">
        <v>415</v>
      </c>
      <c r="Q294" s="23" t="s">
        <v>416</v>
      </c>
      <c r="R294" s="25">
        <f>ROUND((K294*Parametros!$B$4+L294*Parametros!$B$5+M294*Parametros!$B$6+N294*Parametros!$B$7+O294*Parametros!$B$8)/SUM(Parametros!$B$4:$B$8),2)</f>
        <v>2.85</v>
      </c>
      <c r="S294" s="26">
        <f>IFERROR(INDEX(Parametros!$F$33:$F$42,MATCH(D294,Parametros!$A$33:$A$42,0)),1)</f>
        <v>1.05</v>
      </c>
      <c r="T294" s="27">
        <f>IFERROR(INDEX(Parametros!$B$21:$B$26,MATCH(I294,Parametros!$A$21:$A$26,0)),0)</f>
        <v>0</v>
      </c>
      <c r="U294" s="28">
        <f t="shared" si="17"/>
        <v>2.99</v>
      </c>
      <c r="V294" s="9">
        <f>IF(U294&gt;=Parametros!$B$14,4,IF(U294&gt;=Parametros!$B$13,3,IF(U294&gt;=Parametros!$B$12,2,1)))</f>
        <v>2</v>
      </c>
      <c r="W294" s="5">
        <f>MAX(V294,IF(K294=5,Parametros!$B$17,0),IF(P294="Sim",Parametros!$B$18,0))</f>
        <v>2</v>
      </c>
      <c r="X294" s="5" t="str">
        <f t="shared" si="18"/>
        <v>Normal</v>
      </c>
      <c r="Y294" s="29">
        <f t="shared" si="19"/>
        <v>2029.6997060000001</v>
      </c>
      <c r="Z294" s="4" t="s">
        <v>659</v>
      </c>
    </row>
    <row r="295" spans="1:26" ht="28.05" customHeight="1" x14ac:dyDescent="0.3">
      <c r="A295" s="5">
        <f t="shared" si="16"/>
        <v>291</v>
      </c>
      <c r="B295" s="23" t="s">
        <v>783</v>
      </c>
      <c r="C295" s="17" t="s">
        <v>784</v>
      </c>
      <c r="D295" s="4" t="s">
        <v>54</v>
      </c>
      <c r="E295" s="4" t="s">
        <v>72</v>
      </c>
      <c r="F295" s="4" t="s">
        <v>72</v>
      </c>
      <c r="G295" s="4" t="s">
        <v>171</v>
      </c>
      <c r="H295" s="4" t="s">
        <v>172</v>
      </c>
      <c r="I295" s="24" t="s">
        <v>109</v>
      </c>
      <c r="J295" s="15">
        <v>2</v>
      </c>
      <c r="K295" s="15">
        <v>3</v>
      </c>
      <c r="L295" s="15">
        <v>2</v>
      </c>
      <c r="M295" s="15">
        <v>2</v>
      </c>
      <c r="N295" s="15">
        <v>4</v>
      </c>
      <c r="O295" s="15">
        <v>2</v>
      </c>
      <c r="P295" s="15" t="s">
        <v>415</v>
      </c>
      <c r="Q295" s="23" t="s">
        <v>416</v>
      </c>
      <c r="R295" s="25">
        <f>ROUND((K295*Parametros!$B$4+L295*Parametros!$B$5+M295*Parametros!$B$6+N295*Parametros!$B$7+O295*Parametros!$B$8)/SUM(Parametros!$B$4:$B$8),2)</f>
        <v>2.6</v>
      </c>
      <c r="S295" s="26">
        <f>IFERROR(INDEX(Parametros!$F$33:$F$42,MATCH(D295,Parametros!$A$33:$A$42,0)),1)</f>
        <v>1.034</v>
      </c>
      <c r="T295" s="27">
        <f>IFERROR(INDEX(Parametros!$B$21:$B$26,MATCH(I295,Parametros!$A$21:$A$26,0)),0)</f>
        <v>0.3</v>
      </c>
      <c r="U295" s="28">
        <f t="shared" si="17"/>
        <v>2.99</v>
      </c>
      <c r="V295" s="9">
        <f>IF(U295&gt;=Parametros!$B$14,4,IF(U295&gt;=Parametros!$B$13,3,IF(U295&gt;=Parametros!$B$12,2,1)))</f>
        <v>2</v>
      </c>
      <c r="W295" s="5">
        <f>MAX(V295,IF(K295=5,Parametros!$B$17,0),IF(P295="Sim",Parametros!$B$18,0))</f>
        <v>2</v>
      </c>
      <c r="X295" s="5" t="str">
        <f t="shared" si="18"/>
        <v>Normal</v>
      </c>
      <c r="Y295" s="29">
        <f t="shared" si="19"/>
        <v>2029.699705</v>
      </c>
      <c r="Z295" s="4" t="s">
        <v>346</v>
      </c>
    </row>
    <row r="296" spans="1:26" ht="28.05" customHeight="1" x14ac:dyDescent="0.3">
      <c r="A296" s="5">
        <f t="shared" si="16"/>
        <v>292</v>
      </c>
      <c r="B296" s="23" t="s">
        <v>785</v>
      </c>
      <c r="C296" s="17" t="s">
        <v>786</v>
      </c>
      <c r="D296" s="4" t="s">
        <v>52</v>
      </c>
      <c r="E296" s="4" t="s">
        <v>66</v>
      </c>
      <c r="F296" s="4" t="s">
        <v>66</v>
      </c>
      <c r="G296" s="4" t="s">
        <v>171</v>
      </c>
      <c r="H296" s="4" t="s">
        <v>172</v>
      </c>
      <c r="I296" s="24" t="s">
        <v>131</v>
      </c>
      <c r="J296" s="15">
        <v>3</v>
      </c>
      <c r="K296" s="15">
        <v>3</v>
      </c>
      <c r="L296" s="15">
        <v>3</v>
      </c>
      <c r="M296" s="15">
        <v>3</v>
      </c>
      <c r="N296" s="15">
        <v>2</v>
      </c>
      <c r="O296" s="15">
        <v>3</v>
      </c>
      <c r="P296" s="15" t="s">
        <v>415</v>
      </c>
      <c r="Q296" s="23" t="s">
        <v>416</v>
      </c>
      <c r="R296" s="25">
        <f>ROUND((K296*Parametros!$B$4+L296*Parametros!$B$5+M296*Parametros!$B$6+N296*Parametros!$B$7+O296*Parametros!$B$8)/SUM(Parametros!$B$4:$B$8),2)</f>
        <v>2.85</v>
      </c>
      <c r="S296" s="26">
        <f>IFERROR(INDEX(Parametros!$F$33:$F$42,MATCH(D296,Parametros!$A$33:$A$42,0)),1)</f>
        <v>1.05</v>
      </c>
      <c r="T296" s="27">
        <f>IFERROR(INDEX(Parametros!$B$21:$B$26,MATCH(I296,Parametros!$A$21:$A$26,0)),0)</f>
        <v>0</v>
      </c>
      <c r="U296" s="28">
        <f t="shared" si="17"/>
        <v>2.99</v>
      </c>
      <c r="V296" s="9">
        <f>IF(U296&gt;=Parametros!$B$14,4,IF(U296&gt;=Parametros!$B$13,3,IF(U296&gt;=Parametros!$B$12,2,1)))</f>
        <v>2</v>
      </c>
      <c r="W296" s="5">
        <f>MAX(V296,IF(K296=5,Parametros!$B$17,0),IF(P296="Sim",Parametros!$B$18,0))</f>
        <v>2</v>
      </c>
      <c r="X296" s="5" t="str">
        <f t="shared" si="18"/>
        <v>Normal</v>
      </c>
      <c r="Y296" s="29">
        <f t="shared" si="19"/>
        <v>2029.5997040000002</v>
      </c>
      <c r="Z296" s="4" t="s">
        <v>659</v>
      </c>
    </row>
    <row r="297" spans="1:26" ht="28.05" customHeight="1" x14ac:dyDescent="0.3">
      <c r="A297" s="5">
        <f t="shared" si="16"/>
        <v>293</v>
      </c>
      <c r="B297" s="23" t="s">
        <v>787</v>
      </c>
      <c r="C297" s="17" t="s">
        <v>788</v>
      </c>
      <c r="D297" s="4" t="s">
        <v>51</v>
      </c>
      <c r="E297" s="4" t="s">
        <v>66</v>
      </c>
      <c r="F297" s="4" t="s">
        <v>66</v>
      </c>
      <c r="G297" s="4" t="s">
        <v>134</v>
      </c>
      <c r="H297" s="4" t="s">
        <v>108</v>
      </c>
      <c r="I297" s="24" t="s">
        <v>152</v>
      </c>
      <c r="J297" s="15">
        <v>3</v>
      </c>
      <c r="K297" s="15">
        <v>3</v>
      </c>
      <c r="L297" s="15">
        <v>3</v>
      </c>
      <c r="M297" s="15">
        <v>2</v>
      </c>
      <c r="N297" s="15">
        <v>3</v>
      </c>
      <c r="O297" s="15">
        <v>3</v>
      </c>
      <c r="P297" s="15" t="s">
        <v>415</v>
      </c>
      <c r="Q297" s="23" t="s">
        <v>416</v>
      </c>
      <c r="R297" s="25">
        <f>ROUND((K297*Parametros!$B$4+L297*Parametros!$B$5+M297*Parametros!$B$6+N297*Parametros!$B$7+O297*Parametros!$B$8)/SUM(Parametros!$B$4:$B$8),2)</f>
        <v>2.8</v>
      </c>
      <c r="S297" s="26">
        <f>IFERROR(INDEX(Parametros!$F$33:$F$42,MATCH(D297,Parametros!$A$33:$A$42,0)),1)</f>
        <v>1.0669999999999999</v>
      </c>
      <c r="T297" s="27">
        <f>IFERROR(INDEX(Parametros!$B$21:$B$26,MATCH(I297,Parametros!$A$21:$A$26,0)),0)</f>
        <v>0</v>
      </c>
      <c r="U297" s="28">
        <f t="shared" si="17"/>
        <v>2.99</v>
      </c>
      <c r="V297" s="9">
        <f>IF(U297&gt;=Parametros!$B$14,4,IF(U297&gt;=Parametros!$B$13,3,IF(U297&gt;=Parametros!$B$12,2,1)))</f>
        <v>2</v>
      </c>
      <c r="W297" s="5">
        <f>MAX(V297,IF(K297=5,Parametros!$B$17,0),IF(P297="Sim",Parametros!$B$18,0))</f>
        <v>2</v>
      </c>
      <c r="X297" s="5" t="str">
        <f t="shared" si="18"/>
        <v>Normal</v>
      </c>
      <c r="Y297" s="29">
        <f t="shared" si="19"/>
        <v>2029.5997030000001</v>
      </c>
      <c r="Z297" s="4" t="s">
        <v>659</v>
      </c>
    </row>
    <row r="298" spans="1:26" ht="28.05" customHeight="1" x14ac:dyDescent="0.3">
      <c r="A298" s="5">
        <f t="shared" si="16"/>
        <v>294</v>
      </c>
      <c r="B298" s="23" t="s">
        <v>789</v>
      </c>
      <c r="C298" s="17" t="s">
        <v>790</v>
      </c>
      <c r="D298" s="4" t="s">
        <v>50</v>
      </c>
      <c r="E298" s="4" t="s">
        <v>75</v>
      </c>
      <c r="F298" s="4" t="s">
        <v>75</v>
      </c>
      <c r="G298" s="4" t="s">
        <v>119</v>
      </c>
      <c r="H298" s="4" t="s">
        <v>108</v>
      </c>
      <c r="I298" s="24" t="s">
        <v>131</v>
      </c>
      <c r="J298" s="15">
        <v>3</v>
      </c>
      <c r="K298" s="15">
        <v>2</v>
      </c>
      <c r="L298" s="15">
        <v>3</v>
      </c>
      <c r="M298" s="15">
        <v>4</v>
      </c>
      <c r="N298" s="15">
        <v>2</v>
      </c>
      <c r="O298" s="15">
        <v>3</v>
      </c>
      <c r="P298" s="15" t="s">
        <v>415</v>
      </c>
      <c r="Q298" s="23" t="s">
        <v>416</v>
      </c>
      <c r="R298" s="25">
        <f>ROUND((K298*Parametros!$B$4+L298*Parametros!$B$5+M298*Parametros!$B$6+N298*Parametros!$B$7+O298*Parametros!$B$8)/SUM(Parametros!$B$4:$B$8),2)</f>
        <v>2.75</v>
      </c>
      <c r="S298" s="26">
        <f>IFERROR(INDEX(Parametros!$F$33:$F$42,MATCH(D298,Parametros!$A$33:$A$42,0)),1)</f>
        <v>1.0840000000000001</v>
      </c>
      <c r="T298" s="27">
        <f>IFERROR(INDEX(Parametros!$B$21:$B$26,MATCH(I298,Parametros!$A$21:$A$26,0)),0)</f>
        <v>0</v>
      </c>
      <c r="U298" s="28">
        <f t="shared" si="17"/>
        <v>2.98</v>
      </c>
      <c r="V298" s="9">
        <f>IF(U298&gt;=Parametros!$B$14,4,IF(U298&gt;=Parametros!$B$13,3,IF(U298&gt;=Parametros!$B$12,2,1)))</f>
        <v>2</v>
      </c>
      <c r="W298" s="5">
        <f>MAX(V298,IF(K298=5,Parametros!$B$17,0),IF(P298="Sim",Parametros!$B$18,0))</f>
        <v>2</v>
      </c>
      <c r="X298" s="5" t="str">
        <f t="shared" si="18"/>
        <v>Normal</v>
      </c>
      <c r="Y298" s="29">
        <f t="shared" si="19"/>
        <v>2029.4997020000001</v>
      </c>
      <c r="Z298" s="4" t="s">
        <v>289</v>
      </c>
    </row>
    <row r="299" spans="1:26" ht="28.05" customHeight="1" x14ac:dyDescent="0.3">
      <c r="A299" s="5">
        <f t="shared" si="16"/>
        <v>295</v>
      </c>
      <c r="B299" s="23" t="s">
        <v>791</v>
      </c>
      <c r="C299" s="17" t="s">
        <v>792</v>
      </c>
      <c r="D299" s="4" t="s">
        <v>54</v>
      </c>
      <c r="E299" s="4" t="s">
        <v>77</v>
      </c>
      <c r="F299" s="4" t="s">
        <v>793</v>
      </c>
      <c r="G299" s="4" t="s">
        <v>171</v>
      </c>
      <c r="H299" s="4" t="s">
        <v>172</v>
      </c>
      <c r="I299" s="24" t="s">
        <v>152</v>
      </c>
      <c r="J299" s="15">
        <v>2</v>
      </c>
      <c r="K299" s="15">
        <v>3</v>
      </c>
      <c r="L299" s="15">
        <v>3</v>
      </c>
      <c r="M299" s="15">
        <v>3</v>
      </c>
      <c r="N299" s="15">
        <v>2</v>
      </c>
      <c r="O299" s="15">
        <v>3</v>
      </c>
      <c r="P299" s="15" t="s">
        <v>415</v>
      </c>
      <c r="Q299" s="23" t="s">
        <v>416</v>
      </c>
      <c r="R299" s="25">
        <f>ROUND((K299*Parametros!$B$4+L299*Parametros!$B$5+M299*Parametros!$B$6+N299*Parametros!$B$7+O299*Parametros!$B$8)/SUM(Parametros!$B$4:$B$8),2)</f>
        <v>2.85</v>
      </c>
      <c r="S299" s="26">
        <f>IFERROR(INDEX(Parametros!$F$33:$F$42,MATCH(D299,Parametros!$A$33:$A$42,0)),1)</f>
        <v>1.034</v>
      </c>
      <c r="T299" s="27">
        <f>IFERROR(INDEX(Parametros!$B$21:$B$26,MATCH(I299,Parametros!$A$21:$A$26,0)),0)</f>
        <v>0</v>
      </c>
      <c r="U299" s="28">
        <f t="shared" si="17"/>
        <v>2.95</v>
      </c>
      <c r="V299" s="9">
        <f>IF(U299&gt;=Parametros!$B$14,4,IF(U299&gt;=Parametros!$B$13,3,IF(U299&gt;=Parametros!$B$12,2,1)))</f>
        <v>2</v>
      </c>
      <c r="W299" s="5">
        <f>MAX(V299,IF(K299=5,Parametros!$B$17,0),IF(P299="Sim",Parametros!$B$18,0))</f>
        <v>2</v>
      </c>
      <c r="X299" s="5" t="str">
        <f t="shared" si="18"/>
        <v>Normal</v>
      </c>
      <c r="Y299" s="29">
        <f t="shared" si="19"/>
        <v>2029.2997009999999</v>
      </c>
      <c r="Z299" s="4" t="s">
        <v>659</v>
      </c>
    </row>
    <row r="300" spans="1:26" ht="28.05" customHeight="1" x14ac:dyDescent="0.3">
      <c r="A300" s="5">
        <f t="shared" si="16"/>
        <v>296</v>
      </c>
      <c r="B300" s="23" t="s">
        <v>794</v>
      </c>
      <c r="C300" s="17" t="s">
        <v>795</v>
      </c>
      <c r="D300" s="4" t="s">
        <v>54</v>
      </c>
      <c r="E300" s="4" t="s">
        <v>72</v>
      </c>
      <c r="F300" s="4" t="s">
        <v>72</v>
      </c>
      <c r="G300" s="4" t="s">
        <v>171</v>
      </c>
      <c r="H300" s="4" t="s">
        <v>172</v>
      </c>
      <c r="I300" s="24" t="s">
        <v>152</v>
      </c>
      <c r="J300" s="15">
        <v>2</v>
      </c>
      <c r="K300" s="15">
        <v>3</v>
      </c>
      <c r="L300" s="15">
        <v>4</v>
      </c>
      <c r="M300" s="15">
        <v>2</v>
      </c>
      <c r="N300" s="15">
        <v>2</v>
      </c>
      <c r="O300" s="15">
        <v>3</v>
      </c>
      <c r="P300" s="15" t="s">
        <v>415</v>
      </c>
      <c r="Q300" s="23" t="s">
        <v>416</v>
      </c>
      <c r="R300" s="25">
        <f>ROUND((K300*Parametros!$B$4+L300*Parametros!$B$5+M300*Parametros!$B$6+N300*Parametros!$B$7+O300*Parametros!$B$8)/SUM(Parametros!$B$4:$B$8),2)</f>
        <v>2.85</v>
      </c>
      <c r="S300" s="26">
        <f>IFERROR(INDEX(Parametros!$F$33:$F$42,MATCH(D300,Parametros!$A$33:$A$42,0)),1)</f>
        <v>1.034</v>
      </c>
      <c r="T300" s="27">
        <f>IFERROR(INDEX(Parametros!$B$21:$B$26,MATCH(I300,Parametros!$A$21:$A$26,0)),0)</f>
        <v>0</v>
      </c>
      <c r="U300" s="28">
        <f t="shared" si="17"/>
        <v>2.95</v>
      </c>
      <c r="V300" s="9">
        <f>IF(U300&gt;=Parametros!$B$14,4,IF(U300&gt;=Parametros!$B$13,3,IF(U300&gt;=Parametros!$B$12,2,1)))</f>
        <v>2</v>
      </c>
      <c r="W300" s="5">
        <f>MAX(V300,IF(K300=5,Parametros!$B$17,0),IF(P300="Sim",Parametros!$B$18,0))</f>
        <v>2</v>
      </c>
      <c r="X300" s="5" t="str">
        <f t="shared" si="18"/>
        <v>Normal</v>
      </c>
      <c r="Y300" s="29">
        <f t="shared" si="19"/>
        <v>2029.2997</v>
      </c>
      <c r="Z300" s="4" t="s">
        <v>309</v>
      </c>
    </row>
    <row r="301" spans="1:26" ht="28.05" customHeight="1" x14ac:dyDescent="0.3">
      <c r="A301" s="5">
        <f t="shared" si="16"/>
        <v>297</v>
      </c>
      <c r="B301" s="23" t="s">
        <v>796</v>
      </c>
      <c r="C301" s="17" t="s">
        <v>797</v>
      </c>
      <c r="D301" s="4" t="s">
        <v>54</v>
      </c>
      <c r="E301" s="4" t="s">
        <v>72</v>
      </c>
      <c r="F301" s="4" t="s">
        <v>72</v>
      </c>
      <c r="G301" s="4" t="s">
        <v>134</v>
      </c>
      <c r="H301" s="4" t="s">
        <v>108</v>
      </c>
      <c r="I301" s="24" t="s">
        <v>122</v>
      </c>
      <c r="J301" s="15">
        <v>3</v>
      </c>
      <c r="K301" s="15">
        <v>3</v>
      </c>
      <c r="L301" s="15">
        <v>3</v>
      </c>
      <c r="M301" s="15">
        <v>3</v>
      </c>
      <c r="N301" s="15">
        <v>2</v>
      </c>
      <c r="O301" s="15">
        <v>3</v>
      </c>
      <c r="P301" s="15" t="s">
        <v>415</v>
      </c>
      <c r="Q301" s="23" t="s">
        <v>416</v>
      </c>
      <c r="R301" s="25">
        <f>ROUND((K301*Parametros!$B$4+L301*Parametros!$B$5+M301*Parametros!$B$6+N301*Parametros!$B$7+O301*Parametros!$B$8)/SUM(Parametros!$B$4:$B$8),2)</f>
        <v>2.85</v>
      </c>
      <c r="S301" s="26">
        <f>IFERROR(INDEX(Parametros!$F$33:$F$42,MATCH(D301,Parametros!$A$33:$A$42,0)),1)</f>
        <v>1.034</v>
      </c>
      <c r="T301" s="27">
        <f>IFERROR(INDEX(Parametros!$B$21:$B$26,MATCH(I301,Parametros!$A$21:$A$26,0)),0)</f>
        <v>0</v>
      </c>
      <c r="U301" s="28">
        <f t="shared" si="17"/>
        <v>2.95</v>
      </c>
      <c r="V301" s="9">
        <f>IF(U301&gt;=Parametros!$B$14,4,IF(U301&gt;=Parametros!$B$13,3,IF(U301&gt;=Parametros!$B$12,2,1)))</f>
        <v>2</v>
      </c>
      <c r="W301" s="5">
        <f>MAX(V301,IF(K301=5,Parametros!$B$17,0),IF(P301="Sim",Parametros!$B$18,0))</f>
        <v>2</v>
      </c>
      <c r="X301" s="5" t="str">
        <f t="shared" si="18"/>
        <v>Normal</v>
      </c>
      <c r="Y301" s="29">
        <f t="shared" si="19"/>
        <v>2029.199699</v>
      </c>
      <c r="Z301" s="4" t="s">
        <v>659</v>
      </c>
    </row>
    <row r="302" spans="1:26" ht="28.05" customHeight="1" x14ac:dyDescent="0.3">
      <c r="A302" s="5">
        <f t="shared" si="16"/>
        <v>298</v>
      </c>
      <c r="B302" s="23" t="s">
        <v>798</v>
      </c>
      <c r="C302" s="17" t="s">
        <v>780</v>
      </c>
      <c r="D302" s="4" t="s">
        <v>56</v>
      </c>
      <c r="E302" s="4" t="s">
        <v>69</v>
      </c>
      <c r="F302" s="4" t="s">
        <v>69</v>
      </c>
      <c r="G302" s="4" t="s">
        <v>112</v>
      </c>
      <c r="H302" s="4" t="s">
        <v>108</v>
      </c>
      <c r="I302" s="24" t="s">
        <v>152</v>
      </c>
      <c r="J302" s="15">
        <v>3</v>
      </c>
      <c r="K302" s="15">
        <v>3</v>
      </c>
      <c r="L302" s="15">
        <v>3</v>
      </c>
      <c r="M302" s="15">
        <v>1</v>
      </c>
      <c r="N302" s="15">
        <v>5</v>
      </c>
      <c r="O302" s="15">
        <v>3</v>
      </c>
      <c r="P302" s="15" t="s">
        <v>415</v>
      </c>
      <c r="Q302" s="23" t="s">
        <v>416</v>
      </c>
      <c r="R302" s="25">
        <f>ROUND((K302*Parametros!$B$4+L302*Parametros!$B$5+M302*Parametros!$B$6+N302*Parametros!$B$7+O302*Parametros!$B$8)/SUM(Parametros!$B$4:$B$8),2)</f>
        <v>2.9</v>
      </c>
      <c r="S302" s="26">
        <f>IFERROR(INDEX(Parametros!$F$33:$F$42,MATCH(D302,Parametros!$A$33:$A$42,0)),1)</f>
        <v>1.0169999999999999</v>
      </c>
      <c r="T302" s="27">
        <f>IFERROR(INDEX(Parametros!$B$21:$B$26,MATCH(I302,Parametros!$A$21:$A$26,0)),0)</f>
        <v>0</v>
      </c>
      <c r="U302" s="28">
        <f t="shared" si="17"/>
        <v>2.95</v>
      </c>
      <c r="V302" s="9">
        <f>IF(U302&gt;=Parametros!$B$14,4,IF(U302&gt;=Parametros!$B$13,3,IF(U302&gt;=Parametros!$B$12,2,1)))</f>
        <v>2</v>
      </c>
      <c r="W302" s="5">
        <f>MAX(V302,IF(K302=5,Parametros!$B$17,0),IF(P302="Sim",Parametros!$B$18,0))</f>
        <v>2</v>
      </c>
      <c r="X302" s="5" t="str">
        <f t="shared" si="18"/>
        <v>Normal</v>
      </c>
      <c r="Y302" s="29">
        <f t="shared" si="19"/>
        <v>2029.1996980000001</v>
      </c>
      <c r="Z302" s="4" t="s">
        <v>656</v>
      </c>
    </row>
    <row r="303" spans="1:26" ht="28.05" customHeight="1" x14ac:dyDescent="0.3">
      <c r="A303" s="5">
        <f t="shared" si="16"/>
        <v>299</v>
      </c>
      <c r="B303" s="23" t="s">
        <v>799</v>
      </c>
      <c r="C303" s="17" t="s">
        <v>800</v>
      </c>
      <c r="D303" s="4" t="s">
        <v>53</v>
      </c>
      <c r="E303" s="4" t="s">
        <v>76</v>
      </c>
      <c r="F303" s="4" t="s">
        <v>76</v>
      </c>
      <c r="G303" s="4" t="s">
        <v>171</v>
      </c>
      <c r="H303" s="4" t="s">
        <v>172</v>
      </c>
      <c r="I303" s="24" t="s">
        <v>131</v>
      </c>
      <c r="J303" s="15">
        <v>3</v>
      </c>
      <c r="K303" s="15">
        <v>3</v>
      </c>
      <c r="L303" s="15">
        <v>3</v>
      </c>
      <c r="M303" s="15">
        <v>2</v>
      </c>
      <c r="N303" s="15">
        <v>3</v>
      </c>
      <c r="O303" s="15">
        <v>3</v>
      </c>
      <c r="P303" s="15" t="s">
        <v>415</v>
      </c>
      <c r="Q303" s="23" t="s">
        <v>416</v>
      </c>
      <c r="R303" s="25">
        <f>ROUND((K303*Parametros!$B$4+L303*Parametros!$B$5+M303*Parametros!$B$6+N303*Parametros!$B$7+O303*Parametros!$B$8)/SUM(Parametros!$B$4:$B$8),2)</f>
        <v>2.8</v>
      </c>
      <c r="S303" s="26">
        <f>IFERROR(INDEX(Parametros!$F$33:$F$42,MATCH(D303,Parametros!$A$33:$A$42,0)),1)</f>
        <v>1.05</v>
      </c>
      <c r="T303" s="27">
        <f>IFERROR(INDEX(Parametros!$B$21:$B$26,MATCH(I303,Parametros!$A$21:$A$26,0)),0)</f>
        <v>0</v>
      </c>
      <c r="U303" s="28">
        <f t="shared" si="17"/>
        <v>2.94</v>
      </c>
      <c r="V303" s="9">
        <f>IF(U303&gt;=Parametros!$B$14,4,IF(U303&gt;=Parametros!$B$13,3,IF(U303&gt;=Parametros!$B$12,2,1)))</f>
        <v>2</v>
      </c>
      <c r="W303" s="5">
        <f>MAX(V303,IF(K303=5,Parametros!$B$17,0),IF(P303="Sim",Parametros!$B$18,0))</f>
        <v>2</v>
      </c>
      <c r="X303" s="5" t="str">
        <f t="shared" si="18"/>
        <v>Normal</v>
      </c>
      <c r="Y303" s="29">
        <f t="shared" si="19"/>
        <v>2029.0996970000001</v>
      </c>
      <c r="Z303" s="4" t="s">
        <v>659</v>
      </c>
    </row>
    <row r="304" spans="1:26" ht="28.05" customHeight="1" x14ac:dyDescent="0.3">
      <c r="A304" s="5">
        <f t="shared" si="16"/>
        <v>300</v>
      </c>
      <c r="B304" s="23" t="s">
        <v>801</v>
      </c>
      <c r="C304" s="17" t="s">
        <v>802</v>
      </c>
      <c r="D304" s="4" t="s">
        <v>54</v>
      </c>
      <c r="E304" s="4" t="s">
        <v>72</v>
      </c>
      <c r="F304" s="4" t="s">
        <v>72</v>
      </c>
      <c r="G304" s="4" t="s">
        <v>171</v>
      </c>
      <c r="H304" s="4" t="s">
        <v>172</v>
      </c>
      <c r="I304" s="24" t="s">
        <v>152</v>
      </c>
      <c r="J304" s="15">
        <v>1</v>
      </c>
      <c r="K304" s="15">
        <v>3</v>
      </c>
      <c r="L304" s="15">
        <v>2</v>
      </c>
      <c r="M304" s="15">
        <v>3</v>
      </c>
      <c r="N304" s="15">
        <v>3</v>
      </c>
      <c r="O304" s="15">
        <v>3</v>
      </c>
      <c r="P304" s="15" t="s">
        <v>415</v>
      </c>
      <c r="Q304" s="23" t="s">
        <v>416</v>
      </c>
      <c r="R304" s="25">
        <f>ROUND((K304*Parametros!$B$4+L304*Parametros!$B$5+M304*Parametros!$B$6+N304*Parametros!$B$7+O304*Parametros!$B$8)/SUM(Parametros!$B$4:$B$8),2)</f>
        <v>2.8</v>
      </c>
      <c r="S304" s="26">
        <f>IFERROR(INDEX(Parametros!$F$33:$F$42,MATCH(D304,Parametros!$A$33:$A$42,0)),1)</f>
        <v>1.034</v>
      </c>
      <c r="T304" s="27">
        <f>IFERROR(INDEX(Parametros!$B$21:$B$26,MATCH(I304,Parametros!$A$21:$A$26,0)),0)</f>
        <v>0</v>
      </c>
      <c r="U304" s="28">
        <f t="shared" si="17"/>
        <v>2.9</v>
      </c>
      <c r="V304" s="9">
        <f>IF(U304&gt;=Parametros!$B$14,4,IF(U304&gt;=Parametros!$B$13,3,IF(U304&gt;=Parametros!$B$12,2,1)))</f>
        <v>2</v>
      </c>
      <c r="W304" s="5">
        <f>MAX(V304,IF(K304=5,Parametros!$B$17,0),IF(P304="Sim",Parametros!$B$18,0))</f>
        <v>2</v>
      </c>
      <c r="X304" s="5" t="str">
        <f t="shared" si="18"/>
        <v>Normal</v>
      </c>
      <c r="Y304" s="29">
        <f t="shared" si="19"/>
        <v>2028.8996960000002</v>
      </c>
      <c r="Z304" s="4" t="s">
        <v>659</v>
      </c>
    </row>
    <row r="305" spans="1:26" ht="28.05" customHeight="1" x14ac:dyDescent="0.3">
      <c r="A305" s="5">
        <f t="shared" si="16"/>
        <v>301</v>
      </c>
      <c r="B305" s="23" t="s">
        <v>803</v>
      </c>
      <c r="C305" s="17" t="s">
        <v>804</v>
      </c>
      <c r="D305" s="4" t="s">
        <v>55</v>
      </c>
      <c r="E305" s="4" t="s">
        <v>64</v>
      </c>
      <c r="F305" s="4" t="s">
        <v>64</v>
      </c>
      <c r="G305" s="4" t="s">
        <v>134</v>
      </c>
      <c r="H305" s="4" t="s">
        <v>108</v>
      </c>
      <c r="I305" s="24" t="s">
        <v>131</v>
      </c>
      <c r="J305" s="15">
        <v>3</v>
      </c>
      <c r="K305" s="15">
        <v>3</v>
      </c>
      <c r="L305" s="15">
        <v>4</v>
      </c>
      <c r="M305" s="15">
        <v>1</v>
      </c>
      <c r="N305" s="15">
        <v>3</v>
      </c>
      <c r="O305" s="15">
        <v>3</v>
      </c>
      <c r="P305" s="15" t="s">
        <v>415</v>
      </c>
      <c r="Q305" s="23" t="s">
        <v>416</v>
      </c>
      <c r="R305" s="25">
        <f>ROUND((K305*Parametros!$B$4+L305*Parametros!$B$5+M305*Parametros!$B$6+N305*Parametros!$B$7+O305*Parametros!$B$8)/SUM(Parametros!$B$4:$B$8),2)</f>
        <v>2.8</v>
      </c>
      <c r="S305" s="26">
        <f>IFERROR(INDEX(Parametros!$F$33:$F$42,MATCH(D305,Parametros!$A$33:$A$42,0)),1)</f>
        <v>1.034</v>
      </c>
      <c r="T305" s="27">
        <f>IFERROR(INDEX(Parametros!$B$21:$B$26,MATCH(I305,Parametros!$A$21:$A$26,0)),0)</f>
        <v>0</v>
      </c>
      <c r="U305" s="28">
        <f t="shared" si="17"/>
        <v>2.9</v>
      </c>
      <c r="V305" s="9">
        <f>IF(U305&gt;=Parametros!$B$14,4,IF(U305&gt;=Parametros!$B$13,3,IF(U305&gt;=Parametros!$B$12,2,1)))</f>
        <v>2</v>
      </c>
      <c r="W305" s="5">
        <f>MAX(V305,IF(K305=5,Parametros!$B$17,0),IF(P305="Sim",Parametros!$B$18,0))</f>
        <v>2</v>
      </c>
      <c r="X305" s="5" t="str">
        <f t="shared" si="18"/>
        <v>Normal</v>
      </c>
      <c r="Y305" s="29">
        <f t="shared" si="19"/>
        <v>2028.699695</v>
      </c>
      <c r="Z305" s="4" t="s">
        <v>309</v>
      </c>
    </row>
    <row r="306" spans="1:26" ht="28.05" customHeight="1" x14ac:dyDescent="0.3">
      <c r="A306" s="5">
        <f t="shared" si="16"/>
        <v>302</v>
      </c>
      <c r="B306" s="23" t="s">
        <v>805</v>
      </c>
      <c r="C306" s="17" t="s">
        <v>806</v>
      </c>
      <c r="D306" s="4" t="s">
        <v>54</v>
      </c>
      <c r="E306" s="4" t="s">
        <v>64</v>
      </c>
      <c r="F306" s="4" t="s">
        <v>64</v>
      </c>
      <c r="G306" s="4" t="s">
        <v>184</v>
      </c>
      <c r="H306" s="4" t="s">
        <v>185</v>
      </c>
      <c r="I306" s="24" t="s">
        <v>131</v>
      </c>
      <c r="J306" s="15">
        <v>3</v>
      </c>
      <c r="K306" s="15">
        <v>3</v>
      </c>
      <c r="L306" s="15">
        <v>3</v>
      </c>
      <c r="M306" s="15">
        <v>2</v>
      </c>
      <c r="N306" s="15">
        <v>3</v>
      </c>
      <c r="O306" s="15">
        <v>3</v>
      </c>
      <c r="P306" s="15" t="s">
        <v>415</v>
      </c>
      <c r="Q306" s="23" t="s">
        <v>416</v>
      </c>
      <c r="R306" s="25">
        <f>ROUND((K306*Parametros!$B$4+L306*Parametros!$B$5+M306*Parametros!$B$6+N306*Parametros!$B$7+O306*Parametros!$B$8)/SUM(Parametros!$B$4:$B$8),2)</f>
        <v>2.8</v>
      </c>
      <c r="S306" s="26">
        <f>IFERROR(INDEX(Parametros!$F$33:$F$42,MATCH(D306,Parametros!$A$33:$A$42,0)),1)</f>
        <v>1.034</v>
      </c>
      <c r="T306" s="27">
        <f>IFERROR(INDEX(Parametros!$B$21:$B$26,MATCH(I306,Parametros!$A$21:$A$26,0)),0)</f>
        <v>0</v>
      </c>
      <c r="U306" s="28">
        <f t="shared" si="17"/>
        <v>2.9</v>
      </c>
      <c r="V306" s="9">
        <f>IF(U306&gt;=Parametros!$B$14,4,IF(U306&gt;=Parametros!$B$13,3,IF(U306&gt;=Parametros!$B$12,2,1)))</f>
        <v>2</v>
      </c>
      <c r="W306" s="5">
        <f>MAX(V306,IF(K306=5,Parametros!$B$17,0),IF(P306="Sim",Parametros!$B$18,0))</f>
        <v>2</v>
      </c>
      <c r="X306" s="5" t="str">
        <f t="shared" si="18"/>
        <v>Normal</v>
      </c>
      <c r="Y306" s="29">
        <f t="shared" si="19"/>
        <v>2028.6996940000001</v>
      </c>
      <c r="Z306" s="4" t="s">
        <v>659</v>
      </c>
    </row>
    <row r="307" spans="1:26" ht="28.05" customHeight="1" x14ac:dyDescent="0.3">
      <c r="A307" s="5">
        <f t="shared" si="16"/>
        <v>303</v>
      </c>
      <c r="B307" s="23" t="s">
        <v>807</v>
      </c>
      <c r="C307" s="17" t="s">
        <v>808</v>
      </c>
      <c r="D307" s="4" t="s">
        <v>53</v>
      </c>
      <c r="E307" s="4" t="s">
        <v>68</v>
      </c>
      <c r="F307" s="4" t="s">
        <v>68</v>
      </c>
      <c r="G307" s="4" t="s">
        <v>112</v>
      </c>
      <c r="H307" s="4" t="s">
        <v>108</v>
      </c>
      <c r="I307" s="24" t="s">
        <v>122</v>
      </c>
      <c r="J307" s="15">
        <v>3</v>
      </c>
      <c r="K307" s="15">
        <v>4</v>
      </c>
      <c r="L307" s="15">
        <v>3</v>
      </c>
      <c r="M307" s="15">
        <v>1</v>
      </c>
      <c r="N307" s="15">
        <v>3</v>
      </c>
      <c r="O307" s="15">
        <v>2</v>
      </c>
      <c r="P307" s="15" t="s">
        <v>415</v>
      </c>
      <c r="Q307" s="23" t="s">
        <v>416</v>
      </c>
      <c r="R307" s="25">
        <f>ROUND((K307*Parametros!$B$4+L307*Parametros!$B$5+M307*Parametros!$B$6+N307*Parametros!$B$7+O307*Parametros!$B$8)/SUM(Parametros!$B$4:$B$8),2)</f>
        <v>2.75</v>
      </c>
      <c r="S307" s="26">
        <f>IFERROR(INDEX(Parametros!$F$33:$F$42,MATCH(D307,Parametros!$A$33:$A$42,0)),1)</f>
        <v>1.05</v>
      </c>
      <c r="T307" s="27">
        <f>IFERROR(INDEX(Parametros!$B$21:$B$26,MATCH(I307,Parametros!$A$21:$A$26,0)),0)</f>
        <v>0</v>
      </c>
      <c r="U307" s="28">
        <f t="shared" si="17"/>
        <v>2.89</v>
      </c>
      <c r="V307" s="9">
        <f>IF(U307&gt;=Parametros!$B$14,4,IF(U307&gt;=Parametros!$B$13,3,IF(U307&gt;=Parametros!$B$12,2,1)))</f>
        <v>2</v>
      </c>
      <c r="W307" s="5">
        <f>MAX(V307,IF(K307=5,Parametros!$B$17,0),IF(P307="Sim",Parametros!$B$18,0))</f>
        <v>2</v>
      </c>
      <c r="X307" s="5" t="str">
        <f t="shared" si="18"/>
        <v>Normal</v>
      </c>
      <c r="Y307" s="29">
        <f t="shared" si="19"/>
        <v>2028.5996930000001</v>
      </c>
      <c r="Z307" s="4" t="s">
        <v>385</v>
      </c>
    </row>
    <row r="308" spans="1:26" ht="28.05" customHeight="1" x14ac:dyDescent="0.3">
      <c r="A308" s="5">
        <f t="shared" si="16"/>
        <v>304</v>
      </c>
      <c r="B308" s="23" t="s">
        <v>809</v>
      </c>
      <c r="C308" s="17" t="s">
        <v>810</v>
      </c>
      <c r="D308" s="4" t="s">
        <v>53</v>
      </c>
      <c r="E308" s="4" t="s">
        <v>76</v>
      </c>
      <c r="F308" s="4" t="s">
        <v>76</v>
      </c>
      <c r="G308" s="4" t="s">
        <v>107</v>
      </c>
      <c r="H308" s="4" t="s">
        <v>108</v>
      </c>
      <c r="I308" s="24" t="s">
        <v>152</v>
      </c>
      <c r="J308" s="15">
        <v>3</v>
      </c>
      <c r="K308" s="15">
        <v>3</v>
      </c>
      <c r="L308" s="15">
        <v>3</v>
      </c>
      <c r="M308" s="15">
        <v>1</v>
      </c>
      <c r="N308" s="15">
        <v>3</v>
      </c>
      <c r="O308" s="15">
        <v>4</v>
      </c>
      <c r="P308" s="15" t="s">
        <v>415</v>
      </c>
      <c r="Q308" s="23" t="s">
        <v>416</v>
      </c>
      <c r="R308" s="25">
        <f>ROUND((K308*Parametros!$B$4+L308*Parametros!$B$5+M308*Parametros!$B$6+N308*Parametros!$B$7+O308*Parametros!$B$8)/SUM(Parametros!$B$4:$B$8),2)</f>
        <v>2.75</v>
      </c>
      <c r="S308" s="26">
        <f>IFERROR(INDEX(Parametros!$F$33:$F$42,MATCH(D308,Parametros!$A$33:$A$42,0)),1)</f>
        <v>1.05</v>
      </c>
      <c r="T308" s="27">
        <f>IFERROR(INDEX(Parametros!$B$21:$B$26,MATCH(I308,Parametros!$A$21:$A$26,0)),0)</f>
        <v>0</v>
      </c>
      <c r="U308" s="28">
        <f t="shared" si="17"/>
        <v>2.89</v>
      </c>
      <c r="V308" s="9">
        <f>IF(U308&gt;=Parametros!$B$14,4,IF(U308&gt;=Parametros!$B$13,3,IF(U308&gt;=Parametros!$B$12,2,1)))</f>
        <v>2</v>
      </c>
      <c r="W308" s="5">
        <f>MAX(V308,IF(K308=5,Parametros!$B$17,0),IF(P308="Sim",Parametros!$B$18,0))</f>
        <v>2</v>
      </c>
      <c r="X308" s="5" t="str">
        <f t="shared" si="18"/>
        <v>Normal</v>
      </c>
      <c r="Y308" s="29">
        <f t="shared" si="19"/>
        <v>2028.5996920000002</v>
      </c>
      <c r="Z308" s="4" t="s">
        <v>322</v>
      </c>
    </row>
    <row r="309" spans="1:26" ht="28.05" customHeight="1" x14ac:dyDescent="0.3">
      <c r="A309" s="5">
        <f t="shared" si="16"/>
        <v>305</v>
      </c>
      <c r="B309" s="23" t="s">
        <v>811</v>
      </c>
      <c r="C309" s="17" t="s">
        <v>812</v>
      </c>
      <c r="D309" s="4" t="s">
        <v>54</v>
      </c>
      <c r="E309" s="4" t="s">
        <v>64</v>
      </c>
      <c r="F309" s="4" t="s">
        <v>64</v>
      </c>
      <c r="G309" s="4" t="s">
        <v>134</v>
      </c>
      <c r="H309" s="4" t="s">
        <v>108</v>
      </c>
      <c r="I309" s="24" t="s">
        <v>131</v>
      </c>
      <c r="J309" s="15">
        <v>4</v>
      </c>
      <c r="K309" s="15">
        <v>3</v>
      </c>
      <c r="L309" s="15">
        <v>3</v>
      </c>
      <c r="M309" s="15">
        <v>2</v>
      </c>
      <c r="N309" s="15">
        <v>4</v>
      </c>
      <c r="O309" s="15">
        <v>2</v>
      </c>
      <c r="P309" s="15" t="s">
        <v>415</v>
      </c>
      <c r="Q309" s="23" t="s">
        <v>416</v>
      </c>
      <c r="R309" s="25">
        <f>ROUND((K309*Parametros!$B$4+L309*Parametros!$B$5+M309*Parametros!$B$6+N309*Parametros!$B$7+O309*Parametros!$B$8)/SUM(Parametros!$B$4:$B$8),2)</f>
        <v>2.8</v>
      </c>
      <c r="S309" s="26">
        <f>IFERROR(INDEX(Parametros!$F$33:$F$42,MATCH(D309,Parametros!$A$33:$A$42,0)),1)</f>
        <v>1.034</v>
      </c>
      <c r="T309" s="27">
        <f>IFERROR(INDEX(Parametros!$B$21:$B$26,MATCH(I309,Parametros!$A$21:$A$26,0)),0)</f>
        <v>0</v>
      </c>
      <c r="U309" s="28">
        <f t="shared" si="17"/>
        <v>2.9</v>
      </c>
      <c r="V309" s="9">
        <f>IF(U309&gt;=Parametros!$B$14,4,IF(U309&gt;=Parametros!$B$13,3,IF(U309&gt;=Parametros!$B$12,2,1)))</f>
        <v>2</v>
      </c>
      <c r="W309" s="5">
        <f>MAX(V309,IF(K309=5,Parametros!$B$17,0),IF(P309="Sim",Parametros!$B$18,0))</f>
        <v>2</v>
      </c>
      <c r="X309" s="5" t="str">
        <f t="shared" si="18"/>
        <v>Normal</v>
      </c>
      <c r="Y309" s="29">
        <f t="shared" si="19"/>
        <v>2028.5996909999999</v>
      </c>
      <c r="Z309" s="4" t="s">
        <v>653</v>
      </c>
    </row>
    <row r="310" spans="1:26" ht="28.05" customHeight="1" x14ac:dyDescent="0.3">
      <c r="A310" s="5">
        <f t="shared" si="16"/>
        <v>306</v>
      </c>
      <c r="B310" s="23" t="s">
        <v>813</v>
      </c>
      <c r="C310" s="17" t="s">
        <v>814</v>
      </c>
      <c r="D310" s="4" t="s">
        <v>53</v>
      </c>
      <c r="E310" s="4" t="s">
        <v>76</v>
      </c>
      <c r="F310" s="4" t="s">
        <v>76</v>
      </c>
      <c r="G310" s="4" t="s">
        <v>112</v>
      </c>
      <c r="H310" s="4" t="s">
        <v>108</v>
      </c>
      <c r="I310" s="24" t="s">
        <v>131</v>
      </c>
      <c r="J310" s="15">
        <v>4</v>
      </c>
      <c r="K310" s="15">
        <v>3</v>
      </c>
      <c r="L310" s="15">
        <v>3</v>
      </c>
      <c r="M310" s="15">
        <v>1</v>
      </c>
      <c r="N310" s="15">
        <v>4</v>
      </c>
      <c r="O310" s="15">
        <v>3</v>
      </c>
      <c r="P310" s="15" t="s">
        <v>415</v>
      </c>
      <c r="Q310" s="23" t="s">
        <v>416</v>
      </c>
      <c r="R310" s="25">
        <f>ROUND((K310*Parametros!$B$4+L310*Parametros!$B$5+M310*Parametros!$B$6+N310*Parametros!$B$7+O310*Parametros!$B$8)/SUM(Parametros!$B$4:$B$8),2)</f>
        <v>2.75</v>
      </c>
      <c r="S310" s="26">
        <f>IFERROR(INDEX(Parametros!$F$33:$F$42,MATCH(D310,Parametros!$A$33:$A$42,0)),1)</f>
        <v>1.05</v>
      </c>
      <c r="T310" s="27">
        <f>IFERROR(INDEX(Parametros!$B$21:$B$26,MATCH(I310,Parametros!$A$21:$A$26,0)),0)</f>
        <v>0</v>
      </c>
      <c r="U310" s="28">
        <f t="shared" si="17"/>
        <v>2.89</v>
      </c>
      <c r="V310" s="9">
        <f>IF(U310&gt;=Parametros!$B$14,4,IF(U310&gt;=Parametros!$B$13,3,IF(U310&gt;=Parametros!$B$12,2,1)))</f>
        <v>2</v>
      </c>
      <c r="W310" s="5">
        <f>MAX(V310,IF(K310=5,Parametros!$B$17,0),IF(P310="Sim",Parametros!$B$18,0))</f>
        <v>2</v>
      </c>
      <c r="X310" s="5" t="str">
        <f t="shared" si="18"/>
        <v>Normal</v>
      </c>
      <c r="Y310" s="29">
        <f t="shared" si="19"/>
        <v>2028.4996900000001</v>
      </c>
      <c r="Z310" s="4" t="s">
        <v>653</v>
      </c>
    </row>
    <row r="311" spans="1:26" ht="28.05" customHeight="1" x14ac:dyDescent="0.3">
      <c r="A311" s="5">
        <f t="shared" si="16"/>
        <v>307</v>
      </c>
      <c r="B311" s="23" t="s">
        <v>815</v>
      </c>
      <c r="C311" s="17" t="s">
        <v>816</v>
      </c>
      <c r="D311" s="4" t="s">
        <v>53</v>
      </c>
      <c r="E311" s="4" t="s">
        <v>64</v>
      </c>
      <c r="F311" s="4" t="s">
        <v>64</v>
      </c>
      <c r="G311" s="4" t="s">
        <v>171</v>
      </c>
      <c r="H311" s="4" t="s">
        <v>172</v>
      </c>
      <c r="I311" s="24" t="s">
        <v>109</v>
      </c>
      <c r="J311" s="15">
        <v>2</v>
      </c>
      <c r="K311" s="15">
        <v>3</v>
      </c>
      <c r="L311" s="15">
        <v>3</v>
      </c>
      <c r="M311" s="15">
        <v>1</v>
      </c>
      <c r="N311" s="15">
        <v>2</v>
      </c>
      <c r="O311" s="15">
        <v>3</v>
      </c>
      <c r="P311" s="15" t="s">
        <v>415</v>
      </c>
      <c r="Q311" s="23" t="s">
        <v>416</v>
      </c>
      <c r="R311" s="25">
        <f>ROUND((K311*Parametros!$B$4+L311*Parametros!$B$5+M311*Parametros!$B$6+N311*Parametros!$B$7+O311*Parametros!$B$8)/SUM(Parametros!$B$4:$B$8),2)</f>
        <v>2.4500000000000002</v>
      </c>
      <c r="S311" s="26">
        <f>IFERROR(INDEX(Parametros!$F$33:$F$42,MATCH(D311,Parametros!$A$33:$A$42,0)),1)</f>
        <v>1.05</v>
      </c>
      <c r="T311" s="27">
        <f>IFERROR(INDEX(Parametros!$B$21:$B$26,MATCH(I311,Parametros!$A$21:$A$26,0)),0)</f>
        <v>0.3</v>
      </c>
      <c r="U311" s="28">
        <f t="shared" si="17"/>
        <v>2.87</v>
      </c>
      <c r="V311" s="9">
        <f>IF(U311&gt;=Parametros!$B$14,4,IF(U311&gt;=Parametros!$B$13,3,IF(U311&gt;=Parametros!$B$12,2,1)))</f>
        <v>2</v>
      </c>
      <c r="W311" s="5">
        <f>MAX(V311,IF(K311=5,Parametros!$B$17,0),IF(P311="Sim",Parametros!$B$18,0))</f>
        <v>2</v>
      </c>
      <c r="X311" s="5" t="str">
        <f t="shared" si="18"/>
        <v>Normal</v>
      </c>
      <c r="Y311" s="29">
        <f t="shared" si="19"/>
        <v>2028.499689</v>
      </c>
      <c r="Z311" s="4" t="s">
        <v>348</v>
      </c>
    </row>
    <row r="312" spans="1:26" ht="28.05" customHeight="1" x14ac:dyDescent="0.3">
      <c r="A312" s="5">
        <f t="shared" si="16"/>
        <v>308</v>
      </c>
      <c r="B312" s="23" t="s">
        <v>817</v>
      </c>
      <c r="C312" s="17" t="s">
        <v>818</v>
      </c>
      <c r="D312" s="4" t="s">
        <v>48</v>
      </c>
      <c r="E312" s="4" t="s">
        <v>77</v>
      </c>
      <c r="F312" s="4" t="s">
        <v>77</v>
      </c>
      <c r="G312" s="4" t="s">
        <v>171</v>
      </c>
      <c r="H312" s="4" t="s">
        <v>172</v>
      </c>
      <c r="I312" s="24" t="s">
        <v>152</v>
      </c>
      <c r="J312" s="15">
        <v>1</v>
      </c>
      <c r="K312" s="15">
        <v>3</v>
      </c>
      <c r="L312" s="15">
        <v>3</v>
      </c>
      <c r="M312" s="15">
        <v>1</v>
      </c>
      <c r="N312" s="15">
        <v>4</v>
      </c>
      <c r="O312" s="15">
        <v>2</v>
      </c>
      <c r="P312" s="15" t="s">
        <v>415</v>
      </c>
      <c r="Q312" s="23" t="s">
        <v>416</v>
      </c>
      <c r="R312" s="25">
        <f>ROUND((K312*Parametros!$B$4+L312*Parametros!$B$5+M312*Parametros!$B$6+N312*Parametros!$B$7+O312*Parametros!$B$8)/SUM(Parametros!$B$4:$B$8),2)</f>
        <v>2.6</v>
      </c>
      <c r="S312" s="26">
        <f>IFERROR(INDEX(Parametros!$F$33:$F$42,MATCH(D312,Parametros!$A$33:$A$42,0)),1)</f>
        <v>1.1000000000000001</v>
      </c>
      <c r="T312" s="27">
        <f>IFERROR(INDEX(Parametros!$B$21:$B$26,MATCH(I312,Parametros!$A$21:$A$26,0)),0)</f>
        <v>0</v>
      </c>
      <c r="U312" s="28">
        <f t="shared" si="17"/>
        <v>2.86</v>
      </c>
      <c r="V312" s="9">
        <f>IF(U312&gt;=Parametros!$B$14,4,IF(U312&gt;=Parametros!$B$13,3,IF(U312&gt;=Parametros!$B$12,2,1)))</f>
        <v>2</v>
      </c>
      <c r="W312" s="5">
        <f>MAX(V312,IF(K312=5,Parametros!$B$17,0),IF(P312="Sim",Parametros!$B$18,0))</f>
        <v>2</v>
      </c>
      <c r="X312" s="5" t="str">
        <f t="shared" si="18"/>
        <v>Normal</v>
      </c>
      <c r="Y312" s="29">
        <f t="shared" si="19"/>
        <v>2028.4996880000001</v>
      </c>
      <c r="Z312" s="4" t="s">
        <v>653</v>
      </c>
    </row>
    <row r="313" spans="1:26" ht="28.05" customHeight="1" x14ac:dyDescent="0.3">
      <c r="A313" s="5">
        <f t="shared" si="16"/>
        <v>309</v>
      </c>
      <c r="B313" s="23" t="s">
        <v>819</v>
      </c>
      <c r="C313" s="17" t="s">
        <v>820</v>
      </c>
      <c r="D313" s="4" t="s">
        <v>50</v>
      </c>
      <c r="E313" s="4" t="s">
        <v>65</v>
      </c>
      <c r="F313" s="4" t="s">
        <v>65</v>
      </c>
      <c r="G313" s="4" t="s">
        <v>119</v>
      </c>
      <c r="H313" s="4" t="s">
        <v>108</v>
      </c>
      <c r="I313" s="24" t="s">
        <v>122</v>
      </c>
      <c r="J313" s="15">
        <v>3</v>
      </c>
      <c r="K313" s="15">
        <v>3</v>
      </c>
      <c r="L313" s="15">
        <v>2</v>
      </c>
      <c r="M313" s="15">
        <v>3</v>
      </c>
      <c r="N313" s="15">
        <v>2</v>
      </c>
      <c r="O313" s="15">
        <v>3</v>
      </c>
      <c r="P313" s="15" t="s">
        <v>415</v>
      </c>
      <c r="Q313" s="23" t="s">
        <v>416</v>
      </c>
      <c r="R313" s="25">
        <f>ROUND((K313*Parametros!$B$4+L313*Parametros!$B$5+M313*Parametros!$B$6+N313*Parametros!$B$7+O313*Parametros!$B$8)/SUM(Parametros!$B$4:$B$8),2)</f>
        <v>2.65</v>
      </c>
      <c r="S313" s="26">
        <f>IFERROR(INDEX(Parametros!$F$33:$F$42,MATCH(D313,Parametros!$A$33:$A$42,0)),1)</f>
        <v>1.0840000000000001</v>
      </c>
      <c r="T313" s="27">
        <f>IFERROR(INDEX(Parametros!$B$21:$B$26,MATCH(I313,Parametros!$A$21:$A$26,0)),0)</f>
        <v>0</v>
      </c>
      <c r="U313" s="28">
        <f t="shared" si="17"/>
        <v>2.87</v>
      </c>
      <c r="V313" s="9">
        <f>IF(U313&gt;=Parametros!$B$14,4,IF(U313&gt;=Parametros!$B$13,3,IF(U313&gt;=Parametros!$B$12,2,1)))</f>
        <v>2</v>
      </c>
      <c r="W313" s="5">
        <f>MAX(V313,IF(K313=5,Parametros!$B$17,0),IF(P313="Sim",Parametros!$B$18,0))</f>
        <v>2</v>
      </c>
      <c r="X313" s="5" t="str">
        <f t="shared" si="18"/>
        <v>Normal</v>
      </c>
      <c r="Y313" s="29">
        <f t="shared" si="19"/>
        <v>2028.3996870000001</v>
      </c>
      <c r="Z313" s="4" t="s">
        <v>659</v>
      </c>
    </row>
    <row r="314" spans="1:26" ht="28.05" customHeight="1" x14ac:dyDescent="0.3">
      <c r="A314" s="5">
        <f t="shared" si="16"/>
        <v>310</v>
      </c>
      <c r="B314" s="23" t="s">
        <v>821</v>
      </c>
      <c r="C314" s="17" t="s">
        <v>822</v>
      </c>
      <c r="D314" s="4" t="s">
        <v>49</v>
      </c>
      <c r="E314" s="4" t="s">
        <v>81</v>
      </c>
      <c r="F314" s="4" t="s">
        <v>81</v>
      </c>
      <c r="G314" s="4" t="s">
        <v>107</v>
      </c>
      <c r="H314" s="4" t="s">
        <v>108</v>
      </c>
      <c r="I314" s="24" t="s">
        <v>152</v>
      </c>
      <c r="J314" s="15">
        <v>3</v>
      </c>
      <c r="K314" s="15">
        <v>2</v>
      </c>
      <c r="L314" s="15">
        <v>3</v>
      </c>
      <c r="M314" s="15">
        <v>4</v>
      </c>
      <c r="N314" s="15">
        <v>1</v>
      </c>
      <c r="O314" s="15">
        <v>3</v>
      </c>
      <c r="P314" s="15" t="s">
        <v>415</v>
      </c>
      <c r="Q314" s="23" t="s">
        <v>416</v>
      </c>
      <c r="R314" s="25">
        <f>ROUND((K314*Parametros!$B$4+L314*Parametros!$B$5+M314*Parametros!$B$6+N314*Parametros!$B$7+O314*Parametros!$B$8)/SUM(Parametros!$B$4:$B$8),2)</f>
        <v>2.6</v>
      </c>
      <c r="S314" s="26">
        <f>IFERROR(INDEX(Parametros!$F$33:$F$42,MATCH(D314,Parametros!$A$33:$A$42,0)),1)</f>
        <v>1.1000000000000001</v>
      </c>
      <c r="T314" s="27">
        <f>IFERROR(INDEX(Parametros!$B$21:$B$26,MATCH(I314,Parametros!$A$21:$A$26,0)),0)</f>
        <v>0</v>
      </c>
      <c r="U314" s="28">
        <f t="shared" si="17"/>
        <v>2.86</v>
      </c>
      <c r="V314" s="9">
        <f>IF(U314&gt;=Parametros!$B$14,4,IF(U314&gt;=Parametros!$B$13,3,IF(U314&gt;=Parametros!$B$12,2,1)))</f>
        <v>2</v>
      </c>
      <c r="W314" s="5">
        <f>MAX(V314,IF(K314=5,Parametros!$B$17,0),IF(P314="Sim",Parametros!$B$18,0))</f>
        <v>2</v>
      </c>
      <c r="X314" s="5" t="str">
        <f t="shared" si="18"/>
        <v>Normal</v>
      </c>
      <c r="Y314" s="29">
        <f t="shared" si="19"/>
        <v>2028.2996860000001</v>
      </c>
      <c r="Z314" s="4" t="s">
        <v>289</v>
      </c>
    </row>
    <row r="315" spans="1:26" ht="28.05" customHeight="1" x14ac:dyDescent="0.3">
      <c r="A315" s="5">
        <f t="shared" si="16"/>
        <v>311</v>
      </c>
      <c r="B315" s="23" t="s">
        <v>823</v>
      </c>
      <c r="C315" s="17" t="s">
        <v>824</v>
      </c>
      <c r="D315" s="4" t="s">
        <v>55</v>
      </c>
      <c r="E315" s="4" t="s">
        <v>70</v>
      </c>
      <c r="F315" s="4" t="s">
        <v>70</v>
      </c>
      <c r="G315" s="4" t="s">
        <v>134</v>
      </c>
      <c r="H315" s="4" t="s">
        <v>108</v>
      </c>
      <c r="I315" s="24" t="s">
        <v>152</v>
      </c>
      <c r="J315" s="15">
        <v>2</v>
      </c>
      <c r="K315" s="15">
        <v>2</v>
      </c>
      <c r="L315" s="15">
        <v>3</v>
      </c>
      <c r="M315" s="15">
        <v>4</v>
      </c>
      <c r="N315" s="15">
        <v>2</v>
      </c>
      <c r="O315" s="15">
        <v>3</v>
      </c>
      <c r="P315" s="15" t="s">
        <v>415</v>
      </c>
      <c r="Q315" s="23" t="s">
        <v>416</v>
      </c>
      <c r="R315" s="25">
        <f>ROUND((K315*Parametros!$B$4+L315*Parametros!$B$5+M315*Parametros!$B$6+N315*Parametros!$B$7+O315*Parametros!$B$8)/SUM(Parametros!$B$4:$B$8),2)</f>
        <v>2.75</v>
      </c>
      <c r="S315" s="26">
        <f>IFERROR(INDEX(Parametros!$F$33:$F$42,MATCH(D315,Parametros!$A$33:$A$42,0)),1)</f>
        <v>1.034</v>
      </c>
      <c r="T315" s="27">
        <f>IFERROR(INDEX(Parametros!$B$21:$B$26,MATCH(I315,Parametros!$A$21:$A$26,0)),0)</f>
        <v>0</v>
      </c>
      <c r="U315" s="28">
        <f t="shared" si="17"/>
        <v>2.84</v>
      </c>
      <c r="V315" s="9">
        <f>IF(U315&gt;=Parametros!$B$14,4,IF(U315&gt;=Parametros!$B$13,3,IF(U315&gt;=Parametros!$B$12,2,1)))</f>
        <v>2</v>
      </c>
      <c r="W315" s="5">
        <f>MAX(V315,IF(K315=5,Parametros!$B$17,0),IF(P315="Sim",Parametros!$B$18,0))</f>
        <v>2</v>
      </c>
      <c r="X315" s="5" t="str">
        <f t="shared" si="18"/>
        <v>Normal</v>
      </c>
      <c r="Y315" s="29">
        <f t="shared" si="19"/>
        <v>2028.199685</v>
      </c>
      <c r="Z315" s="4" t="s">
        <v>289</v>
      </c>
    </row>
    <row r="316" spans="1:26" ht="28.05" customHeight="1" x14ac:dyDescent="0.3">
      <c r="A316" s="5">
        <f t="shared" si="16"/>
        <v>312</v>
      </c>
      <c r="B316" s="23" t="s">
        <v>825</v>
      </c>
      <c r="C316" s="17" t="s">
        <v>826</v>
      </c>
      <c r="D316" s="4" t="s">
        <v>55</v>
      </c>
      <c r="E316" s="4" t="s">
        <v>70</v>
      </c>
      <c r="F316" s="4" t="s">
        <v>70</v>
      </c>
      <c r="G316" s="4" t="s">
        <v>134</v>
      </c>
      <c r="H316" s="4" t="s">
        <v>108</v>
      </c>
      <c r="I316" s="24" t="s">
        <v>152</v>
      </c>
      <c r="J316" s="15">
        <v>2</v>
      </c>
      <c r="K316" s="15">
        <v>2</v>
      </c>
      <c r="L316" s="15">
        <v>3</v>
      </c>
      <c r="M316" s="15">
        <v>4</v>
      </c>
      <c r="N316" s="15">
        <v>2</v>
      </c>
      <c r="O316" s="15">
        <v>3</v>
      </c>
      <c r="P316" s="15" t="s">
        <v>415</v>
      </c>
      <c r="Q316" s="23" t="s">
        <v>416</v>
      </c>
      <c r="R316" s="25">
        <f>ROUND((K316*Parametros!$B$4+L316*Parametros!$B$5+M316*Parametros!$B$6+N316*Parametros!$B$7+O316*Parametros!$B$8)/SUM(Parametros!$B$4:$B$8),2)</f>
        <v>2.75</v>
      </c>
      <c r="S316" s="26">
        <f>IFERROR(INDEX(Parametros!$F$33:$F$42,MATCH(D316,Parametros!$A$33:$A$42,0)),1)</f>
        <v>1.034</v>
      </c>
      <c r="T316" s="27">
        <f>IFERROR(INDEX(Parametros!$B$21:$B$26,MATCH(I316,Parametros!$A$21:$A$26,0)),0)</f>
        <v>0</v>
      </c>
      <c r="U316" s="28">
        <f t="shared" si="17"/>
        <v>2.84</v>
      </c>
      <c r="V316" s="9">
        <f>IF(U316&gt;=Parametros!$B$14,4,IF(U316&gt;=Parametros!$B$13,3,IF(U316&gt;=Parametros!$B$12,2,1)))</f>
        <v>2</v>
      </c>
      <c r="W316" s="5">
        <f>MAX(V316,IF(K316=5,Parametros!$B$17,0),IF(P316="Sim",Parametros!$B$18,0))</f>
        <v>2</v>
      </c>
      <c r="X316" s="5" t="str">
        <f t="shared" si="18"/>
        <v>Normal</v>
      </c>
      <c r="Y316" s="29">
        <f t="shared" si="19"/>
        <v>2028.1996839999999</v>
      </c>
      <c r="Z316" s="4" t="s">
        <v>289</v>
      </c>
    </row>
    <row r="317" spans="1:26" ht="28.05" customHeight="1" x14ac:dyDescent="0.3">
      <c r="A317" s="5">
        <f t="shared" si="16"/>
        <v>313</v>
      </c>
      <c r="B317" s="23" t="s">
        <v>827</v>
      </c>
      <c r="C317" s="17" t="s">
        <v>804</v>
      </c>
      <c r="D317" s="4" t="s">
        <v>56</v>
      </c>
      <c r="E317" s="4" t="s">
        <v>64</v>
      </c>
      <c r="F317" s="4" t="s">
        <v>64</v>
      </c>
      <c r="G317" s="4" t="s">
        <v>134</v>
      </c>
      <c r="H317" s="4" t="s">
        <v>108</v>
      </c>
      <c r="I317" s="24" t="s">
        <v>131</v>
      </c>
      <c r="J317" s="15">
        <v>3</v>
      </c>
      <c r="K317" s="15">
        <v>3</v>
      </c>
      <c r="L317" s="15">
        <v>4</v>
      </c>
      <c r="M317" s="15">
        <v>1</v>
      </c>
      <c r="N317" s="15">
        <v>3</v>
      </c>
      <c r="O317" s="15">
        <v>3</v>
      </c>
      <c r="P317" s="15" t="s">
        <v>415</v>
      </c>
      <c r="Q317" s="23" t="s">
        <v>416</v>
      </c>
      <c r="R317" s="25">
        <f>ROUND((K317*Parametros!$B$4+L317*Parametros!$B$5+M317*Parametros!$B$6+N317*Parametros!$B$7+O317*Parametros!$B$8)/SUM(Parametros!$B$4:$B$8),2)</f>
        <v>2.8</v>
      </c>
      <c r="S317" s="26">
        <f>IFERROR(INDEX(Parametros!$F$33:$F$42,MATCH(D317,Parametros!$A$33:$A$42,0)),1)</f>
        <v>1.0169999999999999</v>
      </c>
      <c r="T317" s="27">
        <f>IFERROR(INDEX(Parametros!$B$21:$B$26,MATCH(I317,Parametros!$A$21:$A$26,0)),0)</f>
        <v>0</v>
      </c>
      <c r="U317" s="28">
        <f t="shared" si="17"/>
        <v>2.85</v>
      </c>
      <c r="V317" s="9">
        <f>IF(U317&gt;=Parametros!$B$14,4,IF(U317&gt;=Parametros!$B$13,3,IF(U317&gt;=Parametros!$B$12,2,1)))</f>
        <v>2</v>
      </c>
      <c r="W317" s="5">
        <f>MAX(V317,IF(K317=5,Parametros!$B$17,0),IF(P317="Sim",Parametros!$B$18,0))</f>
        <v>2</v>
      </c>
      <c r="X317" s="5" t="str">
        <f t="shared" si="18"/>
        <v>Normal</v>
      </c>
      <c r="Y317" s="29">
        <f t="shared" si="19"/>
        <v>2028.1996830000001</v>
      </c>
      <c r="Z317" s="4" t="s">
        <v>309</v>
      </c>
    </row>
    <row r="318" spans="1:26" ht="28.05" customHeight="1" x14ac:dyDescent="0.3">
      <c r="A318" s="5">
        <f t="shared" si="16"/>
        <v>314</v>
      </c>
      <c r="B318" s="23" t="s">
        <v>828</v>
      </c>
      <c r="C318" s="17" t="s">
        <v>829</v>
      </c>
      <c r="D318" s="4" t="s">
        <v>54</v>
      </c>
      <c r="E318" s="4" t="s">
        <v>69</v>
      </c>
      <c r="F318" s="4" t="s">
        <v>69</v>
      </c>
      <c r="G318" s="4" t="s">
        <v>112</v>
      </c>
      <c r="H318" s="4" t="s">
        <v>108</v>
      </c>
      <c r="I318" s="24" t="s">
        <v>152</v>
      </c>
      <c r="J318" s="15">
        <v>2</v>
      </c>
      <c r="K318" s="15">
        <v>3</v>
      </c>
      <c r="L318" s="15">
        <v>2</v>
      </c>
      <c r="M318" s="15">
        <v>2</v>
      </c>
      <c r="N318" s="15">
        <v>4</v>
      </c>
      <c r="O318" s="15">
        <v>3</v>
      </c>
      <c r="P318" s="15" t="s">
        <v>415</v>
      </c>
      <c r="Q318" s="23" t="s">
        <v>416</v>
      </c>
      <c r="R318" s="25">
        <f>ROUND((K318*Parametros!$B$4+L318*Parametros!$B$5+M318*Parametros!$B$6+N318*Parametros!$B$7+O318*Parametros!$B$8)/SUM(Parametros!$B$4:$B$8),2)</f>
        <v>2.75</v>
      </c>
      <c r="S318" s="26">
        <f>IFERROR(INDEX(Parametros!$F$33:$F$42,MATCH(D318,Parametros!$A$33:$A$42,0)),1)</f>
        <v>1.034</v>
      </c>
      <c r="T318" s="27">
        <f>IFERROR(INDEX(Parametros!$B$21:$B$26,MATCH(I318,Parametros!$A$21:$A$26,0)),0)</f>
        <v>0</v>
      </c>
      <c r="U318" s="28">
        <f t="shared" si="17"/>
        <v>2.84</v>
      </c>
      <c r="V318" s="9">
        <f>IF(U318&gt;=Parametros!$B$14,4,IF(U318&gt;=Parametros!$B$13,3,IF(U318&gt;=Parametros!$B$12,2,1)))</f>
        <v>2</v>
      </c>
      <c r="W318" s="5">
        <f>MAX(V318,IF(K318=5,Parametros!$B$17,0),IF(P318="Sim",Parametros!$B$18,0))</f>
        <v>2</v>
      </c>
      <c r="X318" s="5" t="str">
        <f t="shared" si="18"/>
        <v>Normal</v>
      </c>
      <c r="Y318" s="29">
        <f t="shared" si="19"/>
        <v>2028.1996819999999</v>
      </c>
      <c r="Z318" s="4" t="s">
        <v>653</v>
      </c>
    </row>
    <row r="319" spans="1:26" ht="28.05" customHeight="1" x14ac:dyDescent="0.3">
      <c r="A319" s="5">
        <f t="shared" si="16"/>
        <v>315</v>
      </c>
      <c r="B319" s="23" t="s">
        <v>830</v>
      </c>
      <c r="C319" s="17" t="s">
        <v>831</v>
      </c>
      <c r="D319" s="4" t="s">
        <v>54</v>
      </c>
      <c r="E319" s="4" t="s">
        <v>72</v>
      </c>
      <c r="F319" s="4" t="s">
        <v>72</v>
      </c>
      <c r="G319" s="4" t="s">
        <v>112</v>
      </c>
      <c r="H319" s="4" t="s">
        <v>108</v>
      </c>
      <c r="I319" s="24" t="s">
        <v>152</v>
      </c>
      <c r="J319" s="15">
        <v>2</v>
      </c>
      <c r="K319" s="15">
        <v>2</v>
      </c>
      <c r="L319" s="15">
        <v>3</v>
      </c>
      <c r="M319" s="15">
        <v>4</v>
      </c>
      <c r="N319" s="15">
        <v>2</v>
      </c>
      <c r="O319" s="15">
        <v>3</v>
      </c>
      <c r="P319" s="15" t="s">
        <v>415</v>
      </c>
      <c r="Q319" s="23" t="s">
        <v>416</v>
      </c>
      <c r="R319" s="25">
        <f>ROUND((K319*Parametros!$B$4+L319*Parametros!$B$5+M319*Parametros!$B$6+N319*Parametros!$B$7+O319*Parametros!$B$8)/SUM(Parametros!$B$4:$B$8),2)</f>
        <v>2.75</v>
      </c>
      <c r="S319" s="26">
        <f>IFERROR(INDEX(Parametros!$F$33:$F$42,MATCH(D319,Parametros!$A$33:$A$42,0)),1)</f>
        <v>1.034</v>
      </c>
      <c r="T319" s="27">
        <f>IFERROR(INDEX(Parametros!$B$21:$B$26,MATCH(I319,Parametros!$A$21:$A$26,0)),0)</f>
        <v>0</v>
      </c>
      <c r="U319" s="28">
        <f t="shared" si="17"/>
        <v>2.84</v>
      </c>
      <c r="V319" s="9">
        <f>IF(U319&gt;=Parametros!$B$14,4,IF(U319&gt;=Parametros!$B$13,3,IF(U319&gt;=Parametros!$B$12,2,1)))</f>
        <v>2</v>
      </c>
      <c r="W319" s="5">
        <f>MAX(V319,IF(K319=5,Parametros!$B$17,0),IF(P319="Sim",Parametros!$B$18,0))</f>
        <v>2</v>
      </c>
      <c r="X319" s="5" t="str">
        <f t="shared" si="18"/>
        <v>Normal</v>
      </c>
      <c r="Y319" s="29">
        <f t="shared" si="19"/>
        <v>2028.1996810000001</v>
      </c>
      <c r="Z319" s="4" t="s">
        <v>289</v>
      </c>
    </row>
    <row r="320" spans="1:26" ht="28.05" customHeight="1" x14ac:dyDescent="0.3">
      <c r="A320" s="5">
        <f t="shared" si="16"/>
        <v>316</v>
      </c>
      <c r="B320" s="23" t="s">
        <v>832</v>
      </c>
      <c r="C320" s="17" t="s">
        <v>833</v>
      </c>
      <c r="D320" s="4" t="s">
        <v>54</v>
      </c>
      <c r="E320" s="4" t="s">
        <v>72</v>
      </c>
      <c r="F320" s="4" t="s">
        <v>72</v>
      </c>
      <c r="G320" s="4" t="s">
        <v>171</v>
      </c>
      <c r="H320" s="4" t="s">
        <v>172</v>
      </c>
      <c r="I320" s="24" t="s">
        <v>152</v>
      </c>
      <c r="J320" s="15">
        <v>2</v>
      </c>
      <c r="K320" s="15">
        <v>3</v>
      </c>
      <c r="L320" s="15">
        <v>2</v>
      </c>
      <c r="M320" s="15">
        <v>2</v>
      </c>
      <c r="N320" s="15">
        <v>4</v>
      </c>
      <c r="O320" s="15">
        <v>3</v>
      </c>
      <c r="P320" s="15" t="s">
        <v>415</v>
      </c>
      <c r="Q320" s="23" t="s">
        <v>416</v>
      </c>
      <c r="R320" s="25">
        <f>ROUND((K320*Parametros!$B$4+L320*Parametros!$B$5+M320*Parametros!$B$6+N320*Parametros!$B$7+O320*Parametros!$B$8)/SUM(Parametros!$B$4:$B$8),2)</f>
        <v>2.75</v>
      </c>
      <c r="S320" s="26">
        <f>IFERROR(INDEX(Parametros!$F$33:$F$42,MATCH(D320,Parametros!$A$33:$A$42,0)),1)</f>
        <v>1.034</v>
      </c>
      <c r="T320" s="27">
        <f>IFERROR(INDEX(Parametros!$B$21:$B$26,MATCH(I320,Parametros!$A$21:$A$26,0)),0)</f>
        <v>0</v>
      </c>
      <c r="U320" s="28">
        <f t="shared" si="17"/>
        <v>2.84</v>
      </c>
      <c r="V320" s="9">
        <f>IF(U320&gt;=Parametros!$B$14,4,IF(U320&gt;=Parametros!$B$13,3,IF(U320&gt;=Parametros!$B$12,2,1)))</f>
        <v>2</v>
      </c>
      <c r="W320" s="5">
        <f>MAX(V320,IF(K320=5,Parametros!$B$17,0),IF(P320="Sim",Parametros!$B$18,0))</f>
        <v>2</v>
      </c>
      <c r="X320" s="5" t="str">
        <f t="shared" si="18"/>
        <v>Normal</v>
      </c>
      <c r="Y320" s="29">
        <f t="shared" si="19"/>
        <v>2028.1996799999999</v>
      </c>
      <c r="Z320" s="4" t="s">
        <v>653</v>
      </c>
    </row>
    <row r="321" spans="1:26" ht="28.05" customHeight="1" x14ac:dyDescent="0.3">
      <c r="A321" s="5">
        <f t="shared" si="16"/>
        <v>317</v>
      </c>
      <c r="B321" s="23" t="s">
        <v>834</v>
      </c>
      <c r="C321" s="17" t="s">
        <v>835</v>
      </c>
      <c r="D321" s="4" t="s">
        <v>54</v>
      </c>
      <c r="E321" s="4" t="s">
        <v>72</v>
      </c>
      <c r="F321" s="4" t="s">
        <v>72</v>
      </c>
      <c r="G321" s="4" t="s">
        <v>107</v>
      </c>
      <c r="H321" s="4" t="s">
        <v>108</v>
      </c>
      <c r="I321" s="24" t="s">
        <v>152</v>
      </c>
      <c r="J321" s="15">
        <v>2</v>
      </c>
      <c r="K321" s="15">
        <v>2</v>
      </c>
      <c r="L321" s="15">
        <v>3</v>
      </c>
      <c r="M321" s="15">
        <v>4</v>
      </c>
      <c r="N321" s="15">
        <v>2</v>
      </c>
      <c r="O321" s="15">
        <v>3</v>
      </c>
      <c r="P321" s="15" t="s">
        <v>415</v>
      </c>
      <c r="Q321" s="23" t="s">
        <v>416</v>
      </c>
      <c r="R321" s="25">
        <f>ROUND((K321*Parametros!$B$4+L321*Parametros!$B$5+M321*Parametros!$B$6+N321*Parametros!$B$7+O321*Parametros!$B$8)/SUM(Parametros!$B$4:$B$8),2)</f>
        <v>2.75</v>
      </c>
      <c r="S321" s="26">
        <f>IFERROR(INDEX(Parametros!$F$33:$F$42,MATCH(D321,Parametros!$A$33:$A$42,0)),1)</f>
        <v>1.034</v>
      </c>
      <c r="T321" s="27">
        <f>IFERROR(INDEX(Parametros!$B$21:$B$26,MATCH(I321,Parametros!$A$21:$A$26,0)),0)</f>
        <v>0</v>
      </c>
      <c r="U321" s="28">
        <f t="shared" si="17"/>
        <v>2.84</v>
      </c>
      <c r="V321" s="9">
        <f>IF(U321&gt;=Parametros!$B$14,4,IF(U321&gt;=Parametros!$B$13,3,IF(U321&gt;=Parametros!$B$12,2,1)))</f>
        <v>2</v>
      </c>
      <c r="W321" s="5">
        <f>MAX(V321,IF(K321=5,Parametros!$B$17,0),IF(P321="Sim",Parametros!$B$18,0))</f>
        <v>2</v>
      </c>
      <c r="X321" s="5" t="str">
        <f t="shared" si="18"/>
        <v>Normal</v>
      </c>
      <c r="Y321" s="29">
        <f t="shared" si="19"/>
        <v>2028.1996790000001</v>
      </c>
      <c r="Z321" s="4" t="s">
        <v>289</v>
      </c>
    </row>
    <row r="322" spans="1:26" ht="28.05" customHeight="1" x14ac:dyDescent="0.3">
      <c r="A322" s="5">
        <f t="shared" si="16"/>
        <v>318</v>
      </c>
      <c r="B322" s="23" t="s">
        <v>836</v>
      </c>
      <c r="C322" s="17" t="s">
        <v>837</v>
      </c>
      <c r="D322" s="4" t="s">
        <v>53</v>
      </c>
      <c r="E322" s="4" t="s">
        <v>64</v>
      </c>
      <c r="F322" s="4" t="s">
        <v>64</v>
      </c>
      <c r="G322" s="4" t="s">
        <v>171</v>
      </c>
      <c r="H322" s="4" t="s">
        <v>172</v>
      </c>
      <c r="I322" s="24" t="s">
        <v>131</v>
      </c>
      <c r="J322" s="15">
        <v>2</v>
      </c>
      <c r="K322" s="15">
        <v>3</v>
      </c>
      <c r="L322" s="15">
        <v>3</v>
      </c>
      <c r="M322" s="15">
        <v>3</v>
      </c>
      <c r="N322" s="15">
        <v>1</v>
      </c>
      <c r="O322" s="15">
        <v>3</v>
      </c>
      <c r="P322" s="15" t="s">
        <v>415</v>
      </c>
      <c r="Q322" s="23" t="s">
        <v>838</v>
      </c>
      <c r="R322" s="25">
        <f>ROUND((K322*Parametros!$B$4+L322*Parametros!$B$5+M322*Parametros!$B$6+N322*Parametros!$B$7+O322*Parametros!$B$8)/SUM(Parametros!$B$4:$B$8),2)</f>
        <v>2.7</v>
      </c>
      <c r="S322" s="26">
        <f>IFERROR(INDEX(Parametros!$F$33:$F$42,MATCH(D322,Parametros!$A$33:$A$42,0)),1)</f>
        <v>1.05</v>
      </c>
      <c r="T322" s="27">
        <f>IFERROR(INDEX(Parametros!$B$21:$B$26,MATCH(I322,Parametros!$A$21:$A$26,0)),0)</f>
        <v>0</v>
      </c>
      <c r="U322" s="28">
        <f t="shared" si="17"/>
        <v>2.84</v>
      </c>
      <c r="V322" s="9">
        <f>IF(U322&gt;=Parametros!$B$14,4,IF(U322&gt;=Parametros!$B$13,3,IF(U322&gt;=Parametros!$B$12,2,1)))</f>
        <v>2</v>
      </c>
      <c r="W322" s="5">
        <f>MAX(V322,IF(K322=5,Parametros!$B$17,0),IF(P322="Sim",Parametros!$B$18,0))</f>
        <v>2</v>
      </c>
      <c r="X322" s="5" t="str">
        <f t="shared" si="18"/>
        <v>Normal</v>
      </c>
      <c r="Y322" s="29">
        <f t="shared" si="19"/>
        <v>2028.1996779999999</v>
      </c>
      <c r="Z322" s="4" t="s">
        <v>659</v>
      </c>
    </row>
    <row r="323" spans="1:26" ht="28.05" customHeight="1" x14ac:dyDescent="0.3">
      <c r="A323" s="5">
        <f t="shared" si="16"/>
        <v>319</v>
      </c>
      <c r="B323" s="23" t="s">
        <v>839</v>
      </c>
      <c r="C323" s="17" t="s">
        <v>840</v>
      </c>
      <c r="D323" s="4" t="s">
        <v>52</v>
      </c>
      <c r="E323" s="4" t="s">
        <v>64</v>
      </c>
      <c r="F323" s="4" t="s">
        <v>64</v>
      </c>
      <c r="G323" s="4" t="s">
        <v>171</v>
      </c>
      <c r="H323" s="4" t="s">
        <v>172</v>
      </c>
      <c r="I323" s="24" t="s">
        <v>131</v>
      </c>
      <c r="J323" s="15">
        <v>2</v>
      </c>
      <c r="K323" s="15">
        <v>3</v>
      </c>
      <c r="L323" s="15">
        <v>3</v>
      </c>
      <c r="M323" s="15">
        <v>3</v>
      </c>
      <c r="N323" s="15">
        <v>1</v>
      </c>
      <c r="O323" s="15">
        <v>3</v>
      </c>
      <c r="P323" s="15" t="s">
        <v>415</v>
      </c>
      <c r="Q323" s="23" t="s">
        <v>838</v>
      </c>
      <c r="R323" s="25">
        <f>ROUND((K323*Parametros!$B$4+L323*Parametros!$B$5+M323*Parametros!$B$6+N323*Parametros!$B$7+O323*Parametros!$B$8)/SUM(Parametros!$B$4:$B$8),2)</f>
        <v>2.7</v>
      </c>
      <c r="S323" s="26">
        <f>IFERROR(INDEX(Parametros!$F$33:$F$42,MATCH(D323,Parametros!$A$33:$A$42,0)),1)</f>
        <v>1.05</v>
      </c>
      <c r="T323" s="27">
        <f>IFERROR(INDEX(Parametros!$B$21:$B$26,MATCH(I323,Parametros!$A$21:$A$26,0)),0)</f>
        <v>0</v>
      </c>
      <c r="U323" s="28">
        <f t="shared" si="17"/>
        <v>2.84</v>
      </c>
      <c r="V323" s="9">
        <f>IF(U323&gt;=Parametros!$B$14,4,IF(U323&gt;=Parametros!$B$13,3,IF(U323&gt;=Parametros!$B$12,2,1)))</f>
        <v>2</v>
      </c>
      <c r="W323" s="5">
        <f>MAX(V323,IF(K323=5,Parametros!$B$17,0),IF(P323="Sim",Parametros!$B$18,0))</f>
        <v>2</v>
      </c>
      <c r="X323" s="5" t="str">
        <f t="shared" si="18"/>
        <v>Normal</v>
      </c>
      <c r="Y323" s="29">
        <f t="shared" si="19"/>
        <v>2028.1996770000001</v>
      </c>
      <c r="Z323" s="4" t="s">
        <v>659</v>
      </c>
    </row>
    <row r="324" spans="1:26" ht="28.05" customHeight="1" x14ac:dyDescent="0.3">
      <c r="A324" s="5">
        <f t="shared" si="16"/>
        <v>320</v>
      </c>
      <c r="B324" s="23" t="s">
        <v>841</v>
      </c>
      <c r="C324" s="17" t="s">
        <v>842</v>
      </c>
      <c r="D324" s="4" t="s">
        <v>55</v>
      </c>
      <c r="E324" s="4" t="s">
        <v>64</v>
      </c>
      <c r="F324" s="4" t="s">
        <v>64</v>
      </c>
      <c r="G324" s="4" t="s">
        <v>134</v>
      </c>
      <c r="H324" s="4" t="s">
        <v>108</v>
      </c>
      <c r="I324" s="24" t="s">
        <v>131</v>
      </c>
      <c r="J324" s="15">
        <v>3</v>
      </c>
      <c r="K324" s="15">
        <v>3</v>
      </c>
      <c r="L324" s="15">
        <v>3</v>
      </c>
      <c r="M324" s="15">
        <v>1</v>
      </c>
      <c r="N324" s="15">
        <v>3</v>
      </c>
      <c r="O324" s="15">
        <v>4</v>
      </c>
      <c r="P324" s="15" t="s">
        <v>415</v>
      </c>
      <c r="Q324" s="23" t="s">
        <v>416</v>
      </c>
      <c r="R324" s="25">
        <f>ROUND((K324*Parametros!$B$4+L324*Parametros!$B$5+M324*Parametros!$B$6+N324*Parametros!$B$7+O324*Parametros!$B$8)/SUM(Parametros!$B$4:$B$8),2)</f>
        <v>2.75</v>
      </c>
      <c r="S324" s="26">
        <f>IFERROR(INDEX(Parametros!$F$33:$F$42,MATCH(D324,Parametros!$A$33:$A$42,0)),1)</f>
        <v>1.034</v>
      </c>
      <c r="T324" s="27">
        <f>IFERROR(INDEX(Parametros!$B$21:$B$26,MATCH(I324,Parametros!$A$21:$A$26,0)),0)</f>
        <v>0</v>
      </c>
      <c r="U324" s="28">
        <f t="shared" si="17"/>
        <v>2.84</v>
      </c>
      <c r="V324" s="9">
        <f>IF(U324&gt;=Parametros!$B$14,4,IF(U324&gt;=Parametros!$B$13,3,IF(U324&gt;=Parametros!$B$12,2,1)))</f>
        <v>2</v>
      </c>
      <c r="W324" s="5">
        <f>MAX(V324,IF(K324=5,Parametros!$B$17,0),IF(P324="Sim",Parametros!$B$18,0))</f>
        <v>2</v>
      </c>
      <c r="X324" s="5" t="str">
        <f t="shared" si="18"/>
        <v>Normal</v>
      </c>
      <c r="Y324" s="29">
        <f t="shared" si="19"/>
        <v>2028.099676</v>
      </c>
      <c r="Z324" s="4" t="s">
        <v>322</v>
      </c>
    </row>
    <row r="325" spans="1:26" ht="28.05" customHeight="1" x14ac:dyDescent="0.3">
      <c r="A325" s="5">
        <f t="shared" ref="A325:A388" si="20">IF(Y325="","",COUNTIF($Y$5:$Y$983,"&gt;"&amp;Y325)+1)</f>
        <v>321</v>
      </c>
      <c r="B325" s="23" t="s">
        <v>843</v>
      </c>
      <c r="C325" s="17" t="s">
        <v>844</v>
      </c>
      <c r="D325" s="4" t="s">
        <v>54</v>
      </c>
      <c r="E325" s="4" t="s">
        <v>70</v>
      </c>
      <c r="F325" s="4" t="s">
        <v>70</v>
      </c>
      <c r="G325" s="4" t="s">
        <v>112</v>
      </c>
      <c r="H325" s="4" t="s">
        <v>108</v>
      </c>
      <c r="I325" s="24" t="s">
        <v>122</v>
      </c>
      <c r="J325" s="15">
        <v>3</v>
      </c>
      <c r="K325" s="15">
        <v>2</v>
      </c>
      <c r="L325" s="15">
        <v>3</v>
      </c>
      <c r="M325" s="15">
        <v>4</v>
      </c>
      <c r="N325" s="15">
        <v>2</v>
      </c>
      <c r="O325" s="15">
        <v>3</v>
      </c>
      <c r="P325" s="15" t="s">
        <v>415</v>
      </c>
      <c r="Q325" s="23" t="s">
        <v>416</v>
      </c>
      <c r="R325" s="25">
        <f>ROUND((K325*Parametros!$B$4+L325*Parametros!$B$5+M325*Parametros!$B$6+N325*Parametros!$B$7+O325*Parametros!$B$8)/SUM(Parametros!$B$4:$B$8),2)</f>
        <v>2.75</v>
      </c>
      <c r="S325" s="26">
        <f>IFERROR(INDEX(Parametros!$F$33:$F$42,MATCH(D325,Parametros!$A$33:$A$42,0)),1)</f>
        <v>1.034</v>
      </c>
      <c r="T325" s="27">
        <f>IFERROR(INDEX(Parametros!$B$21:$B$26,MATCH(I325,Parametros!$A$21:$A$26,0)),0)</f>
        <v>0</v>
      </c>
      <c r="U325" s="28">
        <f t="shared" ref="U325:U388" si="21">ROUND(R325*S325+T325,2)</f>
        <v>2.84</v>
      </c>
      <c r="V325" s="9">
        <f>IF(U325&gt;=Parametros!$B$14,4,IF(U325&gt;=Parametros!$B$13,3,IF(U325&gt;=Parametros!$B$12,2,1)))</f>
        <v>2</v>
      </c>
      <c r="W325" s="5">
        <f>MAX(V325,IF(K325=5,Parametros!$B$17,0),IF(P325="Sim",Parametros!$B$18,0))</f>
        <v>2</v>
      </c>
      <c r="X325" s="5" t="str">
        <f t="shared" ref="X325:X388" si="22">CHOOSE(W325,"Baixa","Normal","Alta","Urgente")</f>
        <v>Normal</v>
      </c>
      <c r="Y325" s="29">
        <f t="shared" ref="Y325:Y388" si="23">W325*1000+U325*10-J325/10-ROW()/1000000</f>
        <v>2028.0996750000002</v>
      </c>
      <c r="Z325" s="4" t="s">
        <v>289</v>
      </c>
    </row>
    <row r="326" spans="1:26" ht="28.05" customHeight="1" x14ac:dyDescent="0.3">
      <c r="A326" s="5">
        <f t="shared" si="20"/>
        <v>322</v>
      </c>
      <c r="B326" s="23" t="s">
        <v>845</v>
      </c>
      <c r="C326" s="17" t="s">
        <v>846</v>
      </c>
      <c r="D326" s="4" t="s">
        <v>54</v>
      </c>
      <c r="E326" s="4" t="s">
        <v>72</v>
      </c>
      <c r="F326" s="4" t="s">
        <v>72</v>
      </c>
      <c r="G326" s="4" t="s">
        <v>112</v>
      </c>
      <c r="H326" s="4" t="s">
        <v>108</v>
      </c>
      <c r="I326" s="24" t="s">
        <v>152</v>
      </c>
      <c r="J326" s="15">
        <v>3</v>
      </c>
      <c r="K326" s="15">
        <v>2</v>
      </c>
      <c r="L326" s="15">
        <v>3</v>
      </c>
      <c r="M326" s="15">
        <v>4</v>
      </c>
      <c r="N326" s="15">
        <v>2</v>
      </c>
      <c r="O326" s="15">
        <v>3</v>
      </c>
      <c r="P326" s="15" t="s">
        <v>415</v>
      </c>
      <c r="Q326" s="23" t="s">
        <v>416</v>
      </c>
      <c r="R326" s="25">
        <f>ROUND((K326*Parametros!$B$4+L326*Parametros!$B$5+M326*Parametros!$B$6+N326*Parametros!$B$7+O326*Parametros!$B$8)/SUM(Parametros!$B$4:$B$8),2)</f>
        <v>2.75</v>
      </c>
      <c r="S326" s="26">
        <f>IFERROR(INDEX(Parametros!$F$33:$F$42,MATCH(D326,Parametros!$A$33:$A$42,0)),1)</f>
        <v>1.034</v>
      </c>
      <c r="T326" s="27">
        <f>IFERROR(INDEX(Parametros!$B$21:$B$26,MATCH(I326,Parametros!$A$21:$A$26,0)),0)</f>
        <v>0</v>
      </c>
      <c r="U326" s="28">
        <f t="shared" si="21"/>
        <v>2.84</v>
      </c>
      <c r="V326" s="9">
        <f>IF(U326&gt;=Parametros!$B$14,4,IF(U326&gt;=Parametros!$B$13,3,IF(U326&gt;=Parametros!$B$12,2,1)))</f>
        <v>2</v>
      </c>
      <c r="W326" s="5">
        <f>MAX(V326,IF(K326=5,Parametros!$B$17,0),IF(P326="Sim",Parametros!$B$18,0))</f>
        <v>2</v>
      </c>
      <c r="X326" s="5" t="str">
        <f t="shared" si="22"/>
        <v>Normal</v>
      </c>
      <c r="Y326" s="29">
        <f t="shared" si="23"/>
        <v>2028.0996740000001</v>
      </c>
      <c r="Z326" s="4" t="s">
        <v>289</v>
      </c>
    </row>
    <row r="327" spans="1:26" ht="28.05" customHeight="1" x14ac:dyDescent="0.3">
      <c r="A327" s="5">
        <f t="shared" si="20"/>
        <v>323</v>
      </c>
      <c r="B327" s="23" t="s">
        <v>847</v>
      </c>
      <c r="C327" s="17" t="s">
        <v>848</v>
      </c>
      <c r="D327" s="4" t="s">
        <v>52</v>
      </c>
      <c r="E327" s="4" t="s">
        <v>64</v>
      </c>
      <c r="F327" s="4" t="s">
        <v>64</v>
      </c>
      <c r="G327" s="4" t="s">
        <v>112</v>
      </c>
      <c r="H327" s="4" t="s">
        <v>108</v>
      </c>
      <c r="I327" s="24" t="s">
        <v>131</v>
      </c>
      <c r="J327" s="15">
        <v>3</v>
      </c>
      <c r="K327" s="15">
        <v>3</v>
      </c>
      <c r="L327" s="15">
        <v>3</v>
      </c>
      <c r="M327" s="15">
        <v>3</v>
      </c>
      <c r="N327" s="15">
        <v>1</v>
      </c>
      <c r="O327" s="15">
        <v>3</v>
      </c>
      <c r="P327" s="15" t="s">
        <v>415</v>
      </c>
      <c r="Q327" s="23" t="s">
        <v>838</v>
      </c>
      <c r="R327" s="25">
        <f>ROUND((K327*Parametros!$B$4+L327*Parametros!$B$5+M327*Parametros!$B$6+N327*Parametros!$B$7+O327*Parametros!$B$8)/SUM(Parametros!$B$4:$B$8),2)</f>
        <v>2.7</v>
      </c>
      <c r="S327" s="26">
        <f>IFERROR(INDEX(Parametros!$F$33:$F$42,MATCH(D327,Parametros!$A$33:$A$42,0)),1)</f>
        <v>1.05</v>
      </c>
      <c r="T327" s="27">
        <f>IFERROR(INDEX(Parametros!$B$21:$B$26,MATCH(I327,Parametros!$A$21:$A$26,0)),0)</f>
        <v>0</v>
      </c>
      <c r="U327" s="28">
        <f t="shared" si="21"/>
        <v>2.84</v>
      </c>
      <c r="V327" s="9">
        <f>IF(U327&gt;=Parametros!$B$14,4,IF(U327&gt;=Parametros!$B$13,3,IF(U327&gt;=Parametros!$B$12,2,1)))</f>
        <v>2</v>
      </c>
      <c r="W327" s="5">
        <f>MAX(V327,IF(K327=5,Parametros!$B$17,0),IF(P327="Sim",Parametros!$B$18,0))</f>
        <v>2</v>
      </c>
      <c r="X327" s="5" t="str">
        <f t="shared" si="22"/>
        <v>Normal</v>
      </c>
      <c r="Y327" s="29">
        <f t="shared" si="23"/>
        <v>2028.0996730000002</v>
      </c>
      <c r="Z327" s="4" t="s">
        <v>659</v>
      </c>
    </row>
    <row r="328" spans="1:26" ht="28.05" customHeight="1" x14ac:dyDescent="0.3">
      <c r="A328" s="5">
        <f t="shared" si="20"/>
        <v>324</v>
      </c>
      <c r="B328" s="23" t="s">
        <v>849</v>
      </c>
      <c r="C328" s="17" t="s">
        <v>850</v>
      </c>
      <c r="D328" s="4" t="s">
        <v>48</v>
      </c>
      <c r="E328" s="4" t="s">
        <v>87</v>
      </c>
      <c r="F328" s="4" t="s">
        <v>87</v>
      </c>
      <c r="G328" s="4" t="s">
        <v>112</v>
      </c>
      <c r="H328" s="4" t="s">
        <v>108</v>
      </c>
      <c r="I328" s="24" t="s">
        <v>152</v>
      </c>
      <c r="J328" s="15">
        <v>5</v>
      </c>
      <c r="K328" s="15">
        <v>2</v>
      </c>
      <c r="L328" s="15">
        <v>4</v>
      </c>
      <c r="M328" s="15">
        <v>3</v>
      </c>
      <c r="N328" s="15">
        <v>1</v>
      </c>
      <c r="O328" s="15">
        <v>3</v>
      </c>
      <c r="P328" s="15" t="s">
        <v>415</v>
      </c>
      <c r="Q328" s="23" t="s">
        <v>416</v>
      </c>
      <c r="R328" s="25">
        <f>ROUND((K328*Parametros!$B$4+L328*Parametros!$B$5+M328*Parametros!$B$6+N328*Parametros!$B$7+O328*Parametros!$B$8)/SUM(Parametros!$B$4:$B$8),2)</f>
        <v>2.6</v>
      </c>
      <c r="S328" s="26">
        <f>IFERROR(INDEX(Parametros!$F$33:$F$42,MATCH(D328,Parametros!$A$33:$A$42,0)),1)</f>
        <v>1.1000000000000001</v>
      </c>
      <c r="T328" s="27">
        <f>IFERROR(INDEX(Parametros!$B$21:$B$26,MATCH(I328,Parametros!$A$21:$A$26,0)),0)</f>
        <v>0</v>
      </c>
      <c r="U328" s="28">
        <f t="shared" si="21"/>
        <v>2.86</v>
      </c>
      <c r="V328" s="9">
        <f>IF(U328&gt;=Parametros!$B$14,4,IF(U328&gt;=Parametros!$B$13,3,IF(U328&gt;=Parametros!$B$12,2,1)))</f>
        <v>2</v>
      </c>
      <c r="W328" s="5">
        <f>MAX(V328,IF(K328=5,Parametros!$B$17,0),IF(P328="Sim",Parametros!$B$18,0))</f>
        <v>2</v>
      </c>
      <c r="X328" s="5" t="str">
        <f t="shared" si="22"/>
        <v>Normal</v>
      </c>
      <c r="Y328" s="29">
        <f t="shared" si="23"/>
        <v>2028.0996719999998</v>
      </c>
      <c r="Z328" s="4" t="s">
        <v>309</v>
      </c>
    </row>
    <row r="329" spans="1:26" ht="28.05" customHeight="1" x14ac:dyDescent="0.3">
      <c r="A329" s="5">
        <f t="shared" si="20"/>
        <v>325</v>
      </c>
      <c r="B329" s="23" t="s">
        <v>851</v>
      </c>
      <c r="C329" s="17" t="s">
        <v>852</v>
      </c>
      <c r="D329" s="4" t="s">
        <v>54</v>
      </c>
      <c r="E329" s="4" t="s">
        <v>72</v>
      </c>
      <c r="F329" s="4" t="s">
        <v>72</v>
      </c>
      <c r="G329" s="4" t="s">
        <v>134</v>
      </c>
      <c r="H329" s="4" t="s">
        <v>108</v>
      </c>
      <c r="I329" s="24" t="s">
        <v>152</v>
      </c>
      <c r="J329" s="15">
        <v>4</v>
      </c>
      <c r="K329" s="15">
        <v>3</v>
      </c>
      <c r="L329" s="15">
        <v>3</v>
      </c>
      <c r="M329" s="15">
        <v>4</v>
      </c>
      <c r="N329" s="15">
        <v>1</v>
      </c>
      <c r="O329" s="15">
        <v>2</v>
      </c>
      <c r="P329" s="15" t="s">
        <v>415</v>
      </c>
      <c r="Q329" s="23" t="s">
        <v>416</v>
      </c>
      <c r="R329" s="25">
        <f>ROUND((K329*Parametros!$B$4+L329*Parametros!$B$5+M329*Parametros!$B$6+N329*Parametros!$B$7+O329*Parametros!$B$8)/SUM(Parametros!$B$4:$B$8),2)</f>
        <v>2.75</v>
      </c>
      <c r="S329" s="26">
        <f>IFERROR(INDEX(Parametros!$F$33:$F$42,MATCH(D329,Parametros!$A$33:$A$42,0)),1)</f>
        <v>1.034</v>
      </c>
      <c r="T329" s="27">
        <f>IFERROR(INDEX(Parametros!$B$21:$B$26,MATCH(I329,Parametros!$A$21:$A$26,0)),0)</f>
        <v>0</v>
      </c>
      <c r="U329" s="28">
        <f t="shared" si="21"/>
        <v>2.84</v>
      </c>
      <c r="V329" s="9">
        <f>IF(U329&gt;=Parametros!$B$14,4,IF(U329&gt;=Parametros!$B$13,3,IF(U329&gt;=Parametros!$B$12,2,1)))</f>
        <v>2</v>
      </c>
      <c r="W329" s="5">
        <f>MAX(V329,IF(K329=5,Parametros!$B$17,0),IF(P329="Sim",Parametros!$B$18,0))</f>
        <v>2</v>
      </c>
      <c r="X329" s="5" t="str">
        <f t="shared" si="22"/>
        <v>Normal</v>
      </c>
      <c r="Y329" s="29">
        <f t="shared" si="23"/>
        <v>2027.999671</v>
      </c>
      <c r="Z329" s="4" t="s">
        <v>289</v>
      </c>
    </row>
    <row r="330" spans="1:26" ht="28.05" customHeight="1" x14ac:dyDescent="0.3">
      <c r="A330" s="5">
        <f t="shared" si="20"/>
        <v>326</v>
      </c>
      <c r="B330" s="23" t="s">
        <v>853</v>
      </c>
      <c r="C330" s="17" t="s">
        <v>854</v>
      </c>
      <c r="D330" s="4" t="s">
        <v>49</v>
      </c>
      <c r="E330" s="4" t="s">
        <v>81</v>
      </c>
      <c r="F330" s="4" t="s">
        <v>81</v>
      </c>
      <c r="G330" s="4" t="s">
        <v>107</v>
      </c>
      <c r="H330" s="4" t="s">
        <v>108</v>
      </c>
      <c r="I330" s="24" t="s">
        <v>152</v>
      </c>
      <c r="J330" s="15">
        <v>1</v>
      </c>
      <c r="K330" s="15">
        <v>2</v>
      </c>
      <c r="L330" s="15">
        <v>3</v>
      </c>
      <c r="M330" s="15">
        <v>3</v>
      </c>
      <c r="N330" s="15">
        <v>2</v>
      </c>
      <c r="O330" s="15">
        <v>3</v>
      </c>
      <c r="P330" s="15" t="s">
        <v>415</v>
      </c>
      <c r="Q330" s="23" t="s">
        <v>416</v>
      </c>
      <c r="R330" s="25">
        <f>ROUND((K330*Parametros!$B$4+L330*Parametros!$B$5+M330*Parametros!$B$6+N330*Parametros!$B$7+O330*Parametros!$B$8)/SUM(Parametros!$B$4:$B$8),2)</f>
        <v>2.5499999999999998</v>
      </c>
      <c r="S330" s="26">
        <f>IFERROR(INDEX(Parametros!$F$33:$F$42,MATCH(D330,Parametros!$A$33:$A$42,0)),1)</f>
        <v>1.1000000000000001</v>
      </c>
      <c r="T330" s="27">
        <f>IFERROR(INDEX(Parametros!$B$21:$B$26,MATCH(I330,Parametros!$A$21:$A$26,0)),0)</f>
        <v>0</v>
      </c>
      <c r="U330" s="28">
        <f t="shared" si="21"/>
        <v>2.81</v>
      </c>
      <c r="V330" s="9">
        <f>IF(U330&gt;=Parametros!$B$14,4,IF(U330&gt;=Parametros!$B$13,3,IF(U330&gt;=Parametros!$B$12,2,1)))</f>
        <v>2</v>
      </c>
      <c r="W330" s="5">
        <f>MAX(V330,IF(K330=5,Parametros!$B$17,0),IF(P330="Sim",Parametros!$B$18,0))</f>
        <v>2</v>
      </c>
      <c r="X330" s="5" t="str">
        <f t="shared" si="22"/>
        <v>Normal</v>
      </c>
      <c r="Y330" s="29">
        <f t="shared" si="23"/>
        <v>2027.9996699999999</v>
      </c>
      <c r="Z330" s="4" t="s">
        <v>659</v>
      </c>
    </row>
    <row r="331" spans="1:26" ht="28.05" customHeight="1" x14ac:dyDescent="0.3">
      <c r="A331" s="5">
        <f t="shared" si="20"/>
        <v>327</v>
      </c>
      <c r="B331" s="23" t="s">
        <v>855</v>
      </c>
      <c r="C331" s="17" t="s">
        <v>856</v>
      </c>
      <c r="D331" s="4" t="s">
        <v>52</v>
      </c>
      <c r="E331" s="4" t="s">
        <v>66</v>
      </c>
      <c r="F331" s="4" t="s">
        <v>66</v>
      </c>
      <c r="G331" s="4" t="s">
        <v>119</v>
      </c>
      <c r="H331" s="4" t="s">
        <v>108</v>
      </c>
      <c r="I331" s="24" t="s">
        <v>109</v>
      </c>
      <c r="J331" s="15">
        <v>2</v>
      </c>
      <c r="K331" s="15">
        <v>3</v>
      </c>
      <c r="L331" s="15">
        <v>2</v>
      </c>
      <c r="M331" s="15">
        <v>1</v>
      </c>
      <c r="N331" s="15">
        <v>3</v>
      </c>
      <c r="O331" s="15">
        <v>3</v>
      </c>
      <c r="P331" s="15" t="s">
        <v>415</v>
      </c>
      <c r="Q331" s="23" t="s">
        <v>416</v>
      </c>
      <c r="R331" s="25">
        <f>ROUND((K331*Parametros!$B$4+L331*Parametros!$B$5+M331*Parametros!$B$6+N331*Parametros!$B$7+O331*Parametros!$B$8)/SUM(Parametros!$B$4:$B$8),2)</f>
        <v>2.4</v>
      </c>
      <c r="S331" s="26">
        <f>IFERROR(INDEX(Parametros!$F$33:$F$42,MATCH(D331,Parametros!$A$33:$A$42,0)),1)</f>
        <v>1.05</v>
      </c>
      <c r="T331" s="27">
        <f>IFERROR(INDEX(Parametros!$B$21:$B$26,MATCH(I331,Parametros!$A$21:$A$26,0)),0)</f>
        <v>0.3</v>
      </c>
      <c r="U331" s="28">
        <f t="shared" si="21"/>
        <v>2.82</v>
      </c>
      <c r="V331" s="9">
        <f>IF(U331&gt;=Parametros!$B$14,4,IF(U331&gt;=Parametros!$B$13,3,IF(U331&gt;=Parametros!$B$12,2,1)))</f>
        <v>2</v>
      </c>
      <c r="W331" s="5">
        <f>MAX(V331,IF(K331=5,Parametros!$B$17,0),IF(P331="Sim",Parametros!$B$18,0))</f>
        <v>2</v>
      </c>
      <c r="X331" s="5" t="str">
        <f t="shared" si="22"/>
        <v>Normal</v>
      </c>
      <c r="Y331" s="29">
        <f t="shared" si="23"/>
        <v>2027.999669</v>
      </c>
      <c r="Z331" s="4" t="s">
        <v>348</v>
      </c>
    </row>
    <row r="332" spans="1:26" ht="28.05" customHeight="1" x14ac:dyDescent="0.3">
      <c r="A332" s="5">
        <f t="shared" si="20"/>
        <v>328</v>
      </c>
      <c r="B332" s="23" t="s">
        <v>857</v>
      </c>
      <c r="C332" s="17" t="s">
        <v>858</v>
      </c>
      <c r="D332" s="4" t="s">
        <v>50</v>
      </c>
      <c r="E332" s="4" t="s">
        <v>70</v>
      </c>
      <c r="F332" s="4" t="s">
        <v>70</v>
      </c>
      <c r="G332" s="4" t="s">
        <v>171</v>
      </c>
      <c r="H332" s="4" t="s">
        <v>172</v>
      </c>
      <c r="I332" s="24" t="s">
        <v>152</v>
      </c>
      <c r="J332" s="15">
        <v>2</v>
      </c>
      <c r="K332" s="15">
        <v>2</v>
      </c>
      <c r="L332" s="15">
        <v>3</v>
      </c>
      <c r="M332" s="15">
        <v>4</v>
      </c>
      <c r="N332" s="15">
        <v>1</v>
      </c>
      <c r="O332" s="15">
        <v>3</v>
      </c>
      <c r="P332" s="15" t="s">
        <v>415</v>
      </c>
      <c r="Q332" s="23" t="s">
        <v>416</v>
      </c>
      <c r="R332" s="25">
        <f>ROUND((K332*Parametros!$B$4+L332*Parametros!$B$5+M332*Parametros!$B$6+N332*Parametros!$B$7+O332*Parametros!$B$8)/SUM(Parametros!$B$4:$B$8),2)</f>
        <v>2.6</v>
      </c>
      <c r="S332" s="26">
        <f>IFERROR(INDEX(Parametros!$F$33:$F$42,MATCH(D332,Parametros!$A$33:$A$42,0)),1)</f>
        <v>1.0840000000000001</v>
      </c>
      <c r="T332" s="27">
        <f>IFERROR(INDEX(Parametros!$B$21:$B$26,MATCH(I332,Parametros!$A$21:$A$26,0)),0)</f>
        <v>0</v>
      </c>
      <c r="U332" s="28">
        <f t="shared" si="21"/>
        <v>2.82</v>
      </c>
      <c r="V332" s="9">
        <f>IF(U332&gt;=Parametros!$B$14,4,IF(U332&gt;=Parametros!$B$13,3,IF(U332&gt;=Parametros!$B$12,2,1)))</f>
        <v>2</v>
      </c>
      <c r="W332" s="5">
        <f>MAX(V332,IF(K332=5,Parametros!$B$17,0),IF(P332="Sim",Parametros!$B$18,0))</f>
        <v>2</v>
      </c>
      <c r="X332" s="5" t="str">
        <f t="shared" si="22"/>
        <v>Normal</v>
      </c>
      <c r="Y332" s="29">
        <f t="shared" si="23"/>
        <v>2027.9996679999999</v>
      </c>
      <c r="Z332" s="4" t="s">
        <v>289</v>
      </c>
    </row>
    <row r="333" spans="1:26" ht="28.05" customHeight="1" x14ac:dyDescent="0.3">
      <c r="A333" s="5">
        <f t="shared" si="20"/>
        <v>329</v>
      </c>
      <c r="B333" s="23" t="s">
        <v>859</v>
      </c>
      <c r="C333" s="17" t="s">
        <v>860</v>
      </c>
      <c r="D333" s="4" t="s">
        <v>52</v>
      </c>
      <c r="E333" s="4" t="s">
        <v>66</v>
      </c>
      <c r="F333" s="4" t="s">
        <v>66</v>
      </c>
      <c r="G333" s="4" t="s">
        <v>171</v>
      </c>
      <c r="H333" s="4" t="s">
        <v>172</v>
      </c>
      <c r="I333" s="24" t="s">
        <v>109</v>
      </c>
      <c r="J333" s="15">
        <v>3</v>
      </c>
      <c r="K333" s="15">
        <v>3</v>
      </c>
      <c r="L333" s="15">
        <v>2</v>
      </c>
      <c r="M333" s="15">
        <v>1</v>
      </c>
      <c r="N333" s="15">
        <v>2</v>
      </c>
      <c r="O333" s="15">
        <v>4</v>
      </c>
      <c r="P333" s="15" t="s">
        <v>415</v>
      </c>
      <c r="Q333" s="23" t="s">
        <v>416</v>
      </c>
      <c r="R333" s="25">
        <f>ROUND((K333*Parametros!$B$4+L333*Parametros!$B$5+M333*Parametros!$B$6+N333*Parametros!$B$7+O333*Parametros!$B$8)/SUM(Parametros!$B$4:$B$8),2)</f>
        <v>2.4</v>
      </c>
      <c r="S333" s="26">
        <f>IFERROR(INDEX(Parametros!$F$33:$F$42,MATCH(D333,Parametros!$A$33:$A$42,0)),1)</f>
        <v>1.05</v>
      </c>
      <c r="T333" s="27">
        <f>IFERROR(INDEX(Parametros!$B$21:$B$26,MATCH(I333,Parametros!$A$21:$A$26,0)),0)</f>
        <v>0.3</v>
      </c>
      <c r="U333" s="28">
        <f t="shared" si="21"/>
        <v>2.82</v>
      </c>
      <c r="V333" s="9">
        <f>IF(U333&gt;=Parametros!$B$14,4,IF(U333&gt;=Parametros!$B$13,3,IF(U333&gt;=Parametros!$B$12,2,1)))</f>
        <v>2</v>
      </c>
      <c r="W333" s="5">
        <f>MAX(V333,IF(K333=5,Parametros!$B$17,0),IF(P333="Sim",Parametros!$B$18,0))</f>
        <v>2</v>
      </c>
      <c r="X333" s="5" t="str">
        <f t="shared" si="22"/>
        <v>Normal</v>
      </c>
      <c r="Y333" s="29">
        <f t="shared" si="23"/>
        <v>2027.8996670000001</v>
      </c>
      <c r="Z333" s="4" t="s">
        <v>774</v>
      </c>
    </row>
    <row r="334" spans="1:26" ht="28.05" customHeight="1" x14ac:dyDescent="0.3">
      <c r="A334" s="5">
        <f t="shared" si="20"/>
        <v>330</v>
      </c>
      <c r="B334" s="23" t="s">
        <v>861</v>
      </c>
      <c r="C334" s="17" t="s">
        <v>862</v>
      </c>
      <c r="D334" s="4" t="s">
        <v>50</v>
      </c>
      <c r="E334" s="4" t="s">
        <v>64</v>
      </c>
      <c r="F334" s="4" t="s">
        <v>64</v>
      </c>
      <c r="G334" s="4" t="s">
        <v>112</v>
      </c>
      <c r="H334" s="4" t="s">
        <v>108</v>
      </c>
      <c r="I334" s="24" t="s">
        <v>131</v>
      </c>
      <c r="J334" s="15">
        <v>3</v>
      </c>
      <c r="K334" s="15">
        <v>2</v>
      </c>
      <c r="L334" s="15">
        <v>4</v>
      </c>
      <c r="M334" s="15">
        <v>3</v>
      </c>
      <c r="N334" s="15">
        <v>1</v>
      </c>
      <c r="O334" s="15">
        <v>3</v>
      </c>
      <c r="P334" s="15" t="s">
        <v>415</v>
      </c>
      <c r="Q334" s="23" t="s">
        <v>416</v>
      </c>
      <c r="R334" s="25">
        <f>ROUND((K334*Parametros!$B$4+L334*Parametros!$B$5+M334*Parametros!$B$6+N334*Parametros!$B$7+O334*Parametros!$B$8)/SUM(Parametros!$B$4:$B$8),2)</f>
        <v>2.6</v>
      </c>
      <c r="S334" s="26">
        <f>IFERROR(INDEX(Parametros!$F$33:$F$42,MATCH(D334,Parametros!$A$33:$A$42,0)),1)</f>
        <v>1.0840000000000001</v>
      </c>
      <c r="T334" s="27">
        <f>IFERROR(INDEX(Parametros!$B$21:$B$26,MATCH(I334,Parametros!$A$21:$A$26,0)),0)</f>
        <v>0</v>
      </c>
      <c r="U334" s="28">
        <f t="shared" si="21"/>
        <v>2.82</v>
      </c>
      <c r="V334" s="9">
        <f>IF(U334&gt;=Parametros!$B$14,4,IF(U334&gt;=Parametros!$B$13,3,IF(U334&gt;=Parametros!$B$12,2,1)))</f>
        <v>2</v>
      </c>
      <c r="W334" s="5">
        <f>MAX(V334,IF(K334=5,Parametros!$B$17,0),IF(P334="Sim",Parametros!$B$18,0))</f>
        <v>2</v>
      </c>
      <c r="X334" s="5" t="str">
        <f t="shared" si="22"/>
        <v>Normal</v>
      </c>
      <c r="Y334" s="29">
        <f t="shared" si="23"/>
        <v>2027.899666</v>
      </c>
      <c r="Z334" s="4" t="s">
        <v>309</v>
      </c>
    </row>
    <row r="335" spans="1:26" ht="28.05" customHeight="1" x14ac:dyDescent="0.3">
      <c r="A335" s="5">
        <f t="shared" si="20"/>
        <v>331</v>
      </c>
      <c r="B335" s="23" t="s">
        <v>863</v>
      </c>
      <c r="C335" s="17" t="s">
        <v>864</v>
      </c>
      <c r="D335" s="4" t="s">
        <v>51</v>
      </c>
      <c r="E335" s="4" t="s">
        <v>64</v>
      </c>
      <c r="F335" s="4" t="s">
        <v>64</v>
      </c>
      <c r="G335" s="4" t="s">
        <v>134</v>
      </c>
      <c r="H335" s="4" t="s">
        <v>108</v>
      </c>
      <c r="I335" s="24" t="s">
        <v>131</v>
      </c>
      <c r="J335" s="15">
        <v>4</v>
      </c>
      <c r="K335" s="15">
        <v>3</v>
      </c>
      <c r="L335" s="15">
        <v>3</v>
      </c>
      <c r="M335" s="15">
        <v>2</v>
      </c>
      <c r="N335" s="15">
        <v>2</v>
      </c>
      <c r="O335" s="15">
        <v>3</v>
      </c>
      <c r="P335" s="15" t="s">
        <v>415</v>
      </c>
      <c r="Q335" s="23" t="s">
        <v>416</v>
      </c>
      <c r="R335" s="25">
        <f>ROUND((K335*Parametros!$B$4+L335*Parametros!$B$5+M335*Parametros!$B$6+N335*Parametros!$B$7+O335*Parametros!$B$8)/SUM(Parametros!$B$4:$B$8),2)</f>
        <v>2.65</v>
      </c>
      <c r="S335" s="26">
        <f>IFERROR(INDEX(Parametros!$F$33:$F$42,MATCH(D335,Parametros!$A$33:$A$42,0)),1)</f>
        <v>1.0669999999999999</v>
      </c>
      <c r="T335" s="27">
        <f>IFERROR(INDEX(Parametros!$B$21:$B$26,MATCH(I335,Parametros!$A$21:$A$26,0)),0)</f>
        <v>0</v>
      </c>
      <c r="U335" s="28">
        <f t="shared" si="21"/>
        <v>2.83</v>
      </c>
      <c r="V335" s="9">
        <f>IF(U335&gt;=Parametros!$B$14,4,IF(U335&gt;=Parametros!$B$13,3,IF(U335&gt;=Parametros!$B$12,2,1)))</f>
        <v>2</v>
      </c>
      <c r="W335" s="5">
        <f>MAX(V335,IF(K335=5,Parametros!$B$17,0),IF(P335="Sim",Parametros!$B$18,0))</f>
        <v>2</v>
      </c>
      <c r="X335" s="5" t="str">
        <f t="shared" si="22"/>
        <v>Normal</v>
      </c>
      <c r="Y335" s="29">
        <f t="shared" si="23"/>
        <v>2027.8996649999999</v>
      </c>
      <c r="Z335" s="4" t="s">
        <v>659</v>
      </c>
    </row>
    <row r="336" spans="1:26" ht="28.05" customHeight="1" x14ac:dyDescent="0.3">
      <c r="A336" s="5">
        <f t="shared" si="20"/>
        <v>332</v>
      </c>
      <c r="B336" s="23" t="s">
        <v>865</v>
      </c>
      <c r="C336" s="17" t="s">
        <v>824</v>
      </c>
      <c r="D336" s="4" t="s">
        <v>56</v>
      </c>
      <c r="E336" s="4" t="s">
        <v>70</v>
      </c>
      <c r="F336" s="4" t="s">
        <v>70</v>
      </c>
      <c r="G336" s="4" t="s">
        <v>134</v>
      </c>
      <c r="H336" s="4" t="s">
        <v>108</v>
      </c>
      <c r="I336" s="24" t="s">
        <v>152</v>
      </c>
      <c r="J336" s="15">
        <v>2</v>
      </c>
      <c r="K336" s="15">
        <v>2</v>
      </c>
      <c r="L336" s="15">
        <v>3</v>
      </c>
      <c r="M336" s="15">
        <v>4</v>
      </c>
      <c r="N336" s="15">
        <v>2</v>
      </c>
      <c r="O336" s="15">
        <v>3</v>
      </c>
      <c r="P336" s="15" t="s">
        <v>415</v>
      </c>
      <c r="Q336" s="23" t="s">
        <v>416</v>
      </c>
      <c r="R336" s="25">
        <f>ROUND((K336*Parametros!$B$4+L336*Parametros!$B$5+M336*Parametros!$B$6+N336*Parametros!$B$7+O336*Parametros!$B$8)/SUM(Parametros!$B$4:$B$8),2)</f>
        <v>2.75</v>
      </c>
      <c r="S336" s="26">
        <f>IFERROR(INDEX(Parametros!$F$33:$F$42,MATCH(D336,Parametros!$A$33:$A$42,0)),1)</f>
        <v>1.0169999999999999</v>
      </c>
      <c r="T336" s="27">
        <f>IFERROR(INDEX(Parametros!$B$21:$B$26,MATCH(I336,Parametros!$A$21:$A$26,0)),0)</f>
        <v>0</v>
      </c>
      <c r="U336" s="28">
        <f t="shared" si="21"/>
        <v>2.8</v>
      </c>
      <c r="V336" s="9">
        <f>IF(U336&gt;=Parametros!$B$14,4,IF(U336&gt;=Parametros!$B$13,3,IF(U336&gt;=Parametros!$B$12,2,1)))</f>
        <v>2</v>
      </c>
      <c r="W336" s="5">
        <f>MAX(V336,IF(K336=5,Parametros!$B$17,0),IF(P336="Sim",Parametros!$B$18,0))</f>
        <v>2</v>
      </c>
      <c r="X336" s="5" t="str">
        <f t="shared" si="22"/>
        <v>Normal</v>
      </c>
      <c r="Y336" s="29">
        <f t="shared" si="23"/>
        <v>2027.7996639999999</v>
      </c>
      <c r="Z336" s="4" t="s">
        <v>289</v>
      </c>
    </row>
    <row r="337" spans="1:26" ht="28.05" customHeight="1" x14ac:dyDescent="0.3">
      <c r="A337" s="5">
        <f t="shared" si="20"/>
        <v>333</v>
      </c>
      <c r="B337" s="23" t="s">
        <v>866</v>
      </c>
      <c r="C337" s="17" t="s">
        <v>826</v>
      </c>
      <c r="D337" s="4" t="s">
        <v>56</v>
      </c>
      <c r="E337" s="4" t="s">
        <v>70</v>
      </c>
      <c r="F337" s="4" t="s">
        <v>70</v>
      </c>
      <c r="G337" s="4" t="s">
        <v>134</v>
      </c>
      <c r="H337" s="4" t="s">
        <v>108</v>
      </c>
      <c r="I337" s="24" t="s">
        <v>152</v>
      </c>
      <c r="J337" s="15">
        <v>2</v>
      </c>
      <c r="K337" s="15">
        <v>2</v>
      </c>
      <c r="L337" s="15">
        <v>3</v>
      </c>
      <c r="M337" s="15">
        <v>4</v>
      </c>
      <c r="N337" s="15">
        <v>2</v>
      </c>
      <c r="O337" s="15">
        <v>3</v>
      </c>
      <c r="P337" s="15" t="s">
        <v>415</v>
      </c>
      <c r="Q337" s="23" t="s">
        <v>416</v>
      </c>
      <c r="R337" s="25">
        <f>ROUND((K337*Parametros!$B$4+L337*Parametros!$B$5+M337*Parametros!$B$6+N337*Parametros!$B$7+O337*Parametros!$B$8)/SUM(Parametros!$B$4:$B$8),2)</f>
        <v>2.75</v>
      </c>
      <c r="S337" s="26">
        <f>IFERROR(INDEX(Parametros!$F$33:$F$42,MATCH(D337,Parametros!$A$33:$A$42,0)),1)</f>
        <v>1.0169999999999999</v>
      </c>
      <c r="T337" s="27">
        <f>IFERROR(INDEX(Parametros!$B$21:$B$26,MATCH(I337,Parametros!$A$21:$A$26,0)),0)</f>
        <v>0</v>
      </c>
      <c r="U337" s="28">
        <f t="shared" si="21"/>
        <v>2.8</v>
      </c>
      <c r="V337" s="9">
        <f>IF(U337&gt;=Parametros!$B$14,4,IF(U337&gt;=Parametros!$B$13,3,IF(U337&gt;=Parametros!$B$12,2,1)))</f>
        <v>2</v>
      </c>
      <c r="W337" s="5">
        <f>MAX(V337,IF(K337=5,Parametros!$B$17,0),IF(P337="Sim",Parametros!$B$18,0))</f>
        <v>2</v>
      </c>
      <c r="X337" s="5" t="str">
        <f t="shared" si="22"/>
        <v>Normal</v>
      </c>
      <c r="Y337" s="29">
        <f t="shared" si="23"/>
        <v>2027.799663</v>
      </c>
      <c r="Z337" s="4" t="s">
        <v>289</v>
      </c>
    </row>
    <row r="338" spans="1:26" ht="28.05" customHeight="1" x14ac:dyDescent="0.3">
      <c r="A338" s="5">
        <f t="shared" si="20"/>
        <v>334</v>
      </c>
      <c r="B338" s="23" t="s">
        <v>867</v>
      </c>
      <c r="C338" s="17" t="s">
        <v>868</v>
      </c>
      <c r="D338" s="4" t="s">
        <v>56</v>
      </c>
      <c r="E338" s="4" t="s">
        <v>68</v>
      </c>
      <c r="F338" s="4" t="s">
        <v>68</v>
      </c>
      <c r="G338" s="4" t="s">
        <v>112</v>
      </c>
      <c r="H338" s="4" t="s">
        <v>108</v>
      </c>
      <c r="I338" s="24" t="s">
        <v>152</v>
      </c>
      <c r="J338" s="15">
        <v>2</v>
      </c>
      <c r="K338" s="15">
        <v>3</v>
      </c>
      <c r="L338" s="15">
        <v>3</v>
      </c>
      <c r="M338" s="15">
        <v>1</v>
      </c>
      <c r="N338" s="15">
        <v>4</v>
      </c>
      <c r="O338" s="15">
        <v>3</v>
      </c>
      <c r="P338" s="15" t="s">
        <v>415</v>
      </c>
      <c r="Q338" s="23" t="s">
        <v>416</v>
      </c>
      <c r="R338" s="25">
        <f>ROUND((K338*Parametros!$B$4+L338*Parametros!$B$5+M338*Parametros!$B$6+N338*Parametros!$B$7+O338*Parametros!$B$8)/SUM(Parametros!$B$4:$B$8),2)</f>
        <v>2.75</v>
      </c>
      <c r="S338" s="26">
        <f>IFERROR(INDEX(Parametros!$F$33:$F$42,MATCH(D338,Parametros!$A$33:$A$42,0)),1)</f>
        <v>1.0169999999999999</v>
      </c>
      <c r="T338" s="27">
        <f>IFERROR(INDEX(Parametros!$B$21:$B$26,MATCH(I338,Parametros!$A$21:$A$26,0)),0)</f>
        <v>0</v>
      </c>
      <c r="U338" s="28">
        <f t="shared" si="21"/>
        <v>2.8</v>
      </c>
      <c r="V338" s="9">
        <f>IF(U338&gt;=Parametros!$B$14,4,IF(U338&gt;=Parametros!$B$13,3,IF(U338&gt;=Parametros!$B$12,2,1)))</f>
        <v>2</v>
      </c>
      <c r="W338" s="5">
        <f>MAX(V338,IF(K338=5,Parametros!$B$17,0),IF(P338="Sim",Parametros!$B$18,0))</f>
        <v>2</v>
      </c>
      <c r="X338" s="5" t="str">
        <f t="shared" si="22"/>
        <v>Normal</v>
      </c>
      <c r="Y338" s="29">
        <f t="shared" si="23"/>
        <v>2027.7996619999999</v>
      </c>
      <c r="Z338" s="4" t="s">
        <v>653</v>
      </c>
    </row>
    <row r="339" spans="1:26" ht="28.05" customHeight="1" x14ac:dyDescent="0.3">
      <c r="A339" s="5">
        <f t="shared" si="20"/>
        <v>335</v>
      </c>
      <c r="B339" s="23" t="s">
        <v>869</v>
      </c>
      <c r="C339" s="17" t="s">
        <v>870</v>
      </c>
      <c r="D339" s="4" t="s">
        <v>48</v>
      </c>
      <c r="E339" s="4" t="s">
        <v>871</v>
      </c>
      <c r="F339" s="4" t="s">
        <v>871</v>
      </c>
      <c r="G339" s="4" t="s">
        <v>112</v>
      </c>
      <c r="H339" s="4" t="s">
        <v>108</v>
      </c>
      <c r="I339" s="24" t="s">
        <v>122</v>
      </c>
      <c r="J339" s="15">
        <v>3</v>
      </c>
      <c r="K339" s="15">
        <v>2</v>
      </c>
      <c r="L339" s="15">
        <v>3</v>
      </c>
      <c r="M339" s="15">
        <v>3</v>
      </c>
      <c r="N339" s="15">
        <v>2</v>
      </c>
      <c r="O339" s="15">
        <v>3</v>
      </c>
      <c r="P339" s="15" t="s">
        <v>415</v>
      </c>
      <c r="Q339" s="23" t="s">
        <v>416</v>
      </c>
      <c r="R339" s="25">
        <f>ROUND((K339*Parametros!$B$4+L339*Parametros!$B$5+M339*Parametros!$B$6+N339*Parametros!$B$7+O339*Parametros!$B$8)/SUM(Parametros!$B$4:$B$8),2)</f>
        <v>2.5499999999999998</v>
      </c>
      <c r="S339" s="26">
        <f>IFERROR(INDEX(Parametros!$F$33:$F$42,MATCH(D339,Parametros!$A$33:$A$42,0)),1)</f>
        <v>1.1000000000000001</v>
      </c>
      <c r="T339" s="27">
        <f>IFERROR(INDEX(Parametros!$B$21:$B$26,MATCH(I339,Parametros!$A$21:$A$26,0)),0)</f>
        <v>0</v>
      </c>
      <c r="U339" s="28">
        <f t="shared" si="21"/>
        <v>2.81</v>
      </c>
      <c r="V339" s="9">
        <f>IF(U339&gt;=Parametros!$B$14,4,IF(U339&gt;=Parametros!$B$13,3,IF(U339&gt;=Parametros!$B$12,2,1)))</f>
        <v>2</v>
      </c>
      <c r="W339" s="5">
        <f>MAX(V339,IF(K339=5,Parametros!$B$17,0),IF(P339="Sim",Parametros!$B$18,0))</f>
        <v>2</v>
      </c>
      <c r="X339" s="5" t="str">
        <f t="shared" si="22"/>
        <v>Normal</v>
      </c>
      <c r="Y339" s="29">
        <f t="shared" si="23"/>
        <v>2027.799661</v>
      </c>
      <c r="Z339" s="4" t="s">
        <v>659</v>
      </c>
    </row>
    <row r="340" spans="1:26" ht="28.05" customHeight="1" x14ac:dyDescent="0.3">
      <c r="A340" s="5">
        <f t="shared" si="20"/>
        <v>336</v>
      </c>
      <c r="B340" s="23" t="s">
        <v>872</v>
      </c>
      <c r="C340" s="17" t="s">
        <v>873</v>
      </c>
      <c r="D340" s="4" t="s">
        <v>48</v>
      </c>
      <c r="E340" s="4" t="s">
        <v>75</v>
      </c>
      <c r="F340" s="4" t="s">
        <v>75</v>
      </c>
      <c r="G340" s="4" t="s">
        <v>171</v>
      </c>
      <c r="H340" s="4" t="s">
        <v>172</v>
      </c>
      <c r="I340" s="24" t="s">
        <v>122</v>
      </c>
      <c r="J340" s="15">
        <v>3</v>
      </c>
      <c r="K340" s="15">
        <v>2</v>
      </c>
      <c r="L340" s="15">
        <v>3</v>
      </c>
      <c r="M340" s="15">
        <v>3</v>
      </c>
      <c r="N340" s="15">
        <v>2</v>
      </c>
      <c r="O340" s="15">
        <v>3</v>
      </c>
      <c r="P340" s="15" t="s">
        <v>415</v>
      </c>
      <c r="Q340" s="23" t="s">
        <v>416</v>
      </c>
      <c r="R340" s="25">
        <f>ROUND((K340*Parametros!$B$4+L340*Parametros!$B$5+M340*Parametros!$B$6+N340*Parametros!$B$7+O340*Parametros!$B$8)/SUM(Parametros!$B$4:$B$8),2)</f>
        <v>2.5499999999999998</v>
      </c>
      <c r="S340" s="26">
        <f>IFERROR(INDEX(Parametros!$F$33:$F$42,MATCH(D340,Parametros!$A$33:$A$42,0)),1)</f>
        <v>1.1000000000000001</v>
      </c>
      <c r="T340" s="27">
        <f>IFERROR(INDEX(Parametros!$B$21:$B$26,MATCH(I340,Parametros!$A$21:$A$26,0)),0)</f>
        <v>0</v>
      </c>
      <c r="U340" s="28">
        <f t="shared" si="21"/>
        <v>2.81</v>
      </c>
      <c r="V340" s="9">
        <f>IF(U340&gt;=Parametros!$B$14,4,IF(U340&gt;=Parametros!$B$13,3,IF(U340&gt;=Parametros!$B$12,2,1)))</f>
        <v>2</v>
      </c>
      <c r="W340" s="5">
        <f>MAX(V340,IF(K340=5,Parametros!$B$17,0),IF(P340="Sim",Parametros!$B$18,0))</f>
        <v>2</v>
      </c>
      <c r="X340" s="5" t="str">
        <f t="shared" si="22"/>
        <v>Normal</v>
      </c>
      <c r="Y340" s="29">
        <f t="shared" si="23"/>
        <v>2027.7996599999999</v>
      </c>
      <c r="Z340" s="4" t="s">
        <v>659</v>
      </c>
    </row>
    <row r="341" spans="1:26" ht="28.05" customHeight="1" x14ac:dyDescent="0.3">
      <c r="A341" s="5">
        <f t="shared" si="20"/>
        <v>337</v>
      </c>
      <c r="B341" s="23" t="s">
        <v>874</v>
      </c>
      <c r="C341" s="17" t="s">
        <v>875</v>
      </c>
      <c r="D341" s="4" t="s">
        <v>49</v>
      </c>
      <c r="E341" s="4" t="s">
        <v>81</v>
      </c>
      <c r="F341" s="4" t="s">
        <v>81</v>
      </c>
      <c r="G341" s="4" t="s">
        <v>107</v>
      </c>
      <c r="H341" s="4" t="s">
        <v>108</v>
      </c>
      <c r="I341" s="24" t="s">
        <v>122</v>
      </c>
      <c r="J341" s="15">
        <v>3</v>
      </c>
      <c r="K341" s="15">
        <v>2</v>
      </c>
      <c r="L341" s="15">
        <v>3</v>
      </c>
      <c r="M341" s="15">
        <v>3</v>
      </c>
      <c r="N341" s="15">
        <v>2</v>
      </c>
      <c r="O341" s="15">
        <v>3</v>
      </c>
      <c r="P341" s="15" t="s">
        <v>415</v>
      </c>
      <c r="Q341" s="23" t="s">
        <v>416</v>
      </c>
      <c r="R341" s="25">
        <f>ROUND((K341*Parametros!$B$4+L341*Parametros!$B$5+M341*Parametros!$B$6+N341*Parametros!$B$7+O341*Parametros!$B$8)/SUM(Parametros!$B$4:$B$8),2)</f>
        <v>2.5499999999999998</v>
      </c>
      <c r="S341" s="26">
        <f>IFERROR(INDEX(Parametros!$F$33:$F$42,MATCH(D341,Parametros!$A$33:$A$42,0)),1)</f>
        <v>1.1000000000000001</v>
      </c>
      <c r="T341" s="27">
        <f>IFERROR(INDEX(Parametros!$B$21:$B$26,MATCH(I341,Parametros!$A$21:$A$26,0)),0)</f>
        <v>0</v>
      </c>
      <c r="U341" s="28">
        <f t="shared" si="21"/>
        <v>2.81</v>
      </c>
      <c r="V341" s="9">
        <f>IF(U341&gt;=Parametros!$B$14,4,IF(U341&gt;=Parametros!$B$13,3,IF(U341&gt;=Parametros!$B$12,2,1)))</f>
        <v>2</v>
      </c>
      <c r="W341" s="5">
        <f>MAX(V341,IF(K341=5,Parametros!$B$17,0),IF(P341="Sim",Parametros!$B$18,0))</f>
        <v>2</v>
      </c>
      <c r="X341" s="5" t="str">
        <f t="shared" si="22"/>
        <v>Normal</v>
      </c>
      <c r="Y341" s="29">
        <f t="shared" si="23"/>
        <v>2027.799659</v>
      </c>
      <c r="Z341" s="4" t="s">
        <v>659</v>
      </c>
    </row>
    <row r="342" spans="1:26" ht="28.05" customHeight="1" x14ac:dyDescent="0.3">
      <c r="A342" s="5">
        <f t="shared" si="20"/>
        <v>338</v>
      </c>
      <c r="B342" s="23" t="s">
        <v>876</v>
      </c>
      <c r="C342" s="17" t="s">
        <v>877</v>
      </c>
      <c r="D342" s="4" t="s">
        <v>48</v>
      </c>
      <c r="E342" s="4" t="s">
        <v>871</v>
      </c>
      <c r="F342" s="4" t="s">
        <v>871</v>
      </c>
      <c r="G342" s="4" t="s">
        <v>112</v>
      </c>
      <c r="H342" s="4" t="s">
        <v>108</v>
      </c>
      <c r="I342" s="24" t="s">
        <v>122</v>
      </c>
      <c r="J342" s="15">
        <v>3</v>
      </c>
      <c r="K342" s="15">
        <v>2</v>
      </c>
      <c r="L342" s="15">
        <v>3</v>
      </c>
      <c r="M342" s="15">
        <v>3</v>
      </c>
      <c r="N342" s="15">
        <v>2</v>
      </c>
      <c r="O342" s="15">
        <v>3</v>
      </c>
      <c r="P342" s="15" t="s">
        <v>415</v>
      </c>
      <c r="Q342" s="23" t="s">
        <v>416</v>
      </c>
      <c r="R342" s="25">
        <f>ROUND((K342*Parametros!$B$4+L342*Parametros!$B$5+M342*Parametros!$B$6+N342*Parametros!$B$7+O342*Parametros!$B$8)/SUM(Parametros!$B$4:$B$8),2)</f>
        <v>2.5499999999999998</v>
      </c>
      <c r="S342" s="26">
        <f>IFERROR(INDEX(Parametros!$F$33:$F$42,MATCH(D342,Parametros!$A$33:$A$42,0)),1)</f>
        <v>1.1000000000000001</v>
      </c>
      <c r="T342" s="27">
        <f>IFERROR(INDEX(Parametros!$B$21:$B$26,MATCH(I342,Parametros!$A$21:$A$26,0)),0)</f>
        <v>0</v>
      </c>
      <c r="U342" s="28">
        <f t="shared" si="21"/>
        <v>2.81</v>
      </c>
      <c r="V342" s="9">
        <f>IF(U342&gt;=Parametros!$B$14,4,IF(U342&gt;=Parametros!$B$13,3,IF(U342&gt;=Parametros!$B$12,2,1)))</f>
        <v>2</v>
      </c>
      <c r="W342" s="5">
        <f>MAX(V342,IF(K342=5,Parametros!$B$17,0),IF(P342="Sim",Parametros!$B$18,0))</f>
        <v>2</v>
      </c>
      <c r="X342" s="5" t="str">
        <f t="shared" si="22"/>
        <v>Normal</v>
      </c>
      <c r="Y342" s="29">
        <f t="shared" si="23"/>
        <v>2027.7996579999999</v>
      </c>
      <c r="Z342" s="4" t="s">
        <v>659</v>
      </c>
    </row>
    <row r="343" spans="1:26" ht="28.05" customHeight="1" x14ac:dyDescent="0.3">
      <c r="A343" s="5">
        <f t="shared" si="20"/>
        <v>339</v>
      </c>
      <c r="B343" s="23" t="s">
        <v>878</v>
      </c>
      <c r="C343" s="17" t="s">
        <v>879</v>
      </c>
      <c r="D343" s="4" t="s">
        <v>48</v>
      </c>
      <c r="E343" s="4" t="s">
        <v>82</v>
      </c>
      <c r="F343" s="4" t="s">
        <v>82</v>
      </c>
      <c r="G343" s="4" t="s">
        <v>171</v>
      </c>
      <c r="H343" s="4" t="s">
        <v>172</v>
      </c>
      <c r="I343" s="24" t="s">
        <v>152</v>
      </c>
      <c r="J343" s="15">
        <v>3</v>
      </c>
      <c r="K343" s="15">
        <v>2</v>
      </c>
      <c r="L343" s="15">
        <v>3</v>
      </c>
      <c r="M343" s="15">
        <v>3</v>
      </c>
      <c r="N343" s="15">
        <v>2</v>
      </c>
      <c r="O343" s="15">
        <v>3</v>
      </c>
      <c r="P343" s="15" t="s">
        <v>415</v>
      </c>
      <c r="Q343" s="23" t="s">
        <v>838</v>
      </c>
      <c r="R343" s="25">
        <f>ROUND((K343*Parametros!$B$4+L343*Parametros!$B$5+M343*Parametros!$B$6+N343*Parametros!$B$7+O343*Parametros!$B$8)/SUM(Parametros!$B$4:$B$8),2)</f>
        <v>2.5499999999999998</v>
      </c>
      <c r="S343" s="26">
        <f>IFERROR(INDEX(Parametros!$F$33:$F$42,MATCH(D343,Parametros!$A$33:$A$42,0)),1)</f>
        <v>1.1000000000000001</v>
      </c>
      <c r="T343" s="27">
        <f>IFERROR(INDEX(Parametros!$B$21:$B$26,MATCH(I343,Parametros!$A$21:$A$26,0)),0)</f>
        <v>0</v>
      </c>
      <c r="U343" s="28">
        <f t="shared" si="21"/>
        <v>2.81</v>
      </c>
      <c r="V343" s="9">
        <f>IF(U343&gt;=Parametros!$B$14,4,IF(U343&gt;=Parametros!$B$13,3,IF(U343&gt;=Parametros!$B$12,2,1)))</f>
        <v>2</v>
      </c>
      <c r="W343" s="5">
        <f>MAX(V343,IF(K343=5,Parametros!$B$17,0),IF(P343="Sim",Parametros!$B$18,0))</f>
        <v>2</v>
      </c>
      <c r="X343" s="5" t="str">
        <f t="shared" si="22"/>
        <v>Normal</v>
      </c>
      <c r="Y343" s="29">
        <f t="shared" si="23"/>
        <v>2027.799657</v>
      </c>
      <c r="Z343" s="4" t="s">
        <v>659</v>
      </c>
    </row>
    <row r="344" spans="1:26" ht="28.05" customHeight="1" x14ac:dyDescent="0.3">
      <c r="A344" s="5">
        <f t="shared" si="20"/>
        <v>340</v>
      </c>
      <c r="B344" s="23" t="s">
        <v>880</v>
      </c>
      <c r="C344" s="17" t="s">
        <v>842</v>
      </c>
      <c r="D344" s="4" t="s">
        <v>56</v>
      </c>
      <c r="E344" s="4" t="s">
        <v>64</v>
      </c>
      <c r="F344" s="4" t="s">
        <v>64</v>
      </c>
      <c r="G344" s="4" t="s">
        <v>134</v>
      </c>
      <c r="H344" s="4" t="s">
        <v>108</v>
      </c>
      <c r="I344" s="24" t="s">
        <v>131</v>
      </c>
      <c r="J344" s="15">
        <v>3</v>
      </c>
      <c r="K344" s="15">
        <v>3</v>
      </c>
      <c r="L344" s="15">
        <v>3</v>
      </c>
      <c r="M344" s="15">
        <v>1</v>
      </c>
      <c r="N344" s="15">
        <v>3</v>
      </c>
      <c r="O344" s="15">
        <v>4</v>
      </c>
      <c r="P344" s="15" t="s">
        <v>415</v>
      </c>
      <c r="Q344" s="23" t="s">
        <v>416</v>
      </c>
      <c r="R344" s="25">
        <f>ROUND((K344*Parametros!$B$4+L344*Parametros!$B$5+M344*Parametros!$B$6+N344*Parametros!$B$7+O344*Parametros!$B$8)/SUM(Parametros!$B$4:$B$8),2)</f>
        <v>2.75</v>
      </c>
      <c r="S344" s="26">
        <f>IFERROR(INDEX(Parametros!$F$33:$F$42,MATCH(D344,Parametros!$A$33:$A$42,0)),1)</f>
        <v>1.0169999999999999</v>
      </c>
      <c r="T344" s="27">
        <f>IFERROR(INDEX(Parametros!$B$21:$B$26,MATCH(I344,Parametros!$A$21:$A$26,0)),0)</f>
        <v>0</v>
      </c>
      <c r="U344" s="28">
        <f t="shared" si="21"/>
        <v>2.8</v>
      </c>
      <c r="V344" s="9">
        <f>IF(U344&gt;=Parametros!$B$14,4,IF(U344&gt;=Parametros!$B$13,3,IF(U344&gt;=Parametros!$B$12,2,1)))</f>
        <v>2</v>
      </c>
      <c r="W344" s="5">
        <f>MAX(V344,IF(K344=5,Parametros!$B$17,0),IF(P344="Sim",Parametros!$B$18,0))</f>
        <v>2</v>
      </c>
      <c r="X344" s="5" t="str">
        <f t="shared" si="22"/>
        <v>Normal</v>
      </c>
      <c r="Y344" s="29">
        <f t="shared" si="23"/>
        <v>2027.699656</v>
      </c>
      <c r="Z344" s="4" t="s">
        <v>322</v>
      </c>
    </row>
    <row r="345" spans="1:26" ht="28.05" customHeight="1" x14ac:dyDescent="0.3">
      <c r="A345" s="5">
        <f t="shared" si="20"/>
        <v>341</v>
      </c>
      <c r="B345" s="23" t="s">
        <v>881</v>
      </c>
      <c r="C345" s="17" t="s">
        <v>882</v>
      </c>
      <c r="D345" s="4" t="s">
        <v>56</v>
      </c>
      <c r="E345" s="4" t="s">
        <v>71</v>
      </c>
      <c r="F345" s="4" t="s">
        <v>71</v>
      </c>
      <c r="G345" s="4" t="s">
        <v>112</v>
      </c>
      <c r="H345" s="4" t="s">
        <v>108</v>
      </c>
      <c r="I345" s="24" t="s">
        <v>122</v>
      </c>
      <c r="J345" s="15">
        <v>3</v>
      </c>
      <c r="K345" s="15">
        <v>3</v>
      </c>
      <c r="L345" s="15">
        <v>3</v>
      </c>
      <c r="M345" s="15">
        <v>1</v>
      </c>
      <c r="N345" s="15">
        <v>4</v>
      </c>
      <c r="O345" s="15">
        <v>3</v>
      </c>
      <c r="P345" s="15" t="s">
        <v>415</v>
      </c>
      <c r="Q345" s="23" t="s">
        <v>416</v>
      </c>
      <c r="R345" s="25">
        <f>ROUND((K345*Parametros!$B$4+L345*Parametros!$B$5+M345*Parametros!$B$6+N345*Parametros!$B$7+O345*Parametros!$B$8)/SUM(Parametros!$B$4:$B$8),2)</f>
        <v>2.75</v>
      </c>
      <c r="S345" s="26">
        <f>IFERROR(INDEX(Parametros!$F$33:$F$42,MATCH(D345,Parametros!$A$33:$A$42,0)),1)</f>
        <v>1.0169999999999999</v>
      </c>
      <c r="T345" s="27">
        <f>IFERROR(INDEX(Parametros!$B$21:$B$26,MATCH(I345,Parametros!$A$21:$A$26,0)),0)</f>
        <v>0</v>
      </c>
      <c r="U345" s="28">
        <f t="shared" si="21"/>
        <v>2.8</v>
      </c>
      <c r="V345" s="9">
        <f>IF(U345&gt;=Parametros!$B$14,4,IF(U345&gt;=Parametros!$B$13,3,IF(U345&gt;=Parametros!$B$12,2,1)))</f>
        <v>2</v>
      </c>
      <c r="W345" s="5">
        <f>MAX(V345,IF(K345=5,Parametros!$B$17,0),IF(P345="Sim",Parametros!$B$18,0))</f>
        <v>2</v>
      </c>
      <c r="X345" s="5" t="str">
        <f t="shared" si="22"/>
        <v>Normal</v>
      </c>
      <c r="Y345" s="29">
        <f t="shared" si="23"/>
        <v>2027.6996550000001</v>
      </c>
      <c r="Z345" s="4" t="s">
        <v>653</v>
      </c>
    </row>
    <row r="346" spans="1:26" ht="28.05" customHeight="1" x14ac:dyDescent="0.3">
      <c r="A346" s="5">
        <f t="shared" si="20"/>
        <v>342</v>
      </c>
      <c r="B346" s="23" t="s">
        <v>883</v>
      </c>
      <c r="C346" s="17" t="s">
        <v>884</v>
      </c>
      <c r="D346" s="4" t="s">
        <v>54</v>
      </c>
      <c r="E346" s="4" t="s">
        <v>64</v>
      </c>
      <c r="F346" s="4" t="s">
        <v>64</v>
      </c>
      <c r="G346" s="4" t="s">
        <v>184</v>
      </c>
      <c r="H346" s="4" t="s">
        <v>185</v>
      </c>
      <c r="I346" s="24" t="s">
        <v>131</v>
      </c>
      <c r="J346" s="15">
        <v>2</v>
      </c>
      <c r="K346" s="15">
        <v>3</v>
      </c>
      <c r="L346" s="15">
        <v>3</v>
      </c>
      <c r="M346" s="15">
        <v>3</v>
      </c>
      <c r="N346" s="15">
        <v>1</v>
      </c>
      <c r="O346" s="15">
        <v>3</v>
      </c>
      <c r="P346" s="15" t="s">
        <v>415</v>
      </c>
      <c r="Q346" s="23" t="s">
        <v>838</v>
      </c>
      <c r="R346" s="25">
        <f>ROUND((K346*Parametros!$B$4+L346*Parametros!$B$5+M346*Parametros!$B$6+N346*Parametros!$B$7+O346*Parametros!$B$8)/SUM(Parametros!$B$4:$B$8),2)</f>
        <v>2.7</v>
      </c>
      <c r="S346" s="26">
        <f>IFERROR(INDEX(Parametros!$F$33:$F$42,MATCH(D346,Parametros!$A$33:$A$42,0)),1)</f>
        <v>1.034</v>
      </c>
      <c r="T346" s="27">
        <f>IFERROR(INDEX(Parametros!$B$21:$B$26,MATCH(I346,Parametros!$A$21:$A$26,0)),0)</f>
        <v>0</v>
      </c>
      <c r="U346" s="28">
        <f t="shared" si="21"/>
        <v>2.79</v>
      </c>
      <c r="V346" s="9">
        <f>IF(U346&gt;=Parametros!$B$14,4,IF(U346&gt;=Parametros!$B$13,3,IF(U346&gt;=Parametros!$B$12,2,1)))</f>
        <v>2</v>
      </c>
      <c r="W346" s="5">
        <f>MAX(V346,IF(K346=5,Parametros!$B$17,0),IF(P346="Sim",Parametros!$B$18,0))</f>
        <v>2</v>
      </c>
      <c r="X346" s="5" t="str">
        <f t="shared" si="22"/>
        <v>Normal</v>
      </c>
      <c r="Y346" s="29">
        <f t="shared" si="23"/>
        <v>2027.699654</v>
      </c>
      <c r="Z346" s="4" t="s">
        <v>659</v>
      </c>
    </row>
    <row r="347" spans="1:26" ht="28.05" customHeight="1" x14ac:dyDescent="0.3">
      <c r="A347" s="5">
        <f t="shared" si="20"/>
        <v>343</v>
      </c>
      <c r="B347" s="23" t="s">
        <v>885</v>
      </c>
      <c r="C347" s="17" t="s">
        <v>886</v>
      </c>
      <c r="D347" s="4" t="s">
        <v>50</v>
      </c>
      <c r="E347" s="4" t="s">
        <v>86</v>
      </c>
      <c r="F347" s="4" t="s">
        <v>554</v>
      </c>
      <c r="G347" s="4" t="s">
        <v>112</v>
      </c>
      <c r="H347" s="4" t="s">
        <v>108</v>
      </c>
      <c r="I347" s="24" t="s">
        <v>131</v>
      </c>
      <c r="J347" s="15">
        <v>5</v>
      </c>
      <c r="K347" s="15">
        <v>2</v>
      </c>
      <c r="L347" s="15">
        <v>4</v>
      </c>
      <c r="M347" s="15">
        <v>3</v>
      </c>
      <c r="N347" s="15">
        <v>1</v>
      </c>
      <c r="O347" s="15">
        <v>3</v>
      </c>
      <c r="P347" s="15" t="s">
        <v>415</v>
      </c>
      <c r="Q347" s="23" t="s">
        <v>416</v>
      </c>
      <c r="R347" s="25">
        <f>ROUND((K347*Parametros!$B$4+L347*Parametros!$B$5+M347*Parametros!$B$6+N347*Parametros!$B$7+O347*Parametros!$B$8)/SUM(Parametros!$B$4:$B$8),2)</f>
        <v>2.6</v>
      </c>
      <c r="S347" s="26">
        <f>IFERROR(INDEX(Parametros!$F$33:$F$42,MATCH(D347,Parametros!$A$33:$A$42,0)),1)</f>
        <v>1.0840000000000001</v>
      </c>
      <c r="T347" s="27">
        <f>IFERROR(INDEX(Parametros!$B$21:$B$26,MATCH(I347,Parametros!$A$21:$A$26,0)),0)</f>
        <v>0</v>
      </c>
      <c r="U347" s="28">
        <f t="shared" si="21"/>
        <v>2.82</v>
      </c>
      <c r="V347" s="9">
        <f>IF(U347&gt;=Parametros!$B$14,4,IF(U347&gt;=Parametros!$B$13,3,IF(U347&gt;=Parametros!$B$12,2,1)))</f>
        <v>2</v>
      </c>
      <c r="W347" s="5">
        <f>MAX(V347,IF(K347=5,Parametros!$B$17,0),IF(P347="Sim",Parametros!$B$18,0))</f>
        <v>2</v>
      </c>
      <c r="X347" s="5" t="str">
        <f t="shared" si="22"/>
        <v>Normal</v>
      </c>
      <c r="Y347" s="29">
        <f t="shared" si="23"/>
        <v>2027.6996530000001</v>
      </c>
      <c r="Z347" s="4" t="s">
        <v>309</v>
      </c>
    </row>
    <row r="348" spans="1:26" ht="28.05" customHeight="1" x14ac:dyDescent="0.3">
      <c r="A348" s="5">
        <f t="shared" si="20"/>
        <v>344</v>
      </c>
      <c r="B348" s="23" t="s">
        <v>887</v>
      </c>
      <c r="C348" s="17" t="s">
        <v>888</v>
      </c>
      <c r="D348" s="4" t="s">
        <v>54</v>
      </c>
      <c r="E348" s="4" t="s">
        <v>64</v>
      </c>
      <c r="F348" s="4" t="s">
        <v>64</v>
      </c>
      <c r="G348" s="4" t="s">
        <v>134</v>
      </c>
      <c r="H348" s="4" t="s">
        <v>108</v>
      </c>
      <c r="I348" s="24" t="s">
        <v>131</v>
      </c>
      <c r="J348" s="15">
        <v>3</v>
      </c>
      <c r="K348" s="15">
        <v>3</v>
      </c>
      <c r="L348" s="15">
        <v>3</v>
      </c>
      <c r="M348" s="15">
        <v>3</v>
      </c>
      <c r="N348" s="15">
        <v>2</v>
      </c>
      <c r="O348" s="15">
        <v>2</v>
      </c>
      <c r="P348" s="15" t="s">
        <v>415</v>
      </c>
      <c r="Q348" s="23" t="s">
        <v>416</v>
      </c>
      <c r="R348" s="25">
        <f>ROUND((K348*Parametros!$B$4+L348*Parametros!$B$5+M348*Parametros!$B$6+N348*Parametros!$B$7+O348*Parametros!$B$8)/SUM(Parametros!$B$4:$B$8),2)</f>
        <v>2.7</v>
      </c>
      <c r="S348" s="26">
        <f>IFERROR(INDEX(Parametros!$F$33:$F$42,MATCH(D348,Parametros!$A$33:$A$42,0)),1)</f>
        <v>1.034</v>
      </c>
      <c r="T348" s="27">
        <f>IFERROR(INDEX(Parametros!$B$21:$B$26,MATCH(I348,Parametros!$A$21:$A$26,0)),0)</f>
        <v>0</v>
      </c>
      <c r="U348" s="28">
        <f t="shared" si="21"/>
        <v>2.79</v>
      </c>
      <c r="V348" s="9">
        <f>IF(U348&gt;=Parametros!$B$14,4,IF(U348&gt;=Parametros!$B$13,3,IF(U348&gt;=Parametros!$B$12,2,1)))</f>
        <v>2</v>
      </c>
      <c r="W348" s="5">
        <f>MAX(V348,IF(K348=5,Parametros!$B$17,0),IF(P348="Sim",Parametros!$B$18,0))</f>
        <v>2</v>
      </c>
      <c r="X348" s="5" t="str">
        <f t="shared" si="22"/>
        <v>Normal</v>
      </c>
      <c r="Y348" s="29">
        <f t="shared" si="23"/>
        <v>2027.5996520000001</v>
      </c>
      <c r="Z348" s="4" t="s">
        <v>659</v>
      </c>
    </row>
    <row r="349" spans="1:26" ht="28.05" customHeight="1" x14ac:dyDescent="0.3">
      <c r="A349" s="5">
        <f t="shared" si="20"/>
        <v>345</v>
      </c>
      <c r="B349" s="23" t="s">
        <v>889</v>
      </c>
      <c r="C349" s="17" t="s">
        <v>890</v>
      </c>
      <c r="D349" s="4" t="s">
        <v>54</v>
      </c>
      <c r="E349" s="4" t="s">
        <v>64</v>
      </c>
      <c r="F349" s="4" t="s">
        <v>64</v>
      </c>
      <c r="G349" s="4" t="s">
        <v>171</v>
      </c>
      <c r="H349" s="4" t="s">
        <v>172</v>
      </c>
      <c r="I349" s="24" t="s">
        <v>109</v>
      </c>
      <c r="J349" s="15">
        <v>3</v>
      </c>
      <c r="K349" s="15">
        <v>3</v>
      </c>
      <c r="L349" s="15">
        <v>2</v>
      </c>
      <c r="M349" s="15">
        <v>1</v>
      </c>
      <c r="N349" s="15">
        <v>3</v>
      </c>
      <c r="O349" s="15">
        <v>3</v>
      </c>
      <c r="P349" s="15" t="s">
        <v>415</v>
      </c>
      <c r="Q349" s="23" t="s">
        <v>416</v>
      </c>
      <c r="R349" s="25">
        <f>ROUND((K349*Parametros!$B$4+L349*Parametros!$B$5+M349*Parametros!$B$6+N349*Parametros!$B$7+O349*Parametros!$B$8)/SUM(Parametros!$B$4:$B$8),2)</f>
        <v>2.4</v>
      </c>
      <c r="S349" s="26">
        <f>IFERROR(INDEX(Parametros!$F$33:$F$42,MATCH(D349,Parametros!$A$33:$A$42,0)),1)</f>
        <v>1.034</v>
      </c>
      <c r="T349" s="27">
        <f>IFERROR(INDEX(Parametros!$B$21:$B$26,MATCH(I349,Parametros!$A$21:$A$26,0)),0)</f>
        <v>0.3</v>
      </c>
      <c r="U349" s="28">
        <f t="shared" si="21"/>
        <v>2.78</v>
      </c>
      <c r="V349" s="9">
        <f>IF(U349&gt;=Parametros!$B$14,4,IF(U349&gt;=Parametros!$B$13,3,IF(U349&gt;=Parametros!$B$12,2,1)))</f>
        <v>2</v>
      </c>
      <c r="W349" s="5">
        <f>MAX(V349,IF(K349=5,Parametros!$B$17,0),IF(P349="Sim",Parametros!$B$18,0))</f>
        <v>2</v>
      </c>
      <c r="X349" s="5" t="str">
        <f t="shared" si="22"/>
        <v>Normal</v>
      </c>
      <c r="Y349" s="29">
        <f t="shared" si="23"/>
        <v>2027.4996510000001</v>
      </c>
      <c r="Z349" s="4" t="s">
        <v>348</v>
      </c>
    </row>
    <row r="350" spans="1:26" ht="28.05" customHeight="1" x14ac:dyDescent="0.3">
      <c r="A350" s="5">
        <f t="shared" si="20"/>
        <v>346</v>
      </c>
      <c r="B350" s="23" t="s">
        <v>891</v>
      </c>
      <c r="C350" s="17" t="s">
        <v>892</v>
      </c>
      <c r="D350" s="4" t="s">
        <v>50</v>
      </c>
      <c r="E350" s="4" t="s">
        <v>86</v>
      </c>
      <c r="F350" s="4" t="s">
        <v>86</v>
      </c>
      <c r="G350" s="4" t="s">
        <v>171</v>
      </c>
      <c r="H350" s="4" t="s">
        <v>172</v>
      </c>
      <c r="I350" s="24" t="s">
        <v>152</v>
      </c>
      <c r="J350" s="15">
        <v>2</v>
      </c>
      <c r="K350" s="15">
        <v>3</v>
      </c>
      <c r="L350" s="15">
        <v>3</v>
      </c>
      <c r="M350" s="15">
        <v>3</v>
      </c>
      <c r="N350" s="15">
        <v>1</v>
      </c>
      <c r="O350" s="15">
        <v>2</v>
      </c>
      <c r="P350" s="15" t="s">
        <v>415</v>
      </c>
      <c r="Q350" s="23" t="s">
        <v>838</v>
      </c>
      <c r="R350" s="25">
        <f>ROUND((K350*Parametros!$B$4+L350*Parametros!$B$5+M350*Parametros!$B$6+N350*Parametros!$B$7+O350*Parametros!$B$8)/SUM(Parametros!$B$4:$B$8),2)</f>
        <v>2.5499999999999998</v>
      </c>
      <c r="S350" s="26">
        <f>IFERROR(INDEX(Parametros!$F$33:$F$42,MATCH(D350,Parametros!$A$33:$A$42,0)),1)</f>
        <v>1.0840000000000001</v>
      </c>
      <c r="T350" s="27">
        <f>IFERROR(INDEX(Parametros!$B$21:$B$26,MATCH(I350,Parametros!$A$21:$A$26,0)),0)</f>
        <v>0</v>
      </c>
      <c r="U350" s="28">
        <f t="shared" si="21"/>
        <v>2.76</v>
      </c>
      <c r="V350" s="9">
        <f>IF(U350&gt;=Parametros!$B$14,4,IF(U350&gt;=Parametros!$B$13,3,IF(U350&gt;=Parametros!$B$12,2,1)))</f>
        <v>2</v>
      </c>
      <c r="W350" s="5">
        <f>MAX(V350,IF(K350=5,Parametros!$B$17,0),IF(P350="Sim",Parametros!$B$18,0))</f>
        <v>2</v>
      </c>
      <c r="X350" s="5" t="str">
        <f t="shared" si="22"/>
        <v>Normal</v>
      </c>
      <c r="Y350" s="29">
        <f t="shared" si="23"/>
        <v>2027.3996499999998</v>
      </c>
      <c r="Z350" s="4" t="s">
        <v>659</v>
      </c>
    </row>
    <row r="351" spans="1:26" ht="28.05" customHeight="1" x14ac:dyDescent="0.3">
      <c r="A351" s="5">
        <f t="shared" si="20"/>
        <v>347</v>
      </c>
      <c r="B351" s="23" t="s">
        <v>893</v>
      </c>
      <c r="C351" s="17" t="s">
        <v>894</v>
      </c>
      <c r="D351" s="4" t="s">
        <v>50</v>
      </c>
      <c r="E351" s="4" t="s">
        <v>86</v>
      </c>
      <c r="F351" s="4" t="s">
        <v>554</v>
      </c>
      <c r="G351" s="4" t="s">
        <v>119</v>
      </c>
      <c r="H351" s="4" t="s">
        <v>108</v>
      </c>
      <c r="I351" s="24" t="s">
        <v>152</v>
      </c>
      <c r="J351" s="15">
        <v>2</v>
      </c>
      <c r="K351" s="15">
        <v>3</v>
      </c>
      <c r="L351" s="15">
        <v>3</v>
      </c>
      <c r="M351" s="15">
        <v>3</v>
      </c>
      <c r="N351" s="15">
        <v>1</v>
      </c>
      <c r="O351" s="15">
        <v>2</v>
      </c>
      <c r="P351" s="15" t="s">
        <v>415</v>
      </c>
      <c r="Q351" s="23" t="s">
        <v>838</v>
      </c>
      <c r="R351" s="25">
        <f>ROUND((K351*Parametros!$B$4+L351*Parametros!$B$5+M351*Parametros!$B$6+N351*Parametros!$B$7+O351*Parametros!$B$8)/SUM(Parametros!$B$4:$B$8),2)</f>
        <v>2.5499999999999998</v>
      </c>
      <c r="S351" s="26">
        <f>IFERROR(INDEX(Parametros!$F$33:$F$42,MATCH(D351,Parametros!$A$33:$A$42,0)),1)</f>
        <v>1.0840000000000001</v>
      </c>
      <c r="T351" s="27">
        <f>IFERROR(INDEX(Parametros!$B$21:$B$26,MATCH(I351,Parametros!$A$21:$A$26,0)),0)</f>
        <v>0</v>
      </c>
      <c r="U351" s="28">
        <f t="shared" si="21"/>
        <v>2.76</v>
      </c>
      <c r="V351" s="9">
        <f>IF(U351&gt;=Parametros!$B$14,4,IF(U351&gt;=Parametros!$B$13,3,IF(U351&gt;=Parametros!$B$12,2,1)))</f>
        <v>2</v>
      </c>
      <c r="W351" s="5">
        <f>MAX(V351,IF(K351=5,Parametros!$B$17,0),IF(P351="Sim",Parametros!$B$18,0))</f>
        <v>2</v>
      </c>
      <c r="X351" s="5" t="str">
        <f t="shared" si="22"/>
        <v>Normal</v>
      </c>
      <c r="Y351" s="29">
        <f t="shared" si="23"/>
        <v>2027.399649</v>
      </c>
      <c r="Z351" s="4" t="s">
        <v>659</v>
      </c>
    </row>
    <row r="352" spans="1:26" ht="28.05" customHeight="1" x14ac:dyDescent="0.3">
      <c r="A352" s="5">
        <f t="shared" si="20"/>
        <v>348</v>
      </c>
      <c r="B352" s="23" t="s">
        <v>895</v>
      </c>
      <c r="C352" s="17" t="s">
        <v>896</v>
      </c>
      <c r="D352" s="4" t="s">
        <v>50</v>
      </c>
      <c r="E352" s="4" t="s">
        <v>75</v>
      </c>
      <c r="F352" s="4" t="s">
        <v>75</v>
      </c>
      <c r="G352" s="4" t="s">
        <v>171</v>
      </c>
      <c r="H352" s="4" t="s">
        <v>172</v>
      </c>
      <c r="I352" s="24" t="s">
        <v>122</v>
      </c>
      <c r="J352" s="15">
        <v>3</v>
      </c>
      <c r="K352" s="15">
        <v>2</v>
      </c>
      <c r="L352" s="15">
        <v>3</v>
      </c>
      <c r="M352" s="15">
        <v>3</v>
      </c>
      <c r="N352" s="15">
        <v>2</v>
      </c>
      <c r="O352" s="15">
        <v>3</v>
      </c>
      <c r="P352" s="15" t="s">
        <v>415</v>
      </c>
      <c r="Q352" s="23" t="s">
        <v>416</v>
      </c>
      <c r="R352" s="25">
        <f>ROUND((K352*Parametros!$B$4+L352*Parametros!$B$5+M352*Parametros!$B$6+N352*Parametros!$B$7+O352*Parametros!$B$8)/SUM(Parametros!$B$4:$B$8),2)</f>
        <v>2.5499999999999998</v>
      </c>
      <c r="S352" s="26">
        <f>IFERROR(INDEX(Parametros!$F$33:$F$42,MATCH(D352,Parametros!$A$33:$A$42,0)),1)</f>
        <v>1.0840000000000001</v>
      </c>
      <c r="T352" s="27">
        <f>IFERROR(INDEX(Parametros!$B$21:$B$26,MATCH(I352,Parametros!$A$21:$A$26,0)),0)</f>
        <v>0</v>
      </c>
      <c r="U352" s="28">
        <f t="shared" si="21"/>
        <v>2.76</v>
      </c>
      <c r="V352" s="9">
        <f>IF(U352&gt;=Parametros!$B$14,4,IF(U352&gt;=Parametros!$B$13,3,IF(U352&gt;=Parametros!$B$12,2,1)))</f>
        <v>2</v>
      </c>
      <c r="W352" s="5">
        <f>MAX(V352,IF(K352=5,Parametros!$B$17,0),IF(P352="Sim",Parametros!$B$18,0))</f>
        <v>2</v>
      </c>
      <c r="X352" s="5" t="str">
        <f t="shared" si="22"/>
        <v>Normal</v>
      </c>
      <c r="Y352" s="29">
        <f t="shared" si="23"/>
        <v>2027.2996479999999</v>
      </c>
      <c r="Z352" s="4" t="s">
        <v>659</v>
      </c>
    </row>
    <row r="353" spans="1:26" ht="28.05" customHeight="1" x14ac:dyDescent="0.3">
      <c r="A353" s="5">
        <f t="shared" si="20"/>
        <v>349</v>
      </c>
      <c r="B353" s="23" t="s">
        <v>897</v>
      </c>
      <c r="C353" s="17" t="s">
        <v>898</v>
      </c>
      <c r="D353" s="4" t="s">
        <v>50</v>
      </c>
      <c r="E353" s="4" t="s">
        <v>75</v>
      </c>
      <c r="F353" s="4" t="s">
        <v>75</v>
      </c>
      <c r="G353" s="4" t="s">
        <v>171</v>
      </c>
      <c r="H353" s="4" t="s">
        <v>172</v>
      </c>
      <c r="I353" s="24" t="s">
        <v>122</v>
      </c>
      <c r="J353" s="15">
        <v>3</v>
      </c>
      <c r="K353" s="15">
        <v>2</v>
      </c>
      <c r="L353" s="15">
        <v>3</v>
      </c>
      <c r="M353" s="15">
        <v>3</v>
      </c>
      <c r="N353" s="15">
        <v>2</v>
      </c>
      <c r="O353" s="15">
        <v>3</v>
      </c>
      <c r="P353" s="15" t="s">
        <v>415</v>
      </c>
      <c r="Q353" s="23" t="s">
        <v>416</v>
      </c>
      <c r="R353" s="25">
        <f>ROUND((K353*Parametros!$B$4+L353*Parametros!$B$5+M353*Parametros!$B$6+N353*Parametros!$B$7+O353*Parametros!$B$8)/SUM(Parametros!$B$4:$B$8),2)</f>
        <v>2.5499999999999998</v>
      </c>
      <c r="S353" s="26">
        <f>IFERROR(INDEX(Parametros!$F$33:$F$42,MATCH(D353,Parametros!$A$33:$A$42,0)),1)</f>
        <v>1.0840000000000001</v>
      </c>
      <c r="T353" s="27">
        <f>IFERROR(INDEX(Parametros!$B$21:$B$26,MATCH(I353,Parametros!$A$21:$A$26,0)),0)</f>
        <v>0</v>
      </c>
      <c r="U353" s="28">
        <f t="shared" si="21"/>
        <v>2.76</v>
      </c>
      <c r="V353" s="9">
        <f>IF(U353&gt;=Parametros!$B$14,4,IF(U353&gt;=Parametros!$B$13,3,IF(U353&gt;=Parametros!$B$12,2,1)))</f>
        <v>2</v>
      </c>
      <c r="W353" s="5">
        <f>MAX(V353,IF(K353=5,Parametros!$B$17,0),IF(P353="Sim",Parametros!$B$18,0))</f>
        <v>2</v>
      </c>
      <c r="X353" s="5" t="str">
        <f t="shared" si="22"/>
        <v>Normal</v>
      </c>
      <c r="Y353" s="29">
        <f t="shared" si="23"/>
        <v>2027.299647</v>
      </c>
      <c r="Z353" s="4" t="s">
        <v>659</v>
      </c>
    </row>
    <row r="354" spans="1:26" ht="28.05" customHeight="1" x14ac:dyDescent="0.3">
      <c r="A354" s="5">
        <f t="shared" si="20"/>
        <v>350</v>
      </c>
      <c r="B354" s="23" t="s">
        <v>899</v>
      </c>
      <c r="C354" s="17" t="s">
        <v>900</v>
      </c>
      <c r="D354" s="4" t="s">
        <v>50</v>
      </c>
      <c r="E354" s="4" t="s">
        <v>75</v>
      </c>
      <c r="F354" s="4" t="s">
        <v>75</v>
      </c>
      <c r="G354" s="4" t="s">
        <v>171</v>
      </c>
      <c r="H354" s="4" t="s">
        <v>172</v>
      </c>
      <c r="I354" s="24" t="s">
        <v>122</v>
      </c>
      <c r="J354" s="15">
        <v>3</v>
      </c>
      <c r="K354" s="15">
        <v>2</v>
      </c>
      <c r="L354" s="15">
        <v>3</v>
      </c>
      <c r="M354" s="15">
        <v>3</v>
      </c>
      <c r="N354" s="15">
        <v>2</v>
      </c>
      <c r="O354" s="15">
        <v>3</v>
      </c>
      <c r="P354" s="15" t="s">
        <v>415</v>
      </c>
      <c r="Q354" s="23" t="s">
        <v>416</v>
      </c>
      <c r="R354" s="25">
        <f>ROUND((K354*Parametros!$B$4+L354*Parametros!$B$5+M354*Parametros!$B$6+N354*Parametros!$B$7+O354*Parametros!$B$8)/SUM(Parametros!$B$4:$B$8),2)</f>
        <v>2.5499999999999998</v>
      </c>
      <c r="S354" s="26">
        <f>IFERROR(INDEX(Parametros!$F$33:$F$42,MATCH(D354,Parametros!$A$33:$A$42,0)),1)</f>
        <v>1.0840000000000001</v>
      </c>
      <c r="T354" s="27">
        <f>IFERROR(INDEX(Parametros!$B$21:$B$26,MATCH(I354,Parametros!$A$21:$A$26,0)),0)</f>
        <v>0</v>
      </c>
      <c r="U354" s="28">
        <f t="shared" si="21"/>
        <v>2.76</v>
      </c>
      <c r="V354" s="9">
        <f>IF(U354&gt;=Parametros!$B$14,4,IF(U354&gt;=Parametros!$B$13,3,IF(U354&gt;=Parametros!$B$12,2,1)))</f>
        <v>2</v>
      </c>
      <c r="W354" s="5">
        <f>MAX(V354,IF(K354=5,Parametros!$B$17,0),IF(P354="Sim",Parametros!$B$18,0))</f>
        <v>2</v>
      </c>
      <c r="X354" s="5" t="str">
        <f t="shared" si="22"/>
        <v>Normal</v>
      </c>
      <c r="Y354" s="29">
        <f t="shared" si="23"/>
        <v>2027.2996459999999</v>
      </c>
      <c r="Z354" s="4" t="s">
        <v>659</v>
      </c>
    </row>
    <row r="355" spans="1:26" ht="28.05" customHeight="1" x14ac:dyDescent="0.3">
      <c r="A355" s="5">
        <f t="shared" si="20"/>
        <v>351</v>
      </c>
      <c r="B355" s="23" t="s">
        <v>901</v>
      </c>
      <c r="C355" s="17" t="s">
        <v>902</v>
      </c>
      <c r="D355" s="4" t="s">
        <v>50</v>
      </c>
      <c r="E355" s="4" t="s">
        <v>75</v>
      </c>
      <c r="F355" s="4" t="s">
        <v>75</v>
      </c>
      <c r="G355" s="4" t="s">
        <v>171</v>
      </c>
      <c r="H355" s="4" t="s">
        <v>172</v>
      </c>
      <c r="I355" s="24" t="s">
        <v>122</v>
      </c>
      <c r="J355" s="15">
        <v>3</v>
      </c>
      <c r="K355" s="15">
        <v>2</v>
      </c>
      <c r="L355" s="15">
        <v>3</v>
      </c>
      <c r="M355" s="15">
        <v>3</v>
      </c>
      <c r="N355" s="15">
        <v>2</v>
      </c>
      <c r="O355" s="15">
        <v>3</v>
      </c>
      <c r="P355" s="15" t="s">
        <v>415</v>
      </c>
      <c r="Q355" s="23" t="s">
        <v>416</v>
      </c>
      <c r="R355" s="25">
        <f>ROUND((K355*Parametros!$B$4+L355*Parametros!$B$5+M355*Parametros!$B$6+N355*Parametros!$B$7+O355*Parametros!$B$8)/SUM(Parametros!$B$4:$B$8),2)</f>
        <v>2.5499999999999998</v>
      </c>
      <c r="S355" s="26">
        <f>IFERROR(INDEX(Parametros!$F$33:$F$42,MATCH(D355,Parametros!$A$33:$A$42,0)),1)</f>
        <v>1.0840000000000001</v>
      </c>
      <c r="T355" s="27">
        <f>IFERROR(INDEX(Parametros!$B$21:$B$26,MATCH(I355,Parametros!$A$21:$A$26,0)),0)</f>
        <v>0</v>
      </c>
      <c r="U355" s="28">
        <f t="shared" si="21"/>
        <v>2.76</v>
      </c>
      <c r="V355" s="9">
        <f>IF(U355&gt;=Parametros!$B$14,4,IF(U355&gt;=Parametros!$B$13,3,IF(U355&gt;=Parametros!$B$12,2,1)))</f>
        <v>2</v>
      </c>
      <c r="W355" s="5">
        <f>MAX(V355,IF(K355=5,Parametros!$B$17,0),IF(P355="Sim",Parametros!$B$18,0))</f>
        <v>2</v>
      </c>
      <c r="X355" s="5" t="str">
        <f t="shared" si="22"/>
        <v>Normal</v>
      </c>
      <c r="Y355" s="29">
        <f t="shared" si="23"/>
        <v>2027.2996450000001</v>
      </c>
      <c r="Z355" s="4" t="s">
        <v>659</v>
      </c>
    </row>
    <row r="356" spans="1:26" ht="28.05" customHeight="1" x14ac:dyDescent="0.3">
      <c r="A356" s="5">
        <f t="shared" si="20"/>
        <v>352</v>
      </c>
      <c r="B356" s="23" t="s">
        <v>903</v>
      </c>
      <c r="C356" s="17" t="s">
        <v>904</v>
      </c>
      <c r="D356" s="4" t="s">
        <v>50</v>
      </c>
      <c r="E356" s="4" t="s">
        <v>75</v>
      </c>
      <c r="F356" s="4" t="s">
        <v>75</v>
      </c>
      <c r="G356" s="4" t="s">
        <v>171</v>
      </c>
      <c r="H356" s="4" t="s">
        <v>172</v>
      </c>
      <c r="I356" s="24" t="s">
        <v>122</v>
      </c>
      <c r="J356" s="15">
        <v>3</v>
      </c>
      <c r="K356" s="15">
        <v>2</v>
      </c>
      <c r="L356" s="15">
        <v>3</v>
      </c>
      <c r="M356" s="15">
        <v>3</v>
      </c>
      <c r="N356" s="15">
        <v>2</v>
      </c>
      <c r="O356" s="15">
        <v>3</v>
      </c>
      <c r="P356" s="15" t="s">
        <v>415</v>
      </c>
      <c r="Q356" s="23" t="s">
        <v>416</v>
      </c>
      <c r="R356" s="25">
        <f>ROUND((K356*Parametros!$B$4+L356*Parametros!$B$5+M356*Parametros!$B$6+N356*Parametros!$B$7+O356*Parametros!$B$8)/SUM(Parametros!$B$4:$B$8),2)</f>
        <v>2.5499999999999998</v>
      </c>
      <c r="S356" s="26">
        <f>IFERROR(INDEX(Parametros!$F$33:$F$42,MATCH(D356,Parametros!$A$33:$A$42,0)),1)</f>
        <v>1.0840000000000001</v>
      </c>
      <c r="T356" s="27">
        <f>IFERROR(INDEX(Parametros!$B$21:$B$26,MATCH(I356,Parametros!$A$21:$A$26,0)),0)</f>
        <v>0</v>
      </c>
      <c r="U356" s="28">
        <f t="shared" si="21"/>
        <v>2.76</v>
      </c>
      <c r="V356" s="9">
        <f>IF(U356&gt;=Parametros!$B$14,4,IF(U356&gt;=Parametros!$B$13,3,IF(U356&gt;=Parametros!$B$12,2,1)))</f>
        <v>2</v>
      </c>
      <c r="W356" s="5">
        <f>MAX(V356,IF(K356=5,Parametros!$B$17,0),IF(P356="Sim",Parametros!$B$18,0))</f>
        <v>2</v>
      </c>
      <c r="X356" s="5" t="str">
        <f t="shared" si="22"/>
        <v>Normal</v>
      </c>
      <c r="Y356" s="29">
        <f t="shared" si="23"/>
        <v>2027.2996439999999</v>
      </c>
      <c r="Z356" s="4" t="s">
        <v>659</v>
      </c>
    </row>
    <row r="357" spans="1:26" ht="28.05" customHeight="1" x14ac:dyDescent="0.3">
      <c r="A357" s="5">
        <f t="shared" si="20"/>
        <v>353</v>
      </c>
      <c r="B357" s="23" t="s">
        <v>905</v>
      </c>
      <c r="C357" s="17" t="s">
        <v>906</v>
      </c>
      <c r="D357" s="4" t="s">
        <v>50</v>
      </c>
      <c r="E357" s="4" t="s">
        <v>75</v>
      </c>
      <c r="F357" s="4" t="s">
        <v>75</v>
      </c>
      <c r="G357" s="4" t="s">
        <v>171</v>
      </c>
      <c r="H357" s="4" t="s">
        <v>172</v>
      </c>
      <c r="I357" s="24" t="s">
        <v>122</v>
      </c>
      <c r="J357" s="15">
        <v>3</v>
      </c>
      <c r="K357" s="15">
        <v>2</v>
      </c>
      <c r="L357" s="15">
        <v>3</v>
      </c>
      <c r="M357" s="15">
        <v>3</v>
      </c>
      <c r="N357" s="15">
        <v>2</v>
      </c>
      <c r="O357" s="15">
        <v>3</v>
      </c>
      <c r="P357" s="15" t="s">
        <v>415</v>
      </c>
      <c r="Q357" s="23" t="s">
        <v>416</v>
      </c>
      <c r="R357" s="25">
        <f>ROUND((K357*Parametros!$B$4+L357*Parametros!$B$5+M357*Parametros!$B$6+N357*Parametros!$B$7+O357*Parametros!$B$8)/SUM(Parametros!$B$4:$B$8),2)</f>
        <v>2.5499999999999998</v>
      </c>
      <c r="S357" s="26">
        <f>IFERROR(INDEX(Parametros!$F$33:$F$42,MATCH(D357,Parametros!$A$33:$A$42,0)),1)</f>
        <v>1.0840000000000001</v>
      </c>
      <c r="T357" s="27">
        <f>IFERROR(INDEX(Parametros!$B$21:$B$26,MATCH(I357,Parametros!$A$21:$A$26,0)),0)</f>
        <v>0</v>
      </c>
      <c r="U357" s="28">
        <f t="shared" si="21"/>
        <v>2.76</v>
      </c>
      <c r="V357" s="9">
        <f>IF(U357&gt;=Parametros!$B$14,4,IF(U357&gt;=Parametros!$B$13,3,IF(U357&gt;=Parametros!$B$12,2,1)))</f>
        <v>2</v>
      </c>
      <c r="W357" s="5">
        <f>MAX(V357,IF(K357=5,Parametros!$B$17,0),IF(P357="Sim",Parametros!$B$18,0))</f>
        <v>2</v>
      </c>
      <c r="X357" s="5" t="str">
        <f t="shared" si="22"/>
        <v>Normal</v>
      </c>
      <c r="Y357" s="29">
        <f t="shared" si="23"/>
        <v>2027.2996430000001</v>
      </c>
      <c r="Z357" s="4" t="s">
        <v>659</v>
      </c>
    </row>
    <row r="358" spans="1:26" ht="28.05" customHeight="1" x14ac:dyDescent="0.3">
      <c r="A358" s="5">
        <f t="shared" si="20"/>
        <v>354</v>
      </c>
      <c r="B358" s="23" t="s">
        <v>907</v>
      </c>
      <c r="C358" s="17" t="s">
        <v>908</v>
      </c>
      <c r="D358" s="4" t="s">
        <v>50</v>
      </c>
      <c r="E358" s="4" t="s">
        <v>75</v>
      </c>
      <c r="F358" s="4" t="s">
        <v>75</v>
      </c>
      <c r="G358" s="4" t="s">
        <v>171</v>
      </c>
      <c r="H358" s="4" t="s">
        <v>172</v>
      </c>
      <c r="I358" s="24" t="s">
        <v>122</v>
      </c>
      <c r="J358" s="15">
        <v>3</v>
      </c>
      <c r="K358" s="15">
        <v>2</v>
      </c>
      <c r="L358" s="15">
        <v>3</v>
      </c>
      <c r="M358" s="15">
        <v>3</v>
      </c>
      <c r="N358" s="15">
        <v>2</v>
      </c>
      <c r="O358" s="15">
        <v>3</v>
      </c>
      <c r="P358" s="15" t="s">
        <v>415</v>
      </c>
      <c r="Q358" s="23" t="s">
        <v>416</v>
      </c>
      <c r="R358" s="25">
        <f>ROUND((K358*Parametros!$B$4+L358*Parametros!$B$5+M358*Parametros!$B$6+N358*Parametros!$B$7+O358*Parametros!$B$8)/SUM(Parametros!$B$4:$B$8),2)</f>
        <v>2.5499999999999998</v>
      </c>
      <c r="S358" s="26">
        <f>IFERROR(INDEX(Parametros!$F$33:$F$42,MATCH(D358,Parametros!$A$33:$A$42,0)),1)</f>
        <v>1.0840000000000001</v>
      </c>
      <c r="T358" s="27">
        <f>IFERROR(INDEX(Parametros!$B$21:$B$26,MATCH(I358,Parametros!$A$21:$A$26,0)),0)</f>
        <v>0</v>
      </c>
      <c r="U358" s="28">
        <f t="shared" si="21"/>
        <v>2.76</v>
      </c>
      <c r="V358" s="9">
        <f>IF(U358&gt;=Parametros!$B$14,4,IF(U358&gt;=Parametros!$B$13,3,IF(U358&gt;=Parametros!$B$12,2,1)))</f>
        <v>2</v>
      </c>
      <c r="W358" s="5">
        <f>MAX(V358,IF(K358=5,Parametros!$B$17,0),IF(P358="Sim",Parametros!$B$18,0))</f>
        <v>2</v>
      </c>
      <c r="X358" s="5" t="str">
        <f t="shared" si="22"/>
        <v>Normal</v>
      </c>
      <c r="Y358" s="29">
        <f t="shared" si="23"/>
        <v>2027.2996419999999</v>
      </c>
      <c r="Z358" s="4" t="s">
        <v>659</v>
      </c>
    </row>
    <row r="359" spans="1:26" ht="28.05" customHeight="1" x14ac:dyDescent="0.3">
      <c r="A359" s="5">
        <f t="shared" si="20"/>
        <v>355</v>
      </c>
      <c r="B359" s="23" t="s">
        <v>909</v>
      </c>
      <c r="C359" s="17" t="s">
        <v>910</v>
      </c>
      <c r="D359" s="4" t="s">
        <v>50</v>
      </c>
      <c r="E359" s="4" t="s">
        <v>70</v>
      </c>
      <c r="F359" s="4" t="s">
        <v>70</v>
      </c>
      <c r="G359" s="4" t="s">
        <v>171</v>
      </c>
      <c r="H359" s="4" t="s">
        <v>172</v>
      </c>
      <c r="I359" s="24" t="s">
        <v>122</v>
      </c>
      <c r="J359" s="15">
        <v>3</v>
      </c>
      <c r="K359" s="15">
        <v>2</v>
      </c>
      <c r="L359" s="15">
        <v>3</v>
      </c>
      <c r="M359" s="15">
        <v>3</v>
      </c>
      <c r="N359" s="15">
        <v>2</v>
      </c>
      <c r="O359" s="15">
        <v>3</v>
      </c>
      <c r="P359" s="15" t="s">
        <v>415</v>
      </c>
      <c r="Q359" s="23" t="s">
        <v>838</v>
      </c>
      <c r="R359" s="25">
        <f>ROUND((K359*Parametros!$B$4+L359*Parametros!$B$5+M359*Parametros!$B$6+N359*Parametros!$B$7+O359*Parametros!$B$8)/SUM(Parametros!$B$4:$B$8),2)</f>
        <v>2.5499999999999998</v>
      </c>
      <c r="S359" s="26">
        <f>IFERROR(INDEX(Parametros!$F$33:$F$42,MATCH(D359,Parametros!$A$33:$A$42,0)),1)</f>
        <v>1.0840000000000001</v>
      </c>
      <c r="T359" s="27">
        <f>IFERROR(INDEX(Parametros!$B$21:$B$26,MATCH(I359,Parametros!$A$21:$A$26,0)),0)</f>
        <v>0</v>
      </c>
      <c r="U359" s="28">
        <f t="shared" si="21"/>
        <v>2.76</v>
      </c>
      <c r="V359" s="9">
        <f>IF(U359&gt;=Parametros!$B$14,4,IF(U359&gt;=Parametros!$B$13,3,IF(U359&gt;=Parametros!$B$12,2,1)))</f>
        <v>2</v>
      </c>
      <c r="W359" s="5">
        <f>MAX(V359,IF(K359=5,Parametros!$B$17,0),IF(P359="Sim",Parametros!$B$18,0))</f>
        <v>2</v>
      </c>
      <c r="X359" s="5" t="str">
        <f t="shared" si="22"/>
        <v>Normal</v>
      </c>
      <c r="Y359" s="29">
        <f t="shared" si="23"/>
        <v>2027.2996410000001</v>
      </c>
      <c r="Z359" s="4" t="s">
        <v>659</v>
      </c>
    </row>
    <row r="360" spans="1:26" ht="28.05" customHeight="1" x14ac:dyDescent="0.3">
      <c r="A360" s="5">
        <f t="shared" si="20"/>
        <v>356</v>
      </c>
      <c r="B360" s="23" t="s">
        <v>911</v>
      </c>
      <c r="C360" s="17" t="s">
        <v>912</v>
      </c>
      <c r="D360" s="4" t="s">
        <v>50</v>
      </c>
      <c r="E360" s="4" t="s">
        <v>65</v>
      </c>
      <c r="F360" s="4" t="s">
        <v>65</v>
      </c>
      <c r="G360" s="4" t="s">
        <v>107</v>
      </c>
      <c r="H360" s="4" t="s">
        <v>108</v>
      </c>
      <c r="I360" s="24" t="s">
        <v>122</v>
      </c>
      <c r="J360" s="15">
        <v>3</v>
      </c>
      <c r="K360" s="15">
        <v>2</v>
      </c>
      <c r="L360" s="15">
        <v>3</v>
      </c>
      <c r="M360" s="15">
        <v>3</v>
      </c>
      <c r="N360" s="15">
        <v>2</v>
      </c>
      <c r="O360" s="15">
        <v>3</v>
      </c>
      <c r="P360" s="15" t="s">
        <v>415</v>
      </c>
      <c r="Q360" s="23" t="s">
        <v>838</v>
      </c>
      <c r="R360" s="25">
        <f>ROUND((K360*Parametros!$B$4+L360*Parametros!$B$5+M360*Parametros!$B$6+N360*Parametros!$B$7+O360*Parametros!$B$8)/SUM(Parametros!$B$4:$B$8),2)</f>
        <v>2.5499999999999998</v>
      </c>
      <c r="S360" s="26">
        <f>IFERROR(INDEX(Parametros!$F$33:$F$42,MATCH(D360,Parametros!$A$33:$A$42,0)),1)</f>
        <v>1.0840000000000001</v>
      </c>
      <c r="T360" s="27">
        <f>IFERROR(INDEX(Parametros!$B$21:$B$26,MATCH(I360,Parametros!$A$21:$A$26,0)),0)</f>
        <v>0</v>
      </c>
      <c r="U360" s="28">
        <f t="shared" si="21"/>
        <v>2.76</v>
      </c>
      <c r="V360" s="9">
        <f>IF(U360&gt;=Parametros!$B$14,4,IF(U360&gt;=Parametros!$B$13,3,IF(U360&gt;=Parametros!$B$12,2,1)))</f>
        <v>2</v>
      </c>
      <c r="W360" s="5">
        <f>MAX(V360,IF(K360=5,Parametros!$B$17,0),IF(P360="Sim",Parametros!$B$18,0))</f>
        <v>2</v>
      </c>
      <c r="X360" s="5" t="str">
        <f t="shared" si="22"/>
        <v>Normal</v>
      </c>
      <c r="Y360" s="29">
        <f t="shared" si="23"/>
        <v>2027.29964</v>
      </c>
      <c r="Z360" s="4" t="s">
        <v>659</v>
      </c>
    </row>
    <row r="361" spans="1:26" ht="28.05" customHeight="1" x14ac:dyDescent="0.3">
      <c r="A361" s="5">
        <f t="shared" si="20"/>
        <v>357</v>
      </c>
      <c r="B361" s="23" t="s">
        <v>913</v>
      </c>
      <c r="C361" s="17" t="s">
        <v>914</v>
      </c>
      <c r="D361" s="4" t="s">
        <v>50</v>
      </c>
      <c r="E361" s="4" t="s">
        <v>70</v>
      </c>
      <c r="F361" s="4" t="s">
        <v>70</v>
      </c>
      <c r="G361" s="4" t="s">
        <v>171</v>
      </c>
      <c r="H361" s="4" t="s">
        <v>172</v>
      </c>
      <c r="I361" s="24" t="s">
        <v>122</v>
      </c>
      <c r="J361" s="15">
        <v>3</v>
      </c>
      <c r="K361" s="15">
        <v>2</v>
      </c>
      <c r="L361" s="15">
        <v>3</v>
      </c>
      <c r="M361" s="15">
        <v>3</v>
      </c>
      <c r="N361" s="15">
        <v>2</v>
      </c>
      <c r="O361" s="15">
        <v>3</v>
      </c>
      <c r="P361" s="15" t="s">
        <v>415</v>
      </c>
      <c r="Q361" s="23" t="s">
        <v>838</v>
      </c>
      <c r="R361" s="25">
        <f>ROUND((K361*Parametros!$B$4+L361*Parametros!$B$5+M361*Parametros!$B$6+N361*Parametros!$B$7+O361*Parametros!$B$8)/SUM(Parametros!$B$4:$B$8),2)</f>
        <v>2.5499999999999998</v>
      </c>
      <c r="S361" s="26">
        <f>IFERROR(INDEX(Parametros!$F$33:$F$42,MATCH(D361,Parametros!$A$33:$A$42,0)),1)</f>
        <v>1.0840000000000001</v>
      </c>
      <c r="T361" s="27">
        <f>IFERROR(INDEX(Parametros!$B$21:$B$26,MATCH(I361,Parametros!$A$21:$A$26,0)),0)</f>
        <v>0</v>
      </c>
      <c r="U361" s="28">
        <f t="shared" si="21"/>
        <v>2.76</v>
      </c>
      <c r="V361" s="9">
        <f>IF(U361&gt;=Parametros!$B$14,4,IF(U361&gt;=Parametros!$B$13,3,IF(U361&gt;=Parametros!$B$12,2,1)))</f>
        <v>2</v>
      </c>
      <c r="W361" s="5">
        <f>MAX(V361,IF(K361=5,Parametros!$B$17,0),IF(P361="Sim",Parametros!$B$18,0))</f>
        <v>2</v>
      </c>
      <c r="X361" s="5" t="str">
        <f t="shared" si="22"/>
        <v>Normal</v>
      </c>
      <c r="Y361" s="29">
        <f t="shared" si="23"/>
        <v>2027.2996389999998</v>
      </c>
      <c r="Z361" s="4" t="s">
        <v>659</v>
      </c>
    </row>
    <row r="362" spans="1:26" ht="28.05" customHeight="1" x14ac:dyDescent="0.3">
      <c r="A362" s="5">
        <f t="shared" si="20"/>
        <v>358</v>
      </c>
      <c r="B362" s="23" t="s">
        <v>915</v>
      </c>
      <c r="C362" s="17" t="s">
        <v>916</v>
      </c>
      <c r="D362" s="4" t="s">
        <v>50</v>
      </c>
      <c r="E362" s="4" t="s">
        <v>75</v>
      </c>
      <c r="F362" s="4" t="s">
        <v>75</v>
      </c>
      <c r="G362" s="4" t="s">
        <v>171</v>
      </c>
      <c r="H362" s="4" t="s">
        <v>172</v>
      </c>
      <c r="I362" s="24" t="s">
        <v>122</v>
      </c>
      <c r="J362" s="15">
        <v>3</v>
      </c>
      <c r="K362" s="15">
        <v>2</v>
      </c>
      <c r="L362" s="15">
        <v>3</v>
      </c>
      <c r="M362" s="15">
        <v>3</v>
      </c>
      <c r="N362" s="15">
        <v>2</v>
      </c>
      <c r="O362" s="15">
        <v>3</v>
      </c>
      <c r="P362" s="15" t="s">
        <v>415</v>
      </c>
      <c r="Q362" s="23" t="s">
        <v>416</v>
      </c>
      <c r="R362" s="25">
        <f>ROUND((K362*Parametros!$B$4+L362*Parametros!$B$5+M362*Parametros!$B$6+N362*Parametros!$B$7+O362*Parametros!$B$8)/SUM(Parametros!$B$4:$B$8),2)</f>
        <v>2.5499999999999998</v>
      </c>
      <c r="S362" s="26">
        <f>IFERROR(INDEX(Parametros!$F$33:$F$42,MATCH(D362,Parametros!$A$33:$A$42,0)),1)</f>
        <v>1.0840000000000001</v>
      </c>
      <c r="T362" s="27">
        <f>IFERROR(INDEX(Parametros!$B$21:$B$26,MATCH(I362,Parametros!$A$21:$A$26,0)),0)</f>
        <v>0</v>
      </c>
      <c r="U362" s="28">
        <f t="shared" si="21"/>
        <v>2.76</v>
      </c>
      <c r="V362" s="9">
        <f>IF(U362&gt;=Parametros!$B$14,4,IF(U362&gt;=Parametros!$B$13,3,IF(U362&gt;=Parametros!$B$12,2,1)))</f>
        <v>2</v>
      </c>
      <c r="W362" s="5">
        <f>MAX(V362,IF(K362=5,Parametros!$B$17,0),IF(P362="Sim",Parametros!$B$18,0))</f>
        <v>2</v>
      </c>
      <c r="X362" s="5" t="str">
        <f t="shared" si="22"/>
        <v>Normal</v>
      </c>
      <c r="Y362" s="29">
        <f t="shared" si="23"/>
        <v>2027.299638</v>
      </c>
      <c r="Z362" s="4" t="s">
        <v>659</v>
      </c>
    </row>
    <row r="363" spans="1:26" ht="28.05" customHeight="1" x14ac:dyDescent="0.3">
      <c r="A363" s="5">
        <f t="shared" si="20"/>
        <v>359</v>
      </c>
      <c r="B363" s="23" t="s">
        <v>917</v>
      </c>
      <c r="C363" s="17" t="s">
        <v>918</v>
      </c>
      <c r="D363" s="4" t="s">
        <v>50</v>
      </c>
      <c r="E363" s="4" t="s">
        <v>70</v>
      </c>
      <c r="F363" s="4" t="s">
        <v>70</v>
      </c>
      <c r="G363" s="4" t="s">
        <v>171</v>
      </c>
      <c r="H363" s="4" t="s">
        <v>172</v>
      </c>
      <c r="I363" s="24" t="s">
        <v>122</v>
      </c>
      <c r="J363" s="15">
        <v>3</v>
      </c>
      <c r="K363" s="15">
        <v>2</v>
      </c>
      <c r="L363" s="15">
        <v>3</v>
      </c>
      <c r="M363" s="15">
        <v>3</v>
      </c>
      <c r="N363" s="15">
        <v>2</v>
      </c>
      <c r="O363" s="15">
        <v>3</v>
      </c>
      <c r="P363" s="15" t="s">
        <v>415</v>
      </c>
      <c r="Q363" s="23" t="s">
        <v>838</v>
      </c>
      <c r="R363" s="25">
        <f>ROUND((K363*Parametros!$B$4+L363*Parametros!$B$5+M363*Parametros!$B$6+N363*Parametros!$B$7+O363*Parametros!$B$8)/SUM(Parametros!$B$4:$B$8),2)</f>
        <v>2.5499999999999998</v>
      </c>
      <c r="S363" s="26">
        <f>IFERROR(INDEX(Parametros!$F$33:$F$42,MATCH(D363,Parametros!$A$33:$A$42,0)),1)</f>
        <v>1.0840000000000001</v>
      </c>
      <c r="T363" s="27">
        <f>IFERROR(INDEX(Parametros!$B$21:$B$26,MATCH(I363,Parametros!$A$21:$A$26,0)),0)</f>
        <v>0</v>
      </c>
      <c r="U363" s="28">
        <f t="shared" si="21"/>
        <v>2.76</v>
      </c>
      <c r="V363" s="9">
        <f>IF(U363&gt;=Parametros!$B$14,4,IF(U363&gt;=Parametros!$B$13,3,IF(U363&gt;=Parametros!$B$12,2,1)))</f>
        <v>2</v>
      </c>
      <c r="W363" s="5">
        <f>MAX(V363,IF(K363=5,Parametros!$B$17,0),IF(P363="Sim",Parametros!$B$18,0))</f>
        <v>2</v>
      </c>
      <c r="X363" s="5" t="str">
        <f t="shared" si="22"/>
        <v>Normal</v>
      </c>
      <c r="Y363" s="29">
        <f t="shared" si="23"/>
        <v>2027.2996369999998</v>
      </c>
      <c r="Z363" s="4" t="s">
        <v>659</v>
      </c>
    </row>
    <row r="364" spans="1:26" ht="28.05" customHeight="1" x14ac:dyDescent="0.3">
      <c r="A364" s="5">
        <f t="shared" si="20"/>
        <v>360</v>
      </c>
      <c r="B364" s="23" t="s">
        <v>919</v>
      </c>
      <c r="C364" s="17" t="s">
        <v>920</v>
      </c>
      <c r="D364" s="4" t="s">
        <v>50</v>
      </c>
      <c r="E364" s="4" t="s">
        <v>75</v>
      </c>
      <c r="F364" s="4" t="s">
        <v>75</v>
      </c>
      <c r="G364" s="4" t="s">
        <v>171</v>
      </c>
      <c r="H364" s="4" t="s">
        <v>172</v>
      </c>
      <c r="I364" s="24" t="s">
        <v>122</v>
      </c>
      <c r="J364" s="15">
        <v>3</v>
      </c>
      <c r="K364" s="15">
        <v>2</v>
      </c>
      <c r="L364" s="15">
        <v>3</v>
      </c>
      <c r="M364" s="15">
        <v>3</v>
      </c>
      <c r="N364" s="15">
        <v>2</v>
      </c>
      <c r="O364" s="15">
        <v>3</v>
      </c>
      <c r="P364" s="15" t="s">
        <v>415</v>
      </c>
      <c r="Q364" s="23" t="s">
        <v>416</v>
      </c>
      <c r="R364" s="25">
        <f>ROUND((K364*Parametros!$B$4+L364*Parametros!$B$5+M364*Parametros!$B$6+N364*Parametros!$B$7+O364*Parametros!$B$8)/SUM(Parametros!$B$4:$B$8),2)</f>
        <v>2.5499999999999998</v>
      </c>
      <c r="S364" s="26">
        <f>IFERROR(INDEX(Parametros!$F$33:$F$42,MATCH(D364,Parametros!$A$33:$A$42,0)),1)</f>
        <v>1.0840000000000001</v>
      </c>
      <c r="T364" s="27">
        <f>IFERROR(INDEX(Parametros!$B$21:$B$26,MATCH(I364,Parametros!$A$21:$A$26,0)),0)</f>
        <v>0</v>
      </c>
      <c r="U364" s="28">
        <f t="shared" si="21"/>
        <v>2.76</v>
      </c>
      <c r="V364" s="9">
        <f>IF(U364&gt;=Parametros!$B$14,4,IF(U364&gt;=Parametros!$B$13,3,IF(U364&gt;=Parametros!$B$12,2,1)))</f>
        <v>2</v>
      </c>
      <c r="W364" s="5">
        <f>MAX(V364,IF(K364=5,Parametros!$B$17,0),IF(P364="Sim",Parametros!$B$18,0))</f>
        <v>2</v>
      </c>
      <c r="X364" s="5" t="str">
        <f t="shared" si="22"/>
        <v>Normal</v>
      </c>
      <c r="Y364" s="29">
        <f t="shared" si="23"/>
        <v>2027.299636</v>
      </c>
      <c r="Z364" s="4" t="s">
        <v>659</v>
      </c>
    </row>
    <row r="365" spans="1:26" ht="28.05" customHeight="1" x14ac:dyDescent="0.3">
      <c r="A365" s="5">
        <f t="shared" si="20"/>
        <v>361</v>
      </c>
      <c r="B365" s="23" t="s">
        <v>921</v>
      </c>
      <c r="C365" s="17" t="s">
        <v>922</v>
      </c>
      <c r="D365" s="4" t="s">
        <v>50</v>
      </c>
      <c r="E365" s="4" t="s">
        <v>75</v>
      </c>
      <c r="F365" s="4" t="s">
        <v>75</v>
      </c>
      <c r="G365" s="4" t="s">
        <v>171</v>
      </c>
      <c r="H365" s="4" t="s">
        <v>172</v>
      </c>
      <c r="I365" s="24" t="s">
        <v>122</v>
      </c>
      <c r="J365" s="15">
        <v>3</v>
      </c>
      <c r="K365" s="15">
        <v>2</v>
      </c>
      <c r="L365" s="15">
        <v>3</v>
      </c>
      <c r="M365" s="15">
        <v>3</v>
      </c>
      <c r="N365" s="15">
        <v>2</v>
      </c>
      <c r="O365" s="15">
        <v>3</v>
      </c>
      <c r="P365" s="15" t="s">
        <v>415</v>
      </c>
      <c r="Q365" s="23" t="s">
        <v>416</v>
      </c>
      <c r="R365" s="25">
        <f>ROUND((K365*Parametros!$B$4+L365*Parametros!$B$5+M365*Parametros!$B$6+N365*Parametros!$B$7+O365*Parametros!$B$8)/SUM(Parametros!$B$4:$B$8),2)</f>
        <v>2.5499999999999998</v>
      </c>
      <c r="S365" s="26">
        <f>IFERROR(INDEX(Parametros!$F$33:$F$42,MATCH(D365,Parametros!$A$33:$A$42,0)),1)</f>
        <v>1.0840000000000001</v>
      </c>
      <c r="T365" s="27">
        <f>IFERROR(INDEX(Parametros!$B$21:$B$26,MATCH(I365,Parametros!$A$21:$A$26,0)),0)</f>
        <v>0</v>
      </c>
      <c r="U365" s="28">
        <f t="shared" si="21"/>
        <v>2.76</v>
      </c>
      <c r="V365" s="9">
        <f>IF(U365&gt;=Parametros!$B$14,4,IF(U365&gt;=Parametros!$B$13,3,IF(U365&gt;=Parametros!$B$12,2,1)))</f>
        <v>2</v>
      </c>
      <c r="W365" s="5">
        <f>MAX(V365,IF(K365=5,Parametros!$B$17,0),IF(P365="Sim",Parametros!$B$18,0))</f>
        <v>2</v>
      </c>
      <c r="X365" s="5" t="str">
        <f t="shared" si="22"/>
        <v>Normal</v>
      </c>
      <c r="Y365" s="29">
        <f t="shared" si="23"/>
        <v>2027.2996349999999</v>
      </c>
      <c r="Z365" s="4" t="s">
        <v>659</v>
      </c>
    </row>
    <row r="366" spans="1:26" ht="28.05" customHeight="1" x14ac:dyDescent="0.3">
      <c r="A366" s="5">
        <f t="shared" si="20"/>
        <v>362</v>
      </c>
      <c r="B366" s="23" t="s">
        <v>923</v>
      </c>
      <c r="C366" s="17" t="s">
        <v>924</v>
      </c>
      <c r="D366" s="4" t="s">
        <v>50</v>
      </c>
      <c r="E366" s="4" t="s">
        <v>81</v>
      </c>
      <c r="F366" s="4" t="s">
        <v>81</v>
      </c>
      <c r="G366" s="4" t="s">
        <v>107</v>
      </c>
      <c r="H366" s="4" t="s">
        <v>108</v>
      </c>
      <c r="I366" s="24" t="s">
        <v>152</v>
      </c>
      <c r="J366" s="15">
        <v>3</v>
      </c>
      <c r="K366" s="15">
        <v>2</v>
      </c>
      <c r="L366" s="15">
        <v>3</v>
      </c>
      <c r="M366" s="15">
        <v>3</v>
      </c>
      <c r="N366" s="15">
        <v>2</v>
      </c>
      <c r="O366" s="15">
        <v>3</v>
      </c>
      <c r="P366" s="15" t="s">
        <v>415</v>
      </c>
      <c r="Q366" s="23" t="s">
        <v>838</v>
      </c>
      <c r="R366" s="25">
        <f>ROUND((K366*Parametros!$B$4+L366*Parametros!$B$5+M366*Parametros!$B$6+N366*Parametros!$B$7+O366*Parametros!$B$8)/SUM(Parametros!$B$4:$B$8),2)</f>
        <v>2.5499999999999998</v>
      </c>
      <c r="S366" s="26">
        <f>IFERROR(INDEX(Parametros!$F$33:$F$42,MATCH(D366,Parametros!$A$33:$A$42,0)),1)</f>
        <v>1.0840000000000001</v>
      </c>
      <c r="T366" s="27">
        <f>IFERROR(INDEX(Parametros!$B$21:$B$26,MATCH(I366,Parametros!$A$21:$A$26,0)),0)</f>
        <v>0</v>
      </c>
      <c r="U366" s="28">
        <f t="shared" si="21"/>
        <v>2.76</v>
      </c>
      <c r="V366" s="9">
        <f>IF(U366&gt;=Parametros!$B$14,4,IF(U366&gt;=Parametros!$B$13,3,IF(U366&gt;=Parametros!$B$12,2,1)))</f>
        <v>2</v>
      </c>
      <c r="W366" s="5">
        <f>MAX(V366,IF(K366=5,Parametros!$B$17,0),IF(P366="Sim",Parametros!$B$18,0))</f>
        <v>2</v>
      </c>
      <c r="X366" s="5" t="str">
        <f t="shared" si="22"/>
        <v>Normal</v>
      </c>
      <c r="Y366" s="29">
        <f t="shared" si="23"/>
        <v>2027.299634</v>
      </c>
      <c r="Z366" s="4" t="s">
        <v>659</v>
      </c>
    </row>
    <row r="367" spans="1:26" ht="28.05" customHeight="1" x14ac:dyDescent="0.3">
      <c r="A367" s="5">
        <f t="shared" si="20"/>
        <v>363</v>
      </c>
      <c r="B367" s="23" t="s">
        <v>925</v>
      </c>
      <c r="C367" s="17" t="s">
        <v>926</v>
      </c>
      <c r="D367" s="4" t="s">
        <v>50</v>
      </c>
      <c r="E367" s="4" t="s">
        <v>70</v>
      </c>
      <c r="F367" s="4" t="s">
        <v>70</v>
      </c>
      <c r="G367" s="4" t="s">
        <v>171</v>
      </c>
      <c r="H367" s="4" t="s">
        <v>172</v>
      </c>
      <c r="I367" s="24" t="s">
        <v>152</v>
      </c>
      <c r="J367" s="15">
        <v>3</v>
      </c>
      <c r="K367" s="15">
        <v>2</v>
      </c>
      <c r="L367" s="15">
        <v>3</v>
      </c>
      <c r="M367" s="15">
        <v>3</v>
      </c>
      <c r="N367" s="15">
        <v>2</v>
      </c>
      <c r="O367" s="15">
        <v>3</v>
      </c>
      <c r="P367" s="15" t="s">
        <v>415</v>
      </c>
      <c r="Q367" s="23" t="s">
        <v>838</v>
      </c>
      <c r="R367" s="25">
        <f>ROUND((K367*Parametros!$B$4+L367*Parametros!$B$5+M367*Parametros!$B$6+N367*Parametros!$B$7+O367*Parametros!$B$8)/SUM(Parametros!$B$4:$B$8),2)</f>
        <v>2.5499999999999998</v>
      </c>
      <c r="S367" s="26">
        <f>IFERROR(INDEX(Parametros!$F$33:$F$42,MATCH(D367,Parametros!$A$33:$A$42,0)),1)</f>
        <v>1.0840000000000001</v>
      </c>
      <c r="T367" s="27">
        <f>IFERROR(INDEX(Parametros!$B$21:$B$26,MATCH(I367,Parametros!$A$21:$A$26,0)),0)</f>
        <v>0</v>
      </c>
      <c r="U367" s="28">
        <f t="shared" si="21"/>
        <v>2.76</v>
      </c>
      <c r="V367" s="9">
        <f>IF(U367&gt;=Parametros!$B$14,4,IF(U367&gt;=Parametros!$B$13,3,IF(U367&gt;=Parametros!$B$12,2,1)))</f>
        <v>2</v>
      </c>
      <c r="W367" s="5">
        <f>MAX(V367,IF(K367=5,Parametros!$B$17,0),IF(P367="Sim",Parametros!$B$18,0))</f>
        <v>2</v>
      </c>
      <c r="X367" s="5" t="str">
        <f t="shared" si="22"/>
        <v>Normal</v>
      </c>
      <c r="Y367" s="29">
        <f t="shared" si="23"/>
        <v>2027.2996329999999</v>
      </c>
      <c r="Z367" s="4" t="s">
        <v>659</v>
      </c>
    </row>
    <row r="368" spans="1:26" ht="28.05" customHeight="1" x14ac:dyDescent="0.3">
      <c r="A368" s="5">
        <f t="shared" si="20"/>
        <v>364</v>
      </c>
      <c r="B368" s="23" t="s">
        <v>927</v>
      </c>
      <c r="C368" s="17" t="s">
        <v>928</v>
      </c>
      <c r="D368" s="4" t="s">
        <v>52</v>
      </c>
      <c r="E368" s="4" t="s">
        <v>66</v>
      </c>
      <c r="F368" s="4" t="s">
        <v>66</v>
      </c>
      <c r="G368" s="4" t="s">
        <v>171</v>
      </c>
      <c r="H368" s="4" t="s">
        <v>172</v>
      </c>
      <c r="I368" s="24" t="s">
        <v>152</v>
      </c>
      <c r="J368" s="15">
        <v>1</v>
      </c>
      <c r="K368" s="15">
        <v>3</v>
      </c>
      <c r="L368" s="15">
        <v>2</v>
      </c>
      <c r="M368" s="15">
        <v>2</v>
      </c>
      <c r="N368" s="15">
        <v>3</v>
      </c>
      <c r="O368" s="15">
        <v>3</v>
      </c>
      <c r="P368" s="15" t="s">
        <v>415</v>
      </c>
      <c r="Q368" s="23" t="s">
        <v>416</v>
      </c>
      <c r="R368" s="25">
        <f>ROUND((K368*Parametros!$B$4+L368*Parametros!$B$5+M368*Parametros!$B$6+N368*Parametros!$B$7+O368*Parametros!$B$8)/SUM(Parametros!$B$4:$B$8),2)</f>
        <v>2.6</v>
      </c>
      <c r="S368" s="26">
        <f>IFERROR(INDEX(Parametros!$F$33:$F$42,MATCH(D368,Parametros!$A$33:$A$42,0)),1)</f>
        <v>1.05</v>
      </c>
      <c r="T368" s="27">
        <f>IFERROR(INDEX(Parametros!$B$21:$B$26,MATCH(I368,Parametros!$A$21:$A$26,0)),0)</f>
        <v>0</v>
      </c>
      <c r="U368" s="28">
        <f t="shared" si="21"/>
        <v>2.73</v>
      </c>
      <c r="V368" s="9">
        <f>IF(U368&gt;=Parametros!$B$14,4,IF(U368&gt;=Parametros!$B$13,3,IF(U368&gt;=Parametros!$B$12,2,1)))</f>
        <v>2</v>
      </c>
      <c r="W368" s="5">
        <f>MAX(V368,IF(K368=5,Parametros!$B$17,0),IF(P368="Sim",Parametros!$B$18,0))</f>
        <v>2</v>
      </c>
      <c r="X368" s="5" t="str">
        <f t="shared" si="22"/>
        <v>Normal</v>
      </c>
      <c r="Y368" s="29">
        <f t="shared" si="23"/>
        <v>2027.1996320000001</v>
      </c>
      <c r="Z368" s="4" t="s">
        <v>659</v>
      </c>
    </row>
    <row r="369" spans="1:26" ht="28.05" customHeight="1" x14ac:dyDescent="0.3">
      <c r="A369" s="5">
        <f t="shared" si="20"/>
        <v>365</v>
      </c>
      <c r="B369" s="23" t="s">
        <v>929</v>
      </c>
      <c r="C369" s="17" t="s">
        <v>930</v>
      </c>
      <c r="D369" s="4" t="s">
        <v>54</v>
      </c>
      <c r="E369" s="4" t="s">
        <v>74</v>
      </c>
      <c r="F369" s="4" t="s">
        <v>74</v>
      </c>
      <c r="G369" s="4" t="s">
        <v>134</v>
      </c>
      <c r="H369" s="4" t="s">
        <v>108</v>
      </c>
      <c r="I369" s="24" t="s">
        <v>131</v>
      </c>
      <c r="J369" s="15">
        <v>3</v>
      </c>
      <c r="K369" s="15">
        <v>3</v>
      </c>
      <c r="L369" s="15">
        <v>2</v>
      </c>
      <c r="M369" s="15">
        <v>3</v>
      </c>
      <c r="N369" s="15">
        <v>3</v>
      </c>
      <c r="O369" s="15">
        <v>2</v>
      </c>
      <c r="P369" s="15" t="s">
        <v>415</v>
      </c>
      <c r="Q369" s="23" t="s">
        <v>416</v>
      </c>
      <c r="R369" s="25">
        <f>ROUND((K369*Parametros!$B$4+L369*Parametros!$B$5+M369*Parametros!$B$6+N369*Parametros!$B$7+O369*Parametros!$B$8)/SUM(Parametros!$B$4:$B$8),2)</f>
        <v>2.65</v>
      </c>
      <c r="S369" s="26">
        <f>IFERROR(INDEX(Parametros!$F$33:$F$42,MATCH(D369,Parametros!$A$33:$A$42,0)),1)</f>
        <v>1.034</v>
      </c>
      <c r="T369" s="27">
        <f>IFERROR(INDEX(Parametros!$B$21:$B$26,MATCH(I369,Parametros!$A$21:$A$26,0)),0)</f>
        <v>0</v>
      </c>
      <c r="U369" s="28">
        <f t="shared" si="21"/>
        <v>2.74</v>
      </c>
      <c r="V369" s="9">
        <f>IF(U369&gt;=Parametros!$B$14,4,IF(U369&gt;=Parametros!$B$13,3,IF(U369&gt;=Parametros!$B$12,2,1)))</f>
        <v>2</v>
      </c>
      <c r="W369" s="5">
        <f>MAX(V369,IF(K369=5,Parametros!$B$17,0),IF(P369="Sim",Parametros!$B$18,0))</f>
        <v>2</v>
      </c>
      <c r="X369" s="5" t="str">
        <f t="shared" si="22"/>
        <v>Normal</v>
      </c>
      <c r="Y369" s="29">
        <f t="shared" si="23"/>
        <v>2027.099631</v>
      </c>
      <c r="Z369" s="4" t="s">
        <v>659</v>
      </c>
    </row>
    <row r="370" spans="1:26" ht="28.05" customHeight="1" x14ac:dyDescent="0.3">
      <c r="A370" s="5">
        <f t="shared" si="20"/>
        <v>366</v>
      </c>
      <c r="B370" s="23" t="s">
        <v>931</v>
      </c>
      <c r="C370" s="17" t="s">
        <v>932</v>
      </c>
      <c r="D370" s="4" t="s">
        <v>54</v>
      </c>
      <c r="E370" s="4" t="s">
        <v>65</v>
      </c>
      <c r="F370" s="4" t="s">
        <v>65</v>
      </c>
      <c r="G370" s="4" t="s">
        <v>134</v>
      </c>
      <c r="H370" s="4" t="s">
        <v>108</v>
      </c>
      <c r="I370" s="24" t="s">
        <v>131</v>
      </c>
      <c r="J370" s="15">
        <v>3</v>
      </c>
      <c r="K370" s="15">
        <v>3</v>
      </c>
      <c r="L370" s="15">
        <v>2</v>
      </c>
      <c r="M370" s="15">
        <v>3</v>
      </c>
      <c r="N370" s="15">
        <v>3</v>
      </c>
      <c r="O370" s="15">
        <v>2</v>
      </c>
      <c r="P370" s="15" t="s">
        <v>415</v>
      </c>
      <c r="Q370" s="23" t="s">
        <v>416</v>
      </c>
      <c r="R370" s="25">
        <f>ROUND((K370*Parametros!$B$4+L370*Parametros!$B$5+M370*Parametros!$B$6+N370*Parametros!$B$7+O370*Parametros!$B$8)/SUM(Parametros!$B$4:$B$8),2)</f>
        <v>2.65</v>
      </c>
      <c r="S370" s="26">
        <f>IFERROR(INDEX(Parametros!$F$33:$F$42,MATCH(D370,Parametros!$A$33:$A$42,0)),1)</f>
        <v>1.034</v>
      </c>
      <c r="T370" s="27">
        <f>IFERROR(INDEX(Parametros!$B$21:$B$26,MATCH(I370,Parametros!$A$21:$A$26,0)),0)</f>
        <v>0</v>
      </c>
      <c r="U370" s="28">
        <f t="shared" si="21"/>
        <v>2.74</v>
      </c>
      <c r="V370" s="9">
        <f>IF(U370&gt;=Parametros!$B$14,4,IF(U370&gt;=Parametros!$B$13,3,IF(U370&gt;=Parametros!$B$12,2,1)))</f>
        <v>2</v>
      </c>
      <c r="W370" s="5">
        <f>MAX(V370,IF(K370=5,Parametros!$B$17,0),IF(P370="Sim",Parametros!$B$18,0))</f>
        <v>2</v>
      </c>
      <c r="X370" s="5" t="str">
        <f t="shared" si="22"/>
        <v>Normal</v>
      </c>
      <c r="Y370" s="29">
        <f t="shared" si="23"/>
        <v>2027.0996300000002</v>
      </c>
      <c r="Z370" s="4" t="s">
        <v>659</v>
      </c>
    </row>
    <row r="371" spans="1:26" ht="28.05" customHeight="1" x14ac:dyDescent="0.3">
      <c r="A371" s="5">
        <f t="shared" si="20"/>
        <v>367</v>
      </c>
      <c r="B371" s="23" t="s">
        <v>933</v>
      </c>
      <c r="C371" s="17" t="s">
        <v>934</v>
      </c>
      <c r="D371" s="4" t="s">
        <v>52</v>
      </c>
      <c r="E371" s="4" t="s">
        <v>66</v>
      </c>
      <c r="F371" s="4" t="s">
        <v>66</v>
      </c>
      <c r="G371" s="4" t="s">
        <v>171</v>
      </c>
      <c r="H371" s="4" t="s">
        <v>172</v>
      </c>
      <c r="I371" s="24" t="s">
        <v>152</v>
      </c>
      <c r="J371" s="15">
        <v>2</v>
      </c>
      <c r="K371" s="15">
        <v>3</v>
      </c>
      <c r="L371" s="15">
        <v>2</v>
      </c>
      <c r="M371" s="15">
        <v>2</v>
      </c>
      <c r="N371" s="15">
        <v>3</v>
      </c>
      <c r="O371" s="15">
        <v>3</v>
      </c>
      <c r="P371" s="15" t="s">
        <v>415</v>
      </c>
      <c r="Q371" s="23" t="s">
        <v>416</v>
      </c>
      <c r="R371" s="25">
        <f>ROUND((K371*Parametros!$B$4+L371*Parametros!$B$5+M371*Parametros!$B$6+N371*Parametros!$B$7+O371*Parametros!$B$8)/SUM(Parametros!$B$4:$B$8),2)</f>
        <v>2.6</v>
      </c>
      <c r="S371" s="26">
        <f>IFERROR(INDEX(Parametros!$F$33:$F$42,MATCH(D371,Parametros!$A$33:$A$42,0)),1)</f>
        <v>1.05</v>
      </c>
      <c r="T371" s="27">
        <f>IFERROR(INDEX(Parametros!$B$21:$B$26,MATCH(I371,Parametros!$A$21:$A$26,0)),0)</f>
        <v>0</v>
      </c>
      <c r="U371" s="28">
        <f t="shared" si="21"/>
        <v>2.73</v>
      </c>
      <c r="V371" s="9">
        <f>IF(U371&gt;=Parametros!$B$14,4,IF(U371&gt;=Parametros!$B$13,3,IF(U371&gt;=Parametros!$B$12,2,1)))</f>
        <v>2</v>
      </c>
      <c r="W371" s="5">
        <f>MAX(V371,IF(K371=5,Parametros!$B$17,0),IF(P371="Sim",Parametros!$B$18,0))</f>
        <v>2</v>
      </c>
      <c r="X371" s="5" t="str">
        <f t="shared" si="22"/>
        <v>Normal</v>
      </c>
      <c r="Y371" s="29">
        <f t="shared" si="23"/>
        <v>2027.0996289999998</v>
      </c>
      <c r="Z371" s="4" t="s">
        <v>659</v>
      </c>
    </row>
    <row r="372" spans="1:26" ht="28.05" customHeight="1" x14ac:dyDescent="0.3">
      <c r="A372" s="5">
        <f t="shared" si="20"/>
        <v>368</v>
      </c>
      <c r="B372" s="23" t="s">
        <v>935</v>
      </c>
      <c r="C372" s="17" t="s">
        <v>936</v>
      </c>
      <c r="D372" s="4" t="s">
        <v>53</v>
      </c>
      <c r="E372" s="4" t="s">
        <v>64</v>
      </c>
      <c r="F372" s="4" t="s">
        <v>64</v>
      </c>
      <c r="G372" s="4" t="s">
        <v>184</v>
      </c>
      <c r="H372" s="4" t="s">
        <v>185</v>
      </c>
      <c r="I372" s="24" t="s">
        <v>131</v>
      </c>
      <c r="J372" s="15">
        <v>3</v>
      </c>
      <c r="K372" s="15">
        <v>3</v>
      </c>
      <c r="L372" s="15">
        <v>3</v>
      </c>
      <c r="M372" s="15">
        <v>1</v>
      </c>
      <c r="N372" s="15">
        <v>3</v>
      </c>
      <c r="O372" s="15">
        <v>3</v>
      </c>
      <c r="P372" s="15" t="s">
        <v>415</v>
      </c>
      <c r="Q372" s="23" t="s">
        <v>416</v>
      </c>
      <c r="R372" s="25">
        <f>ROUND((K372*Parametros!$B$4+L372*Parametros!$B$5+M372*Parametros!$B$6+N372*Parametros!$B$7+O372*Parametros!$B$8)/SUM(Parametros!$B$4:$B$8),2)</f>
        <v>2.6</v>
      </c>
      <c r="S372" s="26">
        <f>IFERROR(INDEX(Parametros!$F$33:$F$42,MATCH(D372,Parametros!$A$33:$A$42,0)),1)</f>
        <v>1.05</v>
      </c>
      <c r="T372" s="27">
        <f>IFERROR(INDEX(Parametros!$B$21:$B$26,MATCH(I372,Parametros!$A$21:$A$26,0)),0)</f>
        <v>0</v>
      </c>
      <c r="U372" s="28">
        <f t="shared" si="21"/>
        <v>2.73</v>
      </c>
      <c r="V372" s="9">
        <f>IF(U372&gt;=Parametros!$B$14,4,IF(U372&gt;=Parametros!$B$13,3,IF(U372&gt;=Parametros!$B$12,2,1)))</f>
        <v>2</v>
      </c>
      <c r="W372" s="5">
        <f>MAX(V372,IF(K372=5,Parametros!$B$17,0),IF(P372="Sim",Parametros!$B$18,0))</f>
        <v>2</v>
      </c>
      <c r="X372" s="5" t="str">
        <f t="shared" si="22"/>
        <v>Normal</v>
      </c>
      <c r="Y372" s="29">
        <f t="shared" si="23"/>
        <v>2026.999628</v>
      </c>
      <c r="Z372" s="4" t="s">
        <v>659</v>
      </c>
    </row>
    <row r="373" spans="1:26" ht="28.05" customHeight="1" x14ac:dyDescent="0.3">
      <c r="A373" s="5">
        <f t="shared" si="20"/>
        <v>369</v>
      </c>
      <c r="B373" s="23" t="s">
        <v>937</v>
      </c>
      <c r="C373" s="17" t="s">
        <v>938</v>
      </c>
      <c r="D373" s="4" t="s">
        <v>53</v>
      </c>
      <c r="E373" s="4" t="s">
        <v>64</v>
      </c>
      <c r="F373" s="4" t="s">
        <v>64</v>
      </c>
      <c r="G373" s="4" t="s">
        <v>171</v>
      </c>
      <c r="H373" s="4" t="s">
        <v>172</v>
      </c>
      <c r="I373" s="24" t="s">
        <v>131</v>
      </c>
      <c r="J373" s="15">
        <v>3</v>
      </c>
      <c r="K373" s="15">
        <v>3</v>
      </c>
      <c r="L373" s="15">
        <v>3</v>
      </c>
      <c r="M373" s="15">
        <v>1</v>
      </c>
      <c r="N373" s="15">
        <v>3</v>
      </c>
      <c r="O373" s="15">
        <v>3</v>
      </c>
      <c r="P373" s="15" t="s">
        <v>415</v>
      </c>
      <c r="Q373" s="23" t="s">
        <v>838</v>
      </c>
      <c r="R373" s="25">
        <f>ROUND((K373*Parametros!$B$4+L373*Parametros!$B$5+M373*Parametros!$B$6+N373*Parametros!$B$7+O373*Parametros!$B$8)/SUM(Parametros!$B$4:$B$8),2)</f>
        <v>2.6</v>
      </c>
      <c r="S373" s="26">
        <f>IFERROR(INDEX(Parametros!$F$33:$F$42,MATCH(D373,Parametros!$A$33:$A$42,0)),1)</f>
        <v>1.05</v>
      </c>
      <c r="T373" s="27">
        <f>IFERROR(INDEX(Parametros!$B$21:$B$26,MATCH(I373,Parametros!$A$21:$A$26,0)),0)</f>
        <v>0</v>
      </c>
      <c r="U373" s="28">
        <f t="shared" si="21"/>
        <v>2.73</v>
      </c>
      <c r="V373" s="9">
        <f>IF(U373&gt;=Parametros!$B$14,4,IF(U373&gt;=Parametros!$B$13,3,IF(U373&gt;=Parametros!$B$12,2,1)))</f>
        <v>2</v>
      </c>
      <c r="W373" s="5">
        <f>MAX(V373,IF(K373=5,Parametros!$B$17,0),IF(P373="Sim",Parametros!$B$18,0))</f>
        <v>2</v>
      </c>
      <c r="X373" s="5" t="str">
        <f t="shared" si="22"/>
        <v>Normal</v>
      </c>
      <c r="Y373" s="29">
        <f t="shared" si="23"/>
        <v>2026.9996269999999</v>
      </c>
      <c r="Z373" s="4" t="s">
        <v>659</v>
      </c>
    </row>
    <row r="374" spans="1:26" ht="28.05" customHeight="1" x14ac:dyDescent="0.3">
      <c r="A374" s="5">
        <f t="shared" si="20"/>
        <v>370</v>
      </c>
      <c r="B374" s="23" t="s">
        <v>939</v>
      </c>
      <c r="C374" s="17" t="s">
        <v>940</v>
      </c>
      <c r="D374" s="4" t="s">
        <v>56</v>
      </c>
      <c r="E374" s="4" t="s">
        <v>71</v>
      </c>
      <c r="F374" s="4" t="s">
        <v>71</v>
      </c>
      <c r="G374" s="4" t="s">
        <v>112</v>
      </c>
      <c r="H374" s="4" t="s">
        <v>108</v>
      </c>
      <c r="I374" s="24" t="s">
        <v>152</v>
      </c>
      <c r="J374" s="15">
        <v>2</v>
      </c>
      <c r="K374" s="15">
        <v>3</v>
      </c>
      <c r="L374" s="15">
        <v>4</v>
      </c>
      <c r="M374" s="15">
        <v>1</v>
      </c>
      <c r="N374" s="15">
        <v>2</v>
      </c>
      <c r="O374" s="15">
        <v>3</v>
      </c>
      <c r="P374" s="15" t="s">
        <v>415</v>
      </c>
      <c r="Q374" s="23" t="s">
        <v>416</v>
      </c>
      <c r="R374" s="25">
        <f>ROUND((K374*Parametros!$B$4+L374*Parametros!$B$5+M374*Parametros!$B$6+N374*Parametros!$B$7+O374*Parametros!$B$8)/SUM(Parametros!$B$4:$B$8),2)</f>
        <v>2.65</v>
      </c>
      <c r="S374" s="26">
        <f>IFERROR(INDEX(Parametros!$F$33:$F$42,MATCH(D374,Parametros!$A$33:$A$42,0)),1)</f>
        <v>1.0169999999999999</v>
      </c>
      <c r="T374" s="27">
        <f>IFERROR(INDEX(Parametros!$B$21:$B$26,MATCH(I374,Parametros!$A$21:$A$26,0)),0)</f>
        <v>0</v>
      </c>
      <c r="U374" s="28">
        <f t="shared" si="21"/>
        <v>2.7</v>
      </c>
      <c r="V374" s="9">
        <f>IF(U374&gt;=Parametros!$B$14,4,IF(U374&gt;=Parametros!$B$13,3,IF(U374&gt;=Parametros!$B$12,2,1)))</f>
        <v>2</v>
      </c>
      <c r="W374" s="5">
        <f>MAX(V374,IF(K374=5,Parametros!$B$17,0),IF(P374="Sim",Parametros!$B$18,0))</f>
        <v>2</v>
      </c>
      <c r="X374" s="5" t="str">
        <f t="shared" si="22"/>
        <v>Normal</v>
      </c>
      <c r="Y374" s="29">
        <f t="shared" si="23"/>
        <v>2026.799626</v>
      </c>
      <c r="Z374" s="4" t="s">
        <v>309</v>
      </c>
    </row>
    <row r="375" spans="1:26" ht="28.05" customHeight="1" x14ac:dyDescent="0.3">
      <c r="A375" s="5">
        <f t="shared" si="20"/>
        <v>371</v>
      </c>
      <c r="B375" s="23" t="s">
        <v>941</v>
      </c>
      <c r="C375" s="17" t="s">
        <v>942</v>
      </c>
      <c r="D375" s="4" t="s">
        <v>55</v>
      </c>
      <c r="E375" s="4" t="s">
        <v>64</v>
      </c>
      <c r="F375" s="4" t="s">
        <v>64</v>
      </c>
      <c r="G375" s="4" t="s">
        <v>134</v>
      </c>
      <c r="H375" s="4" t="s">
        <v>108</v>
      </c>
      <c r="I375" s="24" t="s">
        <v>131</v>
      </c>
      <c r="J375" s="15">
        <v>2</v>
      </c>
      <c r="K375" s="15">
        <v>3</v>
      </c>
      <c r="L375" s="15">
        <v>3</v>
      </c>
      <c r="M375" s="15">
        <v>1</v>
      </c>
      <c r="N375" s="15">
        <v>2</v>
      </c>
      <c r="O375" s="15">
        <v>4</v>
      </c>
      <c r="P375" s="15" t="s">
        <v>415</v>
      </c>
      <c r="Q375" s="23" t="s">
        <v>416</v>
      </c>
      <c r="R375" s="25">
        <f>ROUND((K375*Parametros!$B$4+L375*Parametros!$B$5+M375*Parametros!$B$6+N375*Parametros!$B$7+O375*Parametros!$B$8)/SUM(Parametros!$B$4:$B$8),2)</f>
        <v>2.6</v>
      </c>
      <c r="S375" s="26">
        <f>IFERROR(INDEX(Parametros!$F$33:$F$42,MATCH(D375,Parametros!$A$33:$A$42,0)),1)</f>
        <v>1.034</v>
      </c>
      <c r="T375" s="27">
        <f>IFERROR(INDEX(Parametros!$B$21:$B$26,MATCH(I375,Parametros!$A$21:$A$26,0)),0)</f>
        <v>0</v>
      </c>
      <c r="U375" s="28">
        <f t="shared" si="21"/>
        <v>2.69</v>
      </c>
      <c r="V375" s="9">
        <f>IF(U375&gt;=Parametros!$B$14,4,IF(U375&gt;=Parametros!$B$13,3,IF(U375&gt;=Parametros!$B$12,2,1)))</f>
        <v>2</v>
      </c>
      <c r="W375" s="5">
        <f>MAX(V375,IF(K375=5,Parametros!$B$17,0),IF(P375="Sim",Parametros!$B$18,0))</f>
        <v>2</v>
      </c>
      <c r="X375" s="5" t="str">
        <f t="shared" si="22"/>
        <v>Normal</v>
      </c>
      <c r="Y375" s="29">
        <f t="shared" si="23"/>
        <v>2026.699625</v>
      </c>
      <c r="Z375" s="4" t="s">
        <v>322</v>
      </c>
    </row>
    <row r="376" spans="1:26" ht="28.05" customHeight="1" x14ac:dyDescent="0.3">
      <c r="A376" s="5">
        <f t="shared" si="20"/>
        <v>372</v>
      </c>
      <c r="B376" s="23" t="s">
        <v>943</v>
      </c>
      <c r="C376" s="17" t="s">
        <v>942</v>
      </c>
      <c r="D376" s="4" t="s">
        <v>55</v>
      </c>
      <c r="E376" s="4" t="s">
        <v>64</v>
      </c>
      <c r="F376" s="4" t="s">
        <v>64</v>
      </c>
      <c r="G376" s="4" t="s">
        <v>134</v>
      </c>
      <c r="H376" s="4" t="s">
        <v>108</v>
      </c>
      <c r="I376" s="24" t="s">
        <v>131</v>
      </c>
      <c r="J376" s="15">
        <v>2</v>
      </c>
      <c r="K376" s="15">
        <v>3</v>
      </c>
      <c r="L376" s="15">
        <v>3</v>
      </c>
      <c r="M376" s="15">
        <v>1</v>
      </c>
      <c r="N376" s="15">
        <v>2</v>
      </c>
      <c r="O376" s="15">
        <v>4</v>
      </c>
      <c r="P376" s="15" t="s">
        <v>415</v>
      </c>
      <c r="Q376" s="23" t="s">
        <v>416</v>
      </c>
      <c r="R376" s="25">
        <f>ROUND((K376*Parametros!$B$4+L376*Parametros!$B$5+M376*Parametros!$B$6+N376*Parametros!$B$7+O376*Parametros!$B$8)/SUM(Parametros!$B$4:$B$8),2)</f>
        <v>2.6</v>
      </c>
      <c r="S376" s="26">
        <f>IFERROR(INDEX(Parametros!$F$33:$F$42,MATCH(D376,Parametros!$A$33:$A$42,0)),1)</f>
        <v>1.034</v>
      </c>
      <c r="T376" s="27">
        <f>IFERROR(INDEX(Parametros!$B$21:$B$26,MATCH(I376,Parametros!$A$21:$A$26,0)),0)</f>
        <v>0</v>
      </c>
      <c r="U376" s="28">
        <f t="shared" si="21"/>
        <v>2.69</v>
      </c>
      <c r="V376" s="9">
        <f>IF(U376&gt;=Parametros!$B$14,4,IF(U376&gt;=Parametros!$B$13,3,IF(U376&gt;=Parametros!$B$12,2,1)))</f>
        <v>2</v>
      </c>
      <c r="W376" s="5">
        <f>MAX(V376,IF(K376=5,Parametros!$B$17,0),IF(P376="Sim",Parametros!$B$18,0))</f>
        <v>2</v>
      </c>
      <c r="X376" s="5" t="str">
        <f t="shared" si="22"/>
        <v>Normal</v>
      </c>
      <c r="Y376" s="29">
        <f t="shared" si="23"/>
        <v>2026.6996240000001</v>
      </c>
      <c r="Z376" s="4" t="s">
        <v>322</v>
      </c>
    </row>
    <row r="377" spans="1:26" ht="28.05" customHeight="1" x14ac:dyDescent="0.3">
      <c r="A377" s="5">
        <f t="shared" si="20"/>
        <v>373</v>
      </c>
      <c r="B377" s="23" t="s">
        <v>944</v>
      </c>
      <c r="C377" s="17" t="s">
        <v>945</v>
      </c>
      <c r="D377" s="4" t="s">
        <v>52</v>
      </c>
      <c r="E377" s="4" t="s">
        <v>66</v>
      </c>
      <c r="F377" s="4" t="s">
        <v>66</v>
      </c>
      <c r="G377" s="4" t="s">
        <v>171</v>
      </c>
      <c r="H377" s="4" t="s">
        <v>172</v>
      </c>
      <c r="I377" s="24" t="s">
        <v>152</v>
      </c>
      <c r="J377" s="15">
        <v>1</v>
      </c>
      <c r="K377" s="15">
        <v>3</v>
      </c>
      <c r="L377" s="15">
        <v>2</v>
      </c>
      <c r="M377" s="15">
        <v>1</v>
      </c>
      <c r="N377" s="15">
        <v>3</v>
      </c>
      <c r="O377" s="15">
        <v>4</v>
      </c>
      <c r="P377" s="15" t="s">
        <v>415</v>
      </c>
      <c r="Q377" s="23" t="s">
        <v>416</v>
      </c>
      <c r="R377" s="25">
        <f>ROUND((K377*Parametros!$B$4+L377*Parametros!$B$5+M377*Parametros!$B$6+N377*Parametros!$B$7+O377*Parametros!$B$8)/SUM(Parametros!$B$4:$B$8),2)</f>
        <v>2.5499999999999998</v>
      </c>
      <c r="S377" s="26">
        <f>IFERROR(INDEX(Parametros!$F$33:$F$42,MATCH(D377,Parametros!$A$33:$A$42,0)),1)</f>
        <v>1.05</v>
      </c>
      <c r="T377" s="27">
        <f>IFERROR(INDEX(Parametros!$B$21:$B$26,MATCH(I377,Parametros!$A$21:$A$26,0)),0)</f>
        <v>0</v>
      </c>
      <c r="U377" s="28">
        <f t="shared" si="21"/>
        <v>2.68</v>
      </c>
      <c r="V377" s="9">
        <f>IF(U377&gt;=Parametros!$B$14,4,IF(U377&gt;=Parametros!$B$13,3,IF(U377&gt;=Parametros!$B$12,2,1)))</f>
        <v>2</v>
      </c>
      <c r="W377" s="5">
        <f>MAX(V377,IF(K377=5,Parametros!$B$17,0),IF(P377="Sim",Parametros!$B$18,0))</f>
        <v>2</v>
      </c>
      <c r="X377" s="5" t="str">
        <f t="shared" si="22"/>
        <v>Normal</v>
      </c>
      <c r="Y377" s="29">
        <f t="shared" si="23"/>
        <v>2026.699623</v>
      </c>
      <c r="Z377" s="4" t="s">
        <v>322</v>
      </c>
    </row>
    <row r="378" spans="1:26" ht="28.05" customHeight="1" x14ac:dyDescent="0.3">
      <c r="A378" s="5">
        <f t="shared" si="20"/>
        <v>374</v>
      </c>
      <c r="B378" s="23" t="s">
        <v>946</v>
      </c>
      <c r="C378" s="17" t="s">
        <v>947</v>
      </c>
      <c r="D378" s="4" t="s">
        <v>55</v>
      </c>
      <c r="E378" s="4" t="s">
        <v>69</v>
      </c>
      <c r="F378" s="4" t="s">
        <v>69</v>
      </c>
      <c r="G378" s="4" t="s">
        <v>134</v>
      </c>
      <c r="H378" s="4" t="s">
        <v>108</v>
      </c>
      <c r="I378" s="24" t="s">
        <v>152</v>
      </c>
      <c r="J378" s="15">
        <v>3</v>
      </c>
      <c r="K378" s="15">
        <v>3</v>
      </c>
      <c r="L378" s="15">
        <v>3</v>
      </c>
      <c r="M378" s="15">
        <v>1</v>
      </c>
      <c r="N378" s="15">
        <v>2</v>
      </c>
      <c r="O378" s="15">
        <v>4</v>
      </c>
      <c r="P378" s="15" t="s">
        <v>415</v>
      </c>
      <c r="Q378" s="23" t="s">
        <v>416</v>
      </c>
      <c r="R378" s="25">
        <f>ROUND((K378*Parametros!$B$4+L378*Parametros!$B$5+M378*Parametros!$B$6+N378*Parametros!$B$7+O378*Parametros!$B$8)/SUM(Parametros!$B$4:$B$8),2)</f>
        <v>2.6</v>
      </c>
      <c r="S378" s="26">
        <f>IFERROR(INDEX(Parametros!$F$33:$F$42,MATCH(D378,Parametros!$A$33:$A$42,0)),1)</f>
        <v>1.034</v>
      </c>
      <c r="T378" s="27">
        <f>IFERROR(INDEX(Parametros!$B$21:$B$26,MATCH(I378,Parametros!$A$21:$A$26,0)),0)</f>
        <v>0</v>
      </c>
      <c r="U378" s="28">
        <f t="shared" si="21"/>
        <v>2.69</v>
      </c>
      <c r="V378" s="9">
        <f>IF(U378&gt;=Parametros!$B$14,4,IF(U378&gt;=Parametros!$B$13,3,IF(U378&gt;=Parametros!$B$12,2,1)))</f>
        <v>2</v>
      </c>
      <c r="W378" s="5">
        <f>MAX(V378,IF(K378=5,Parametros!$B$17,0),IF(P378="Sim",Parametros!$B$18,0))</f>
        <v>2</v>
      </c>
      <c r="X378" s="5" t="str">
        <f t="shared" si="22"/>
        <v>Normal</v>
      </c>
      <c r="Y378" s="29">
        <f t="shared" si="23"/>
        <v>2026.5996220000002</v>
      </c>
      <c r="Z378" s="4" t="s">
        <v>322</v>
      </c>
    </row>
    <row r="379" spans="1:26" ht="28.05" customHeight="1" x14ac:dyDescent="0.3">
      <c r="A379" s="5">
        <f t="shared" si="20"/>
        <v>375</v>
      </c>
      <c r="B379" s="23" t="s">
        <v>948</v>
      </c>
      <c r="C379" s="17" t="s">
        <v>949</v>
      </c>
      <c r="D379" s="4" t="s">
        <v>55</v>
      </c>
      <c r="E379" s="4" t="s">
        <v>64</v>
      </c>
      <c r="F379" s="4" t="s">
        <v>64</v>
      </c>
      <c r="G379" s="4" t="s">
        <v>134</v>
      </c>
      <c r="H379" s="4" t="s">
        <v>108</v>
      </c>
      <c r="I379" s="24" t="s">
        <v>131</v>
      </c>
      <c r="J379" s="15">
        <v>3</v>
      </c>
      <c r="K379" s="15">
        <v>3</v>
      </c>
      <c r="L379" s="15">
        <v>3</v>
      </c>
      <c r="M379" s="15">
        <v>1</v>
      </c>
      <c r="N379" s="15">
        <v>3</v>
      </c>
      <c r="O379" s="15">
        <v>3</v>
      </c>
      <c r="P379" s="15" t="s">
        <v>415</v>
      </c>
      <c r="Q379" s="23" t="s">
        <v>416</v>
      </c>
      <c r="R379" s="25">
        <f>ROUND((K379*Parametros!$B$4+L379*Parametros!$B$5+M379*Parametros!$B$6+N379*Parametros!$B$7+O379*Parametros!$B$8)/SUM(Parametros!$B$4:$B$8),2)</f>
        <v>2.6</v>
      </c>
      <c r="S379" s="26">
        <f>IFERROR(INDEX(Parametros!$F$33:$F$42,MATCH(D379,Parametros!$A$33:$A$42,0)),1)</f>
        <v>1.034</v>
      </c>
      <c r="T379" s="27">
        <f>IFERROR(INDEX(Parametros!$B$21:$B$26,MATCH(I379,Parametros!$A$21:$A$26,0)),0)</f>
        <v>0</v>
      </c>
      <c r="U379" s="28">
        <f t="shared" si="21"/>
        <v>2.69</v>
      </c>
      <c r="V379" s="9">
        <f>IF(U379&gt;=Parametros!$B$14,4,IF(U379&gt;=Parametros!$B$13,3,IF(U379&gt;=Parametros!$B$12,2,1)))</f>
        <v>2</v>
      </c>
      <c r="W379" s="5">
        <f>MAX(V379,IF(K379=5,Parametros!$B$17,0),IF(P379="Sim",Parametros!$B$18,0))</f>
        <v>2</v>
      </c>
      <c r="X379" s="5" t="str">
        <f t="shared" si="22"/>
        <v>Normal</v>
      </c>
      <c r="Y379" s="29">
        <f t="shared" si="23"/>
        <v>2026.5996210000001</v>
      </c>
      <c r="Z379" s="4" t="s">
        <v>659</v>
      </c>
    </row>
    <row r="380" spans="1:26" ht="28.05" customHeight="1" x14ac:dyDescent="0.3">
      <c r="A380" s="5">
        <f t="shared" si="20"/>
        <v>376</v>
      </c>
      <c r="B380" s="23" t="s">
        <v>950</v>
      </c>
      <c r="C380" s="17" t="s">
        <v>951</v>
      </c>
      <c r="D380" s="4" t="s">
        <v>51</v>
      </c>
      <c r="E380" s="4" t="s">
        <v>69</v>
      </c>
      <c r="F380" s="4" t="s">
        <v>69</v>
      </c>
      <c r="G380" s="4" t="s">
        <v>171</v>
      </c>
      <c r="H380" s="4" t="s">
        <v>172</v>
      </c>
      <c r="I380" s="24" t="s">
        <v>152</v>
      </c>
      <c r="J380" s="15">
        <v>1</v>
      </c>
      <c r="K380" s="15">
        <v>2</v>
      </c>
      <c r="L380" s="15">
        <v>3</v>
      </c>
      <c r="M380" s="15">
        <v>2</v>
      </c>
      <c r="N380" s="15">
        <v>3</v>
      </c>
      <c r="O380" s="15">
        <v>3</v>
      </c>
      <c r="P380" s="15" t="s">
        <v>415</v>
      </c>
      <c r="Q380" s="23" t="s">
        <v>416</v>
      </c>
      <c r="R380" s="25">
        <f>ROUND((K380*Parametros!$B$4+L380*Parametros!$B$5+M380*Parametros!$B$6+N380*Parametros!$B$7+O380*Parametros!$B$8)/SUM(Parametros!$B$4:$B$8),2)</f>
        <v>2.5</v>
      </c>
      <c r="S380" s="26">
        <f>IFERROR(INDEX(Parametros!$F$33:$F$42,MATCH(D380,Parametros!$A$33:$A$42,0)),1)</f>
        <v>1.0669999999999999</v>
      </c>
      <c r="T380" s="27">
        <f>IFERROR(INDEX(Parametros!$B$21:$B$26,MATCH(I380,Parametros!$A$21:$A$26,0)),0)</f>
        <v>0</v>
      </c>
      <c r="U380" s="28">
        <f t="shared" si="21"/>
        <v>2.67</v>
      </c>
      <c r="V380" s="9">
        <f>IF(U380&gt;=Parametros!$B$14,4,IF(U380&gt;=Parametros!$B$13,3,IF(U380&gt;=Parametros!$B$12,2,1)))</f>
        <v>2</v>
      </c>
      <c r="W380" s="5">
        <f>MAX(V380,IF(K380=5,Parametros!$B$17,0),IF(P380="Sim",Parametros!$B$18,0))</f>
        <v>2</v>
      </c>
      <c r="X380" s="5" t="str">
        <f t="shared" si="22"/>
        <v>Normal</v>
      </c>
      <c r="Y380" s="29">
        <f t="shared" si="23"/>
        <v>2026.5996200000002</v>
      </c>
      <c r="Z380" s="4" t="s">
        <v>659</v>
      </c>
    </row>
    <row r="381" spans="1:26" ht="28.05" customHeight="1" x14ac:dyDescent="0.3">
      <c r="A381" s="5">
        <f t="shared" si="20"/>
        <v>377</v>
      </c>
      <c r="B381" s="23" t="s">
        <v>952</v>
      </c>
      <c r="C381" s="17" t="s">
        <v>953</v>
      </c>
      <c r="D381" s="4" t="s">
        <v>50</v>
      </c>
      <c r="E381" s="4" t="s">
        <v>345</v>
      </c>
      <c r="F381" s="4" t="s">
        <v>539</v>
      </c>
      <c r="G381" s="4" t="s">
        <v>107</v>
      </c>
      <c r="H381" s="4" t="s">
        <v>108</v>
      </c>
      <c r="I381" s="24" t="s">
        <v>954</v>
      </c>
      <c r="J381" s="15">
        <v>2</v>
      </c>
      <c r="K381" s="15">
        <v>3</v>
      </c>
      <c r="L381" s="15">
        <v>4</v>
      </c>
      <c r="M381" s="15">
        <v>3</v>
      </c>
      <c r="N381" s="15">
        <v>1</v>
      </c>
      <c r="O381" s="15">
        <v>2</v>
      </c>
      <c r="P381" s="15" t="s">
        <v>415</v>
      </c>
      <c r="Q381" s="23" t="s">
        <v>416</v>
      </c>
      <c r="R381" s="25">
        <f>ROUND((K381*Parametros!$B$4+L381*Parametros!$B$5+M381*Parametros!$B$6+N381*Parametros!$B$7+O381*Parametros!$B$8)/SUM(Parametros!$B$4:$B$8),2)</f>
        <v>2.75</v>
      </c>
      <c r="S381" s="26">
        <f>IFERROR(INDEX(Parametros!$F$33:$F$42,MATCH(D381,Parametros!$A$33:$A$42,0)),1)</f>
        <v>1.0840000000000001</v>
      </c>
      <c r="T381" s="27">
        <f>IFERROR(INDEX(Parametros!$B$21:$B$26,MATCH(I381,Parametros!$A$21:$A$26,0)),0)</f>
        <v>-0.3</v>
      </c>
      <c r="U381" s="28">
        <f t="shared" si="21"/>
        <v>2.68</v>
      </c>
      <c r="V381" s="9">
        <f>IF(U381&gt;=Parametros!$B$14,4,IF(U381&gt;=Parametros!$B$13,3,IF(U381&gt;=Parametros!$B$12,2,1)))</f>
        <v>2</v>
      </c>
      <c r="W381" s="5">
        <f>MAX(V381,IF(K381=5,Parametros!$B$17,0),IF(P381="Sim",Parametros!$B$18,0))</f>
        <v>2</v>
      </c>
      <c r="X381" s="5" t="str">
        <f t="shared" si="22"/>
        <v>Normal</v>
      </c>
      <c r="Y381" s="29">
        <f t="shared" si="23"/>
        <v>2026.5996189999998</v>
      </c>
      <c r="Z381" s="4" t="s">
        <v>955</v>
      </c>
    </row>
    <row r="382" spans="1:26" ht="28.05" customHeight="1" x14ac:dyDescent="0.3">
      <c r="A382" s="5">
        <f t="shared" si="20"/>
        <v>378</v>
      </c>
      <c r="B382" s="23" t="s">
        <v>956</v>
      </c>
      <c r="C382" s="17" t="s">
        <v>957</v>
      </c>
      <c r="D382" s="4" t="s">
        <v>50</v>
      </c>
      <c r="E382" s="4" t="s">
        <v>389</v>
      </c>
      <c r="F382" s="4" t="s">
        <v>389</v>
      </c>
      <c r="G382" s="4" t="s">
        <v>107</v>
      </c>
      <c r="H382" s="4" t="s">
        <v>108</v>
      </c>
      <c r="I382" s="24" t="s">
        <v>954</v>
      </c>
      <c r="J382" s="15">
        <v>2</v>
      </c>
      <c r="K382" s="15">
        <v>3</v>
      </c>
      <c r="L382" s="15">
        <v>4</v>
      </c>
      <c r="M382" s="15">
        <v>3</v>
      </c>
      <c r="N382" s="15">
        <v>1</v>
      </c>
      <c r="O382" s="15">
        <v>2</v>
      </c>
      <c r="P382" s="15" t="s">
        <v>415</v>
      </c>
      <c r="Q382" s="23" t="s">
        <v>416</v>
      </c>
      <c r="R382" s="25">
        <f>ROUND((K382*Parametros!$B$4+L382*Parametros!$B$5+M382*Parametros!$B$6+N382*Parametros!$B$7+O382*Parametros!$B$8)/SUM(Parametros!$B$4:$B$8),2)</f>
        <v>2.75</v>
      </c>
      <c r="S382" s="26">
        <f>IFERROR(INDEX(Parametros!$F$33:$F$42,MATCH(D382,Parametros!$A$33:$A$42,0)),1)</f>
        <v>1.0840000000000001</v>
      </c>
      <c r="T382" s="27">
        <f>IFERROR(INDEX(Parametros!$B$21:$B$26,MATCH(I382,Parametros!$A$21:$A$26,0)),0)</f>
        <v>-0.3</v>
      </c>
      <c r="U382" s="28">
        <f t="shared" si="21"/>
        <v>2.68</v>
      </c>
      <c r="V382" s="9">
        <f>IF(U382&gt;=Parametros!$B$14,4,IF(U382&gt;=Parametros!$B$13,3,IF(U382&gt;=Parametros!$B$12,2,1)))</f>
        <v>2</v>
      </c>
      <c r="W382" s="5">
        <f>MAX(V382,IF(K382=5,Parametros!$B$17,0),IF(P382="Sim",Parametros!$B$18,0))</f>
        <v>2</v>
      </c>
      <c r="X382" s="5" t="str">
        <f t="shared" si="22"/>
        <v>Normal</v>
      </c>
      <c r="Y382" s="29">
        <f t="shared" si="23"/>
        <v>2026.599618</v>
      </c>
      <c r="Z382" s="4" t="s">
        <v>955</v>
      </c>
    </row>
    <row r="383" spans="1:26" ht="28.05" customHeight="1" x14ac:dyDescent="0.3">
      <c r="A383" s="5">
        <f t="shared" si="20"/>
        <v>379</v>
      </c>
      <c r="B383" s="23" t="s">
        <v>958</v>
      </c>
      <c r="C383" s="17" t="s">
        <v>959</v>
      </c>
      <c r="D383" s="4" t="s">
        <v>50</v>
      </c>
      <c r="E383" s="4" t="s">
        <v>389</v>
      </c>
      <c r="F383" s="4" t="s">
        <v>389</v>
      </c>
      <c r="G383" s="4" t="s">
        <v>107</v>
      </c>
      <c r="H383" s="4" t="s">
        <v>108</v>
      </c>
      <c r="I383" s="24" t="s">
        <v>954</v>
      </c>
      <c r="J383" s="15">
        <v>2</v>
      </c>
      <c r="K383" s="15">
        <v>3</v>
      </c>
      <c r="L383" s="15">
        <v>4</v>
      </c>
      <c r="M383" s="15">
        <v>3</v>
      </c>
      <c r="N383" s="15">
        <v>1</v>
      </c>
      <c r="O383" s="15">
        <v>2</v>
      </c>
      <c r="P383" s="15" t="s">
        <v>415</v>
      </c>
      <c r="Q383" s="23" t="s">
        <v>416</v>
      </c>
      <c r="R383" s="25">
        <f>ROUND((K383*Parametros!$B$4+L383*Parametros!$B$5+M383*Parametros!$B$6+N383*Parametros!$B$7+O383*Parametros!$B$8)/SUM(Parametros!$B$4:$B$8),2)</f>
        <v>2.75</v>
      </c>
      <c r="S383" s="26">
        <f>IFERROR(INDEX(Parametros!$F$33:$F$42,MATCH(D383,Parametros!$A$33:$A$42,0)),1)</f>
        <v>1.0840000000000001</v>
      </c>
      <c r="T383" s="27">
        <f>IFERROR(INDEX(Parametros!$B$21:$B$26,MATCH(I383,Parametros!$A$21:$A$26,0)),0)</f>
        <v>-0.3</v>
      </c>
      <c r="U383" s="28">
        <f t="shared" si="21"/>
        <v>2.68</v>
      </c>
      <c r="V383" s="9">
        <f>IF(U383&gt;=Parametros!$B$14,4,IF(U383&gt;=Parametros!$B$13,3,IF(U383&gt;=Parametros!$B$12,2,1)))</f>
        <v>2</v>
      </c>
      <c r="W383" s="5">
        <f>MAX(V383,IF(K383=5,Parametros!$B$17,0),IF(P383="Sim",Parametros!$B$18,0))</f>
        <v>2</v>
      </c>
      <c r="X383" s="5" t="str">
        <f t="shared" si="22"/>
        <v>Normal</v>
      </c>
      <c r="Y383" s="29">
        <f t="shared" si="23"/>
        <v>2026.5996169999999</v>
      </c>
      <c r="Z383" s="4" t="s">
        <v>955</v>
      </c>
    </row>
    <row r="384" spans="1:26" ht="28.05" customHeight="1" x14ac:dyDescent="0.3">
      <c r="A384" s="5">
        <f t="shared" si="20"/>
        <v>380</v>
      </c>
      <c r="B384" s="23" t="s">
        <v>960</v>
      </c>
      <c r="C384" s="17" t="s">
        <v>961</v>
      </c>
      <c r="D384" s="4" t="s">
        <v>52</v>
      </c>
      <c r="E384" s="4" t="s">
        <v>64</v>
      </c>
      <c r="F384" s="4" t="s">
        <v>64</v>
      </c>
      <c r="G384" s="4" t="s">
        <v>171</v>
      </c>
      <c r="H384" s="4" t="s">
        <v>172</v>
      </c>
      <c r="I384" s="24" t="s">
        <v>131</v>
      </c>
      <c r="J384" s="15">
        <v>2</v>
      </c>
      <c r="K384" s="15">
        <v>3</v>
      </c>
      <c r="L384" s="15">
        <v>3</v>
      </c>
      <c r="M384" s="15">
        <v>3</v>
      </c>
      <c r="N384" s="15">
        <v>1</v>
      </c>
      <c r="O384" s="15">
        <v>2</v>
      </c>
      <c r="P384" s="15" t="s">
        <v>415</v>
      </c>
      <c r="Q384" s="23" t="s">
        <v>838</v>
      </c>
      <c r="R384" s="25">
        <f>ROUND((K384*Parametros!$B$4+L384*Parametros!$B$5+M384*Parametros!$B$6+N384*Parametros!$B$7+O384*Parametros!$B$8)/SUM(Parametros!$B$4:$B$8),2)</f>
        <v>2.5499999999999998</v>
      </c>
      <c r="S384" s="26">
        <f>IFERROR(INDEX(Parametros!$F$33:$F$42,MATCH(D384,Parametros!$A$33:$A$42,0)),1)</f>
        <v>1.05</v>
      </c>
      <c r="T384" s="27">
        <f>IFERROR(INDEX(Parametros!$B$21:$B$26,MATCH(I384,Parametros!$A$21:$A$26,0)),0)</f>
        <v>0</v>
      </c>
      <c r="U384" s="28">
        <f t="shared" si="21"/>
        <v>2.68</v>
      </c>
      <c r="V384" s="9">
        <f>IF(U384&gt;=Parametros!$B$14,4,IF(U384&gt;=Parametros!$B$13,3,IF(U384&gt;=Parametros!$B$12,2,1)))</f>
        <v>2</v>
      </c>
      <c r="W384" s="5">
        <f>MAX(V384,IF(K384=5,Parametros!$B$17,0),IF(P384="Sim",Parametros!$B$18,0))</f>
        <v>2</v>
      </c>
      <c r="X384" s="5" t="str">
        <f t="shared" si="22"/>
        <v>Normal</v>
      </c>
      <c r="Y384" s="29">
        <f t="shared" si="23"/>
        <v>2026.599616</v>
      </c>
      <c r="Z384" s="4" t="s">
        <v>659</v>
      </c>
    </row>
    <row r="385" spans="1:26" ht="28.05" customHeight="1" x14ac:dyDescent="0.3">
      <c r="A385" s="5">
        <f t="shared" si="20"/>
        <v>381</v>
      </c>
      <c r="B385" s="23" t="s">
        <v>962</v>
      </c>
      <c r="C385" s="17" t="s">
        <v>963</v>
      </c>
      <c r="D385" s="4" t="s">
        <v>52</v>
      </c>
      <c r="E385" s="4" t="s">
        <v>64</v>
      </c>
      <c r="F385" s="4" t="s">
        <v>64</v>
      </c>
      <c r="G385" s="4" t="s">
        <v>171</v>
      </c>
      <c r="H385" s="4" t="s">
        <v>172</v>
      </c>
      <c r="I385" s="24" t="s">
        <v>152</v>
      </c>
      <c r="J385" s="15">
        <v>2</v>
      </c>
      <c r="K385" s="15">
        <v>2</v>
      </c>
      <c r="L385" s="15">
        <v>3</v>
      </c>
      <c r="M385" s="15">
        <v>3</v>
      </c>
      <c r="N385" s="15">
        <v>2</v>
      </c>
      <c r="O385" s="15">
        <v>3</v>
      </c>
      <c r="P385" s="15" t="s">
        <v>415</v>
      </c>
      <c r="Q385" s="23" t="s">
        <v>416</v>
      </c>
      <c r="R385" s="25">
        <f>ROUND((K385*Parametros!$B$4+L385*Parametros!$B$5+M385*Parametros!$B$6+N385*Parametros!$B$7+O385*Parametros!$B$8)/SUM(Parametros!$B$4:$B$8),2)</f>
        <v>2.5499999999999998</v>
      </c>
      <c r="S385" s="26">
        <f>IFERROR(INDEX(Parametros!$F$33:$F$42,MATCH(D385,Parametros!$A$33:$A$42,0)),1)</f>
        <v>1.05</v>
      </c>
      <c r="T385" s="27">
        <f>IFERROR(INDEX(Parametros!$B$21:$B$26,MATCH(I385,Parametros!$A$21:$A$26,0)),0)</f>
        <v>0</v>
      </c>
      <c r="U385" s="28">
        <f t="shared" si="21"/>
        <v>2.68</v>
      </c>
      <c r="V385" s="9">
        <f>IF(U385&gt;=Parametros!$B$14,4,IF(U385&gt;=Parametros!$B$13,3,IF(U385&gt;=Parametros!$B$12,2,1)))</f>
        <v>2</v>
      </c>
      <c r="W385" s="5">
        <f>MAX(V385,IF(K385=5,Parametros!$B$17,0),IF(P385="Sim",Parametros!$B$18,0))</f>
        <v>2</v>
      </c>
      <c r="X385" s="5" t="str">
        <f t="shared" si="22"/>
        <v>Normal</v>
      </c>
      <c r="Y385" s="29">
        <f t="shared" si="23"/>
        <v>2026.5996149999999</v>
      </c>
      <c r="Z385" s="4" t="s">
        <v>659</v>
      </c>
    </row>
    <row r="386" spans="1:26" ht="28.05" customHeight="1" x14ac:dyDescent="0.3">
      <c r="A386" s="5">
        <f t="shared" si="20"/>
        <v>382</v>
      </c>
      <c r="B386" s="23" t="s">
        <v>964</v>
      </c>
      <c r="C386" s="17" t="s">
        <v>965</v>
      </c>
      <c r="D386" s="4" t="s">
        <v>52</v>
      </c>
      <c r="E386" s="4" t="s">
        <v>65</v>
      </c>
      <c r="F386" s="4" t="s">
        <v>65</v>
      </c>
      <c r="G386" s="4" t="s">
        <v>171</v>
      </c>
      <c r="H386" s="4" t="s">
        <v>172</v>
      </c>
      <c r="I386" s="24" t="s">
        <v>131</v>
      </c>
      <c r="J386" s="15">
        <v>3</v>
      </c>
      <c r="K386" s="15">
        <v>2</v>
      </c>
      <c r="L386" s="15">
        <v>3</v>
      </c>
      <c r="M386" s="15">
        <v>3</v>
      </c>
      <c r="N386" s="15">
        <v>2</v>
      </c>
      <c r="O386" s="15">
        <v>3</v>
      </c>
      <c r="P386" s="15" t="s">
        <v>415</v>
      </c>
      <c r="Q386" s="23" t="s">
        <v>838</v>
      </c>
      <c r="R386" s="25">
        <f>ROUND((K386*Parametros!$B$4+L386*Parametros!$B$5+M386*Parametros!$B$6+N386*Parametros!$B$7+O386*Parametros!$B$8)/SUM(Parametros!$B$4:$B$8),2)</f>
        <v>2.5499999999999998</v>
      </c>
      <c r="S386" s="26">
        <f>IFERROR(INDEX(Parametros!$F$33:$F$42,MATCH(D386,Parametros!$A$33:$A$42,0)),1)</f>
        <v>1.05</v>
      </c>
      <c r="T386" s="27">
        <f>IFERROR(INDEX(Parametros!$B$21:$B$26,MATCH(I386,Parametros!$A$21:$A$26,0)),0)</f>
        <v>0</v>
      </c>
      <c r="U386" s="28">
        <f t="shared" si="21"/>
        <v>2.68</v>
      </c>
      <c r="V386" s="9">
        <f>IF(U386&gt;=Parametros!$B$14,4,IF(U386&gt;=Parametros!$B$13,3,IF(U386&gt;=Parametros!$B$12,2,1)))</f>
        <v>2</v>
      </c>
      <c r="W386" s="5">
        <f>MAX(V386,IF(K386=5,Parametros!$B$17,0),IF(P386="Sim",Parametros!$B$18,0))</f>
        <v>2</v>
      </c>
      <c r="X386" s="5" t="str">
        <f t="shared" si="22"/>
        <v>Normal</v>
      </c>
      <c r="Y386" s="29">
        <f t="shared" si="23"/>
        <v>2026.4996140000001</v>
      </c>
      <c r="Z386" s="4" t="s">
        <v>659</v>
      </c>
    </row>
    <row r="387" spans="1:26" ht="28.05" customHeight="1" x14ac:dyDescent="0.3">
      <c r="A387" s="5">
        <f t="shared" si="20"/>
        <v>383</v>
      </c>
      <c r="B387" s="23" t="s">
        <v>966</v>
      </c>
      <c r="C387" s="17" t="s">
        <v>967</v>
      </c>
      <c r="D387" s="4" t="s">
        <v>52</v>
      </c>
      <c r="E387" s="4" t="s">
        <v>65</v>
      </c>
      <c r="F387" s="4" t="s">
        <v>65</v>
      </c>
      <c r="G387" s="4" t="s">
        <v>171</v>
      </c>
      <c r="H387" s="4" t="s">
        <v>172</v>
      </c>
      <c r="I387" s="24" t="s">
        <v>109</v>
      </c>
      <c r="J387" s="15">
        <v>2</v>
      </c>
      <c r="K387" s="15">
        <v>3</v>
      </c>
      <c r="L387" s="15">
        <v>2</v>
      </c>
      <c r="M387" s="15">
        <v>1</v>
      </c>
      <c r="N387" s="15">
        <v>2</v>
      </c>
      <c r="O387" s="15">
        <v>3</v>
      </c>
      <c r="P387" s="15" t="s">
        <v>415</v>
      </c>
      <c r="Q387" s="23" t="s">
        <v>838</v>
      </c>
      <c r="R387" s="25">
        <f>ROUND((K387*Parametros!$B$4+L387*Parametros!$B$5+M387*Parametros!$B$6+N387*Parametros!$B$7+O387*Parametros!$B$8)/SUM(Parametros!$B$4:$B$8),2)</f>
        <v>2.25</v>
      </c>
      <c r="S387" s="26">
        <f>IFERROR(INDEX(Parametros!$F$33:$F$42,MATCH(D387,Parametros!$A$33:$A$42,0)),1)</f>
        <v>1.05</v>
      </c>
      <c r="T387" s="27">
        <f>IFERROR(INDEX(Parametros!$B$21:$B$26,MATCH(I387,Parametros!$A$21:$A$26,0)),0)</f>
        <v>0.3</v>
      </c>
      <c r="U387" s="28">
        <f t="shared" si="21"/>
        <v>2.66</v>
      </c>
      <c r="V387" s="9">
        <f>IF(U387&gt;=Parametros!$B$14,4,IF(U387&gt;=Parametros!$B$13,3,IF(U387&gt;=Parametros!$B$12,2,1)))</f>
        <v>2</v>
      </c>
      <c r="W387" s="5">
        <f>MAX(V387,IF(K387=5,Parametros!$B$17,0),IF(P387="Sim",Parametros!$B$18,0))</f>
        <v>2</v>
      </c>
      <c r="X387" s="5" t="str">
        <f t="shared" si="22"/>
        <v>Normal</v>
      </c>
      <c r="Y387" s="29">
        <f t="shared" si="23"/>
        <v>2026.3996129999998</v>
      </c>
      <c r="Z387" s="4" t="s">
        <v>348</v>
      </c>
    </row>
    <row r="388" spans="1:26" ht="28.05" customHeight="1" x14ac:dyDescent="0.3">
      <c r="A388" s="5">
        <f t="shared" si="20"/>
        <v>384</v>
      </c>
      <c r="B388" s="23" t="s">
        <v>968</v>
      </c>
      <c r="C388" s="17" t="s">
        <v>969</v>
      </c>
      <c r="D388" s="4" t="s">
        <v>52</v>
      </c>
      <c r="E388" s="4" t="s">
        <v>64</v>
      </c>
      <c r="F388" s="4" t="s">
        <v>64</v>
      </c>
      <c r="G388" s="4" t="s">
        <v>171</v>
      </c>
      <c r="H388" s="4" t="s">
        <v>172</v>
      </c>
      <c r="I388" s="24" t="s">
        <v>131</v>
      </c>
      <c r="J388" s="15">
        <v>4</v>
      </c>
      <c r="K388" s="15">
        <v>2</v>
      </c>
      <c r="L388" s="15">
        <v>3</v>
      </c>
      <c r="M388" s="15">
        <v>3</v>
      </c>
      <c r="N388" s="15">
        <v>2</v>
      </c>
      <c r="O388" s="15">
        <v>3</v>
      </c>
      <c r="P388" s="15" t="s">
        <v>415</v>
      </c>
      <c r="Q388" s="23" t="s">
        <v>416</v>
      </c>
      <c r="R388" s="25">
        <f>ROUND((K388*Parametros!$B$4+L388*Parametros!$B$5+M388*Parametros!$B$6+N388*Parametros!$B$7+O388*Parametros!$B$8)/SUM(Parametros!$B$4:$B$8),2)</f>
        <v>2.5499999999999998</v>
      </c>
      <c r="S388" s="26">
        <f>IFERROR(INDEX(Parametros!$F$33:$F$42,MATCH(D388,Parametros!$A$33:$A$42,0)),1)</f>
        <v>1.05</v>
      </c>
      <c r="T388" s="27">
        <f>IFERROR(INDEX(Parametros!$B$21:$B$26,MATCH(I388,Parametros!$A$21:$A$26,0)),0)</f>
        <v>0</v>
      </c>
      <c r="U388" s="28">
        <f t="shared" si="21"/>
        <v>2.68</v>
      </c>
      <c r="V388" s="9">
        <f>IF(U388&gt;=Parametros!$B$14,4,IF(U388&gt;=Parametros!$B$13,3,IF(U388&gt;=Parametros!$B$12,2,1)))</f>
        <v>2</v>
      </c>
      <c r="W388" s="5">
        <f>MAX(V388,IF(K388=5,Parametros!$B$17,0),IF(P388="Sim",Parametros!$B$18,0))</f>
        <v>2</v>
      </c>
      <c r="X388" s="5" t="str">
        <f t="shared" si="22"/>
        <v>Normal</v>
      </c>
      <c r="Y388" s="29">
        <f t="shared" si="23"/>
        <v>2026.3996119999999</v>
      </c>
      <c r="Z388" s="4" t="s">
        <v>659</v>
      </c>
    </row>
    <row r="389" spans="1:26" ht="28.05" customHeight="1" x14ac:dyDescent="0.3">
      <c r="A389" s="5">
        <f t="shared" ref="A389:A452" si="24">IF(Y389="","",COUNTIF($Y$5:$Y$983,"&gt;"&amp;Y389)+1)</f>
        <v>385</v>
      </c>
      <c r="B389" s="23" t="s">
        <v>970</v>
      </c>
      <c r="C389" s="17" t="s">
        <v>971</v>
      </c>
      <c r="D389" s="4" t="s">
        <v>50</v>
      </c>
      <c r="E389" s="4" t="s">
        <v>72</v>
      </c>
      <c r="F389" s="4" t="s">
        <v>72</v>
      </c>
      <c r="G389" s="4" t="s">
        <v>184</v>
      </c>
      <c r="H389" s="4" t="s">
        <v>185</v>
      </c>
      <c r="I389" s="24" t="s">
        <v>122</v>
      </c>
      <c r="J389" s="15">
        <v>3</v>
      </c>
      <c r="K389" s="15">
        <v>3</v>
      </c>
      <c r="L389" s="15">
        <v>3</v>
      </c>
      <c r="M389" s="15">
        <v>1</v>
      </c>
      <c r="N389" s="15">
        <v>2</v>
      </c>
      <c r="O389" s="15">
        <v>3</v>
      </c>
      <c r="P389" s="15" t="s">
        <v>415</v>
      </c>
      <c r="Q389" s="23" t="s">
        <v>838</v>
      </c>
      <c r="R389" s="25">
        <f>ROUND((K389*Parametros!$B$4+L389*Parametros!$B$5+M389*Parametros!$B$6+N389*Parametros!$B$7+O389*Parametros!$B$8)/SUM(Parametros!$B$4:$B$8),2)</f>
        <v>2.4500000000000002</v>
      </c>
      <c r="S389" s="26">
        <f>IFERROR(INDEX(Parametros!$F$33:$F$42,MATCH(D389,Parametros!$A$33:$A$42,0)),1)</f>
        <v>1.0840000000000001</v>
      </c>
      <c r="T389" s="27">
        <f>IFERROR(INDEX(Parametros!$B$21:$B$26,MATCH(I389,Parametros!$A$21:$A$26,0)),0)</f>
        <v>0</v>
      </c>
      <c r="U389" s="28">
        <f t="shared" ref="U389:U452" si="25">ROUND(R389*S389+T389,2)</f>
        <v>2.66</v>
      </c>
      <c r="V389" s="9">
        <f>IF(U389&gt;=Parametros!$B$14,4,IF(U389&gt;=Parametros!$B$13,3,IF(U389&gt;=Parametros!$B$12,2,1)))</f>
        <v>2</v>
      </c>
      <c r="W389" s="5">
        <f>MAX(V389,IF(K389=5,Parametros!$B$17,0),IF(P389="Sim",Parametros!$B$18,0))</f>
        <v>2</v>
      </c>
      <c r="X389" s="5" t="str">
        <f t="shared" ref="X389:X452" si="26">CHOOSE(W389,"Baixa","Normal","Alta","Urgente")</f>
        <v>Normal</v>
      </c>
      <c r="Y389" s="29">
        <f t="shared" ref="Y389:Y452" si="27">W389*1000+U389*10-J389/10-ROW()/1000000</f>
        <v>2026.2996109999999</v>
      </c>
      <c r="Z389" s="4" t="s">
        <v>659</v>
      </c>
    </row>
    <row r="390" spans="1:26" ht="28.05" customHeight="1" x14ac:dyDescent="0.3">
      <c r="A390" s="5">
        <f t="shared" si="24"/>
        <v>386</v>
      </c>
      <c r="B390" s="23" t="s">
        <v>972</v>
      </c>
      <c r="C390" s="17" t="s">
        <v>973</v>
      </c>
      <c r="D390" s="4" t="s">
        <v>50</v>
      </c>
      <c r="E390" s="4" t="s">
        <v>389</v>
      </c>
      <c r="F390" s="4" t="s">
        <v>389</v>
      </c>
      <c r="G390" s="4" t="s">
        <v>171</v>
      </c>
      <c r="H390" s="4" t="s">
        <v>172</v>
      </c>
      <c r="I390" s="24" t="s">
        <v>131</v>
      </c>
      <c r="J390" s="15">
        <v>3</v>
      </c>
      <c r="K390" s="15">
        <v>2</v>
      </c>
      <c r="L390" s="15">
        <v>4</v>
      </c>
      <c r="M390" s="15">
        <v>3</v>
      </c>
      <c r="N390" s="15">
        <v>1</v>
      </c>
      <c r="O390" s="15">
        <v>2</v>
      </c>
      <c r="P390" s="15" t="s">
        <v>415</v>
      </c>
      <c r="Q390" s="23" t="s">
        <v>416</v>
      </c>
      <c r="R390" s="25">
        <f>ROUND((K390*Parametros!$B$4+L390*Parametros!$B$5+M390*Parametros!$B$6+N390*Parametros!$B$7+O390*Parametros!$B$8)/SUM(Parametros!$B$4:$B$8),2)</f>
        <v>2.4500000000000002</v>
      </c>
      <c r="S390" s="26">
        <f>IFERROR(INDEX(Parametros!$F$33:$F$42,MATCH(D390,Parametros!$A$33:$A$42,0)),1)</f>
        <v>1.0840000000000001</v>
      </c>
      <c r="T390" s="27">
        <f>IFERROR(INDEX(Parametros!$B$21:$B$26,MATCH(I390,Parametros!$A$21:$A$26,0)),0)</f>
        <v>0</v>
      </c>
      <c r="U390" s="28">
        <f t="shared" si="25"/>
        <v>2.66</v>
      </c>
      <c r="V390" s="9">
        <f>IF(U390&gt;=Parametros!$B$14,4,IF(U390&gt;=Parametros!$B$13,3,IF(U390&gt;=Parametros!$B$12,2,1)))</f>
        <v>2</v>
      </c>
      <c r="W390" s="5">
        <f>MAX(V390,IF(K390=5,Parametros!$B$17,0),IF(P390="Sim",Parametros!$B$18,0))</f>
        <v>2</v>
      </c>
      <c r="X390" s="5" t="str">
        <f t="shared" si="26"/>
        <v>Normal</v>
      </c>
      <c r="Y390" s="29">
        <f t="shared" si="27"/>
        <v>2026.29961</v>
      </c>
      <c r="Z390" s="4" t="s">
        <v>309</v>
      </c>
    </row>
    <row r="391" spans="1:26" ht="28.05" customHeight="1" x14ac:dyDescent="0.3">
      <c r="A391" s="5">
        <f t="shared" si="24"/>
        <v>387</v>
      </c>
      <c r="B391" s="23" t="s">
        <v>974</v>
      </c>
      <c r="C391" s="17" t="s">
        <v>975</v>
      </c>
      <c r="D391" s="4" t="s">
        <v>51</v>
      </c>
      <c r="E391" s="4" t="s">
        <v>64</v>
      </c>
      <c r="F391" s="4" t="s">
        <v>64</v>
      </c>
      <c r="G391" s="4" t="s">
        <v>134</v>
      </c>
      <c r="H391" s="4" t="s">
        <v>108</v>
      </c>
      <c r="I391" s="24" t="s">
        <v>131</v>
      </c>
      <c r="J391" s="15">
        <v>4</v>
      </c>
      <c r="K391" s="15">
        <v>2</v>
      </c>
      <c r="L391" s="15">
        <v>3</v>
      </c>
      <c r="M391" s="15">
        <v>2</v>
      </c>
      <c r="N391" s="15">
        <v>4</v>
      </c>
      <c r="O391" s="15">
        <v>2</v>
      </c>
      <c r="P391" s="15" t="s">
        <v>415</v>
      </c>
      <c r="Q391" s="23" t="s">
        <v>416</v>
      </c>
      <c r="R391" s="25">
        <f>ROUND((K391*Parametros!$B$4+L391*Parametros!$B$5+M391*Parametros!$B$6+N391*Parametros!$B$7+O391*Parametros!$B$8)/SUM(Parametros!$B$4:$B$8),2)</f>
        <v>2.5</v>
      </c>
      <c r="S391" s="26">
        <f>IFERROR(INDEX(Parametros!$F$33:$F$42,MATCH(D391,Parametros!$A$33:$A$42,0)),1)</f>
        <v>1.0669999999999999</v>
      </c>
      <c r="T391" s="27">
        <f>IFERROR(INDEX(Parametros!$B$21:$B$26,MATCH(I391,Parametros!$A$21:$A$26,0)),0)</f>
        <v>0</v>
      </c>
      <c r="U391" s="28">
        <f t="shared" si="25"/>
        <v>2.67</v>
      </c>
      <c r="V391" s="9">
        <f>IF(U391&gt;=Parametros!$B$14,4,IF(U391&gt;=Parametros!$B$13,3,IF(U391&gt;=Parametros!$B$12,2,1)))</f>
        <v>2</v>
      </c>
      <c r="W391" s="5">
        <f>MAX(V391,IF(K391=5,Parametros!$B$17,0),IF(P391="Sim",Parametros!$B$18,0))</f>
        <v>2</v>
      </c>
      <c r="X391" s="5" t="str">
        <f t="shared" si="26"/>
        <v>Normal</v>
      </c>
      <c r="Y391" s="29">
        <f t="shared" si="27"/>
        <v>2026.2996089999999</v>
      </c>
      <c r="Z391" s="4" t="s">
        <v>653</v>
      </c>
    </row>
    <row r="392" spans="1:26" ht="28.05" customHeight="1" x14ac:dyDescent="0.3">
      <c r="A392" s="5">
        <f t="shared" si="24"/>
        <v>388</v>
      </c>
      <c r="B392" s="23" t="s">
        <v>976</v>
      </c>
      <c r="C392" s="17" t="s">
        <v>942</v>
      </c>
      <c r="D392" s="4" t="s">
        <v>56</v>
      </c>
      <c r="E392" s="4" t="s">
        <v>64</v>
      </c>
      <c r="F392" s="4" t="s">
        <v>64</v>
      </c>
      <c r="G392" s="4" t="s">
        <v>134</v>
      </c>
      <c r="H392" s="4" t="s">
        <v>108</v>
      </c>
      <c r="I392" s="24" t="s">
        <v>131</v>
      </c>
      <c r="J392" s="15">
        <v>2</v>
      </c>
      <c r="K392" s="15">
        <v>3</v>
      </c>
      <c r="L392" s="15">
        <v>3</v>
      </c>
      <c r="M392" s="15">
        <v>1</v>
      </c>
      <c r="N392" s="15">
        <v>2</v>
      </c>
      <c r="O392" s="15">
        <v>4</v>
      </c>
      <c r="P392" s="15" t="s">
        <v>415</v>
      </c>
      <c r="Q392" s="23" t="s">
        <v>416</v>
      </c>
      <c r="R392" s="25">
        <f>ROUND((K392*Parametros!$B$4+L392*Parametros!$B$5+M392*Parametros!$B$6+N392*Parametros!$B$7+O392*Parametros!$B$8)/SUM(Parametros!$B$4:$B$8),2)</f>
        <v>2.6</v>
      </c>
      <c r="S392" s="26">
        <f>IFERROR(INDEX(Parametros!$F$33:$F$42,MATCH(D392,Parametros!$A$33:$A$42,0)),1)</f>
        <v>1.0169999999999999</v>
      </c>
      <c r="T392" s="27">
        <f>IFERROR(INDEX(Parametros!$B$21:$B$26,MATCH(I392,Parametros!$A$21:$A$26,0)),0)</f>
        <v>0</v>
      </c>
      <c r="U392" s="28">
        <f t="shared" si="25"/>
        <v>2.64</v>
      </c>
      <c r="V392" s="9">
        <f>IF(U392&gt;=Parametros!$B$14,4,IF(U392&gt;=Parametros!$B$13,3,IF(U392&gt;=Parametros!$B$12,2,1)))</f>
        <v>2</v>
      </c>
      <c r="W392" s="5">
        <f>MAX(V392,IF(K392=5,Parametros!$B$17,0),IF(P392="Sim",Parametros!$B$18,0))</f>
        <v>2</v>
      </c>
      <c r="X392" s="5" t="str">
        <f t="shared" si="26"/>
        <v>Normal</v>
      </c>
      <c r="Y392" s="29">
        <f t="shared" si="27"/>
        <v>2026.1996080000001</v>
      </c>
      <c r="Z392" s="4" t="s">
        <v>322</v>
      </c>
    </row>
    <row r="393" spans="1:26" ht="28.05" customHeight="1" x14ac:dyDescent="0.3">
      <c r="A393" s="5">
        <f t="shared" si="24"/>
        <v>389</v>
      </c>
      <c r="B393" s="23" t="s">
        <v>977</v>
      </c>
      <c r="C393" s="17" t="s">
        <v>978</v>
      </c>
      <c r="D393" s="4" t="s">
        <v>55</v>
      </c>
      <c r="E393" s="4" t="s">
        <v>69</v>
      </c>
      <c r="F393" s="4" t="s">
        <v>69</v>
      </c>
      <c r="G393" s="4" t="s">
        <v>112</v>
      </c>
      <c r="H393" s="4" t="s">
        <v>108</v>
      </c>
      <c r="I393" s="24" t="s">
        <v>152</v>
      </c>
      <c r="J393" s="15">
        <v>2</v>
      </c>
      <c r="K393" s="15">
        <v>3</v>
      </c>
      <c r="L393" s="15">
        <v>2</v>
      </c>
      <c r="M393" s="15">
        <v>1</v>
      </c>
      <c r="N393" s="15">
        <v>5</v>
      </c>
      <c r="O393" s="15">
        <v>2</v>
      </c>
      <c r="P393" s="15" t="s">
        <v>415</v>
      </c>
      <c r="Q393" s="23" t="s">
        <v>416</v>
      </c>
      <c r="R393" s="25">
        <f>ROUND((K393*Parametros!$B$4+L393*Parametros!$B$5+M393*Parametros!$B$6+N393*Parametros!$B$7+O393*Parametros!$B$8)/SUM(Parametros!$B$4:$B$8),2)</f>
        <v>2.5499999999999998</v>
      </c>
      <c r="S393" s="26">
        <f>IFERROR(INDEX(Parametros!$F$33:$F$42,MATCH(D393,Parametros!$A$33:$A$42,0)),1)</f>
        <v>1.034</v>
      </c>
      <c r="T393" s="27">
        <f>IFERROR(INDEX(Parametros!$B$21:$B$26,MATCH(I393,Parametros!$A$21:$A$26,0)),0)</f>
        <v>0</v>
      </c>
      <c r="U393" s="28">
        <f t="shared" si="25"/>
        <v>2.64</v>
      </c>
      <c r="V393" s="9">
        <f>IF(U393&gt;=Parametros!$B$14,4,IF(U393&gt;=Parametros!$B$13,3,IF(U393&gt;=Parametros!$B$12,2,1)))</f>
        <v>2</v>
      </c>
      <c r="W393" s="5">
        <f>MAX(V393,IF(K393=5,Parametros!$B$17,0),IF(P393="Sim",Parametros!$B$18,0))</f>
        <v>2</v>
      </c>
      <c r="X393" s="5" t="str">
        <f t="shared" si="26"/>
        <v>Normal</v>
      </c>
      <c r="Y393" s="29">
        <f t="shared" si="27"/>
        <v>2026.199607</v>
      </c>
      <c r="Z393" s="4" t="s">
        <v>656</v>
      </c>
    </row>
    <row r="394" spans="1:26" ht="28.05" customHeight="1" x14ac:dyDescent="0.3">
      <c r="A394" s="5">
        <f t="shared" si="24"/>
        <v>390</v>
      </c>
      <c r="B394" s="23" t="s">
        <v>979</v>
      </c>
      <c r="C394" s="17" t="s">
        <v>980</v>
      </c>
      <c r="D394" s="4" t="s">
        <v>54</v>
      </c>
      <c r="E394" s="4" t="s">
        <v>69</v>
      </c>
      <c r="F394" s="4" t="s">
        <v>69</v>
      </c>
      <c r="G394" s="4" t="s">
        <v>112</v>
      </c>
      <c r="H394" s="4" t="s">
        <v>108</v>
      </c>
      <c r="I394" s="24" t="s">
        <v>152</v>
      </c>
      <c r="J394" s="15">
        <v>2</v>
      </c>
      <c r="K394" s="15">
        <v>3</v>
      </c>
      <c r="L394" s="15">
        <v>2</v>
      </c>
      <c r="M394" s="15">
        <v>1</v>
      </c>
      <c r="N394" s="15">
        <v>5</v>
      </c>
      <c r="O394" s="15">
        <v>2</v>
      </c>
      <c r="P394" s="15" t="s">
        <v>415</v>
      </c>
      <c r="Q394" s="23" t="s">
        <v>416</v>
      </c>
      <c r="R394" s="25">
        <f>ROUND((K394*Parametros!$B$4+L394*Parametros!$B$5+M394*Parametros!$B$6+N394*Parametros!$B$7+O394*Parametros!$B$8)/SUM(Parametros!$B$4:$B$8),2)</f>
        <v>2.5499999999999998</v>
      </c>
      <c r="S394" s="26">
        <f>IFERROR(INDEX(Parametros!$F$33:$F$42,MATCH(D394,Parametros!$A$33:$A$42,0)),1)</f>
        <v>1.034</v>
      </c>
      <c r="T394" s="27">
        <f>IFERROR(INDEX(Parametros!$B$21:$B$26,MATCH(I394,Parametros!$A$21:$A$26,0)),0)</f>
        <v>0</v>
      </c>
      <c r="U394" s="28">
        <f t="shared" si="25"/>
        <v>2.64</v>
      </c>
      <c r="V394" s="9">
        <f>IF(U394&gt;=Parametros!$B$14,4,IF(U394&gt;=Parametros!$B$13,3,IF(U394&gt;=Parametros!$B$12,2,1)))</f>
        <v>2</v>
      </c>
      <c r="W394" s="5">
        <f>MAX(V394,IF(K394=5,Parametros!$B$17,0),IF(P394="Sim",Parametros!$B$18,0))</f>
        <v>2</v>
      </c>
      <c r="X394" s="5" t="str">
        <f t="shared" si="26"/>
        <v>Normal</v>
      </c>
      <c r="Y394" s="29">
        <f t="shared" si="27"/>
        <v>2026.1996060000001</v>
      </c>
      <c r="Z394" s="4" t="s">
        <v>656</v>
      </c>
    </row>
    <row r="395" spans="1:26" ht="28.05" customHeight="1" x14ac:dyDescent="0.3">
      <c r="A395" s="5">
        <f t="shared" si="24"/>
        <v>391</v>
      </c>
      <c r="B395" s="23" t="s">
        <v>981</v>
      </c>
      <c r="C395" s="17" t="s">
        <v>982</v>
      </c>
      <c r="D395" s="4" t="s">
        <v>49</v>
      </c>
      <c r="E395" s="4" t="s">
        <v>81</v>
      </c>
      <c r="F395" s="4" t="s">
        <v>81</v>
      </c>
      <c r="G395" s="4" t="s">
        <v>171</v>
      </c>
      <c r="H395" s="4" t="s">
        <v>172</v>
      </c>
      <c r="I395" s="24" t="s">
        <v>152</v>
      </c>
      <c r="J395" s="15">
        <v>2</v>
      </c>
      <c r="K395" s="15">
        <v>3</v>
      </c>
      <c r="L395" s="15">
        <v>3</v>
      </c>
      <c r="M395" s="15">
        <v>3</v>
      </c>
      <c r="N395" s="15">
        <v>1</v>
      </c>
      <c r="O395" s="15">
        <v>1</v>
      </c>
      <c r="P395" s="15" t="s">
        <v>415</v>
      </c>
      <c r="Q395" s="23" t="s">
        <v>838</v>
      </c>
      <c r="R395" s="25">
        <f>ROUND((K395*Parametros!$B$4+L395*Parametros!$B$5+M395*Parametros!$B$6+N395*Parametros!$B$7+O395*Parametros!$B$8)/SUM(Parametros!$B$4:$B$8),2)</f>
        <v>2.4</v>
      </c>
      <c r="S395" s="26">
        <f>IFERROR(INDEX(Parametros!$F$33:$F$42,MATCH(D395,Parametros!$A$33:$A$42,0)),1)</f>
        <v>1.1000000000000001</v>
      </c>
      <c r="T395" s="27">
        <f>IFERROR(INDEX(Parametros!$B$21:$B$26,MATCH(I395,Parametros!$A$21:$A$26,0)),0)</f>
        <v>0</v>
      </c>
      <c r="U395" s="28">
        <f t="shared" si="25"/>
        <v>2.64</v>
      </c>
      <c r="V395" s="9">
        <f>IF(U395&gt;=Parametros!$B$14,4,IF(U395&gt;=Parametros!$B$13,3,IF(U395&gt;=Parametros!$B$12,2,1)))</f>
        <v>2</v>
      </c>
      <c r="W395" s="5">
        <f>MAX(V395,IF(K395=5,Parametros!$B$17,0),IF(P395="Sim",Parametros!$B$18,0))</f>
        <v>2</v>
      </c>
      <c r="X395" s="5" t="str">
        <f t="shared" si="26"/>
        <v>Normal</v>
      </c>
      <c r="Y395" s="29">
        <f t="shared" si="27"/>
        <v>2026.199605</v>
      </c>
      <c r="Z395" s="4" t="s">
        <v>659</v>
      </c>
    </row>
    <row r="396" spans="1:26" ht="28.05" customHeight="1" x14ac:dyDescent="0.3">
      <c r="A396" s="5">
        <f t="shared" si="24"/>
        <v>392</v>
      </c>
      <c r="B396" s="23" t="s">
        <v>983</v>
      </c>
      <c r="C396" s="17" t="s">
        <v>984</v>
      </c>
      <c r="D396" s="4" t="s">
        <v>49</v>
      </c>
      <c r="E396" s="4" t="s">
        <v>985</v>
      </c>
      <c r="F396" s="4" t="s">
        <v>985</v>
      </c>
      <c r="G396" s="4" t="s">
        <v>134</v>
      </c>
      <c r="H396" s="4" t="s">
        <v>108</v>
      </c>
      <c r="I396" s="24" t="s">
        <v>152</v>
      </c>
      <c r="J396" s="15">
        <v>2</v>
      </c>
      <c r="K396" s="15">
        <v>2</v>
      </c>
      <c r="L396" s="15">
        <v>3</v>
      </c>
      <c r="M396" s="15">
        <v>3</v>
      </c>
      <c r="N396" s="15">
        <v>2</v>
      </c>
      <c r="O396" s="15">
        <v>2</v>
      </c>
      <c r="P396" s="15" t="s">
        <v>415</v>
      </c>
      <c r="Q396" s="23" t="s">
        <v>416</v>
      </c>
      <c r="R396" s="25">
        <f>ROUND((K396*Parametros!$B$4+L396*Parametros!$B$5+M396*Parametros!$B$6+N396*Parametros!$B$7+O396*Parametros!$B$8)/SUM(Parametros!$B$4:$B$8),2)</f>
        <v>2.4</v>
      </c>
      <c r="S396" s="26">
        <f>IFERROR(INDEX(Parametros!$F$33:$F$42,MATCH(D396,Parametros!$A$33:$A$42,0)),1)</f>
        <v>1.1000000000000001</v>
      </c>
      <c r="T396" s="27">
        <f>IFERROR(INDEX(Parametros!$B$21:$B$26,MATCH(I396,Parametros!$A$21:$A$26,0)),0)</f>
        <v>0</v>
      </c>
      <c r="U396" s="28">
        <f t="shared" si="25"/>
        <v>2.64</v>
      </c>
      <c r="V396" s="9">
        <f>IF(U396&gt;=Parametros!$B$14,4,IF(U396&gt;=Parametros!$B$13,3,IF(U396&gt;=Parametros!$B$12,2,1)))</f>
        <v>2</v>
      </c>
      <c r="W396" s="5">
        <f>MAX(V396,IF(K396=5,Parametros!$B$17,0),IF(P396="Sim",Parametros!$B$18,0))</f>
        <v>2</v>
      </c>
      <c r="X396" s="5" t="str">
        <f t="shared" si="26"/>
        <v>Normal</v>
      </c>
      <c r="Y396" s="29">
        <f t="shared" si="27"/>
        <v>2026.1996040000001</v>
      </c>
      <c r="Z396" s="4" t="s">
        <v>659</v>
      </c>
    </row>
    <row r="397" spans="1:26" ht="28.05" customHeight="1" x14ac:dyDescent="0.3">
      <c r="A397" s="5">
        <f t="shared" si="24"/>
        <v>393</v>
      </c>
      <c r="B397" s="23" t="s">
        <v>986</v>
      </c>
      <c r="C397" s="17" t="s">
        <v>987</v>
      </c>
      <c r="D397" s="4" t="s">
        <v>54</v>
      </c>
      <c r="E397" s="4" t="s">
        <v>64</v>
      </c>
      <c r="F397" s="4" t="s">
        <v>64</v>
      </c>
      <c r="G397" s="4" t="s">
        <v>171</v>
      </c>
      <c r="H397" s="4" t="s">
        <v>172</v>
      </c>
      <c r="I397" s="24" t="s">
        <v>131</v>
      </c>
      <c r="J397" s="15">
        <v>2</v>
      </c>
      <c r="K397" s="15">
        <v>3</v>
      </c>
      <c r="L397" s="15">
        <v>3</v>
      </c>
      <c r="M397" s="15">
        <v>3</v>
      </c>
      <c r="N397" s="15">
        <v>1</v>
      </c>
      <c r="O397" s="15">
        <v>2</v>
      </c>
      <c r="P397" s="15" t="s">
        <v>415</v>
      </c>
      <c r="Q397" s="23" t="s">
        <v>416</v>
      </c>
      <c r="R397" s="25">
        <f>ROUND((K397*Parametros!$B$4+L397*Parametros!$B$5+M397*Parametros!$B$6+N397*Parametros!$B$7+O397*Parametros!$B$8)/SUM(Parametros!$B$4:$B$8),2)</f>
        <v>2.5499999999999998</v>
      </c>
      <c r="S397" s="26">
        <f>IFERROR(INDEX(Parametros!$F$33:$F$42,MATCH(D397,Parametros!$A$33:$A$42,0)),1)</f>
        <v>1.034</v>
      </c>
      <c r="T397" s="27">
        <f>IFERROR(INDEX(Parametros!$B$21:$B$26,MATCH(I397,Parametros!$A$21:$A$26,0)),0)</f>
        <v>0</v>
      </c>
      <c r="U397" s="28">
        <f t="shared" si="25"/>
        <v>2.64</v>
      </c>
      <c r="V397" s="9">
        <f>IF(U397&gt;=Parametros!$B$14,4,IF(U397&gt;=Parametros!$B$13,3,IF(U397&gt;=Parametros!$B$12,2,1)))</f>
        <v>2</v>
      </c>
      <c r="W397" s="5">
        <f>MAX(V397,IF(K397=5,Parametros!$B$17,0),IF(P397="Sim",Parametros!$B$18,0))</f>
        <v>2</v>
      </c>
      <c r="X397" s="5" t="str">
        <f t="shared" si="26"/>
        <v>Normal</v>
      </c>
      <c r="Y397" s="29">
        <f t="shared" si="27"/>
        <v>2026.199603</v>
      </c>
      <c r="Z397" s="4" t="s">
        <v>659</v>
      </c>
    </row>
    <row r="398" spans="1:26" ht="28.05" customHeight="1" x14ac:dyDescent="0.3">
      <c r="A398" s="5">
        <f t="shared" si="24"/>
        <v>394</v>
      </c>
      <c r="B398" s="23" t="s">
        <v>988</v>
      </c>
      <c r="C398" s="17" t="s">
        <v>989</v>
      </c>
      <c r="D398" s="4" t="s">
        <v>51</v>
      </c>
      <c r="E398" s="4" t="s">
        <v>990</v>
      </c>
      <c r="F398" s="4" t="s">
        <v>990</v>
      </c>
      <c r="G398" s="4" t="s">
        <v>171</v>
      </c>
      <c r="H398" s="4" t="s">
        <v>172</v>
      </c>
      <c r="I398" s="24" t="s">
        <v>152</v>
      </c>
      <c r="J398" s="15">
        <v>5</v>
      </c>
      <c r="K398" s="15">
        <v>3</v>
      </c>
      <c r="L398" s="15">
        <v>3</v>
      </c>
      <c r="M398" s="15">
        <v>2</v>
      </c>
      <c r="N398" s="15">
        <v>1</v>
      </c>
      <c r="O398" s="15">
        <v>3</v>
      </c>
      <c r="P398" s="15" t="s">
        <v>415</v>
      </c>
      <c r="Q398" s="23" t="s">
        <v>838</v>
      </c>
      <c r="R398" s="25">
        <f>ROUND((K398*Parametros!$B$4+L398*Parametros!$B$5+M398*Parametros!$B$6+N398*Parametros!$B$7+O398*Parametros!$B$8)/SUM(Parametros!$B$4:$B$8),2)</f>
        <v>2.5</v>
      </c>
      <c r="S398" s="26">
        <f>IFERROR(INDEX(Parametros!$F$33:$F$42,MATCH(D398,Parametros!$A$33:$A$42,0)),1)</f>
        <v>1.0669999999999999</v>
      </c>
      <c r="T398" s="27">
        <f>IFERROR(INDEX(Parametros!$B$21:$B$26,MATCH(I398,Parametros!$A$21:$A$26,0)),0)</f>
        <v>0</v>
      </c>
      <c r="U398" s="28">
        <f t="shared" si="25"/>
        <v>2.67</v>
      </c>
      <c r="V398" s="9">
        <f>IF(U398&gt;=Parametros!$B$14,4,IF(U398&gt;=Parametros!$B$13,3,IF(U398&gt;=Parametros!$B$12,2,1)))</f>
        <v>2</v>
      </c>
      <c r="W398" s="5">
        <f>MAX(V398,IF(K398=5,Parametros!$B$17,0),IF(P398="Sim",Parametros!$B$18,0))</f>
        <v>2</v>
      </c>
      <c r="X398" s="5" t="str">
        <f t="shared" si="26"/>
        <v>Normal</v>
      </c>
      <c r="Y398" s="29">
        <f t="shared" si="27"/>
        <v>2026.1996020000001</v>
      </c>
      <c r="Z398" s="4" t="s">
        <v>659</v>
      </c>
    </row>
    <row r="399" spans="1:26" ht="28.05" customHeight="1" x14ac:dyDescent="0.3">
      <c r="A399" s="5">
        <f t="shared" si="24"/>
        <v>395</v>
      </c>
      <c r="B399" s="23" t="s">
        <v>991</v>
      </c>
      <c r="C399" s="17" t="s">
        <v>947</v>
      </c>
      <c r="D399" s="4" t="s">
        <v>56</v>
      </c>
      <c r="E399" s="4" t="s">
        <v>69</v>
      </c>
      <c r="F399" s="4" t="s">
        <v>69</v>
      </c>
      <c r="G399" s="4" t="s">
        <v>134</v>
      </c>
      <c r="H399" s="4" t="s">
        <v>108</v>
      </c>
      <c r="I399" s="24" t="s">
        <v>152</v>
      </c>
      <c r="J399" s="15">
        <v>3</v>
      </c>
      <c r="K399" s="15">
        <v>3</v>
      </c>
      <c r="L399" s="15">
        <v>3</v>
      </c>
      <c r="M399" s="15">
        <v>1</v>
      </c>
      <c r="N399" s="15">
        <v>2</v>
      </c>
      <c r="O399" s="15">
        <v>4</v>
      </c>
      <c r="P399" s="15" t="s">
        <v>415</v>
      </c>
      <c r="Q399" s="23" t="s">
        <v>416</v>
      </c>
      <c r="R399" s="25">
        <f>ROUND((K399*Parametros!$B$4+L399*Parametros!$B$5+M399*Parametros!$B$6+N399*Parametros!$B$7+O399*Parametros!$B$8)/SUM(Parametros!$B$4:$B$8),2)</f>
        <v>2.6</v>
      </c>
      <c r="S399" s="26">
        <f>IFERROR(INDEX(Parametros!$F$33:$F$42,MATCH(D399,Parametros!$A$33:$A$42,0)),1)</f>
        <v>1.0169999999999999</v>
      </c>
      <c r="T399" s="27">
        <f>IFERROR(INDEX(Parametros!$B$21:$B$26,MATCH(I399,Parametros!$A$21:$A$26,0)),0)</f>
        <v>0</v>
      </c>
      <c r="U399" s="28">
        <f t="shared" si="25"/>
        <v>2.64</v>
      </c>
      <c r="V399" s="9">
        <f>IF(U399&gt;=Parametros!$B$14,4,IF(U399&gt;=Parametros!$B$13,3,IF(U399&gt;=Parametros!$B$12,2,1)))</f>
        <v>2</v>
      </c>
      <c r="W399" s="5">
        <f>MAX(V399,IF(K399=5,Parametros!$B$17,0),IF(P399="Sim",Parametros!$B$18,0))</f>
        <v>2</v>
      </c>
      <c r="X399" s="5" t="str">
        <f t="shared" si="26"/>
        <v>Normal</v>
      </c>
      <c r="Y399" s="29">
        <f t="shared" si="27"/>
        <v>2026.0996010000001</v>
      </c>
      <c r="Z399" s="4" t="s">
        <v>322</v>
      </c>
    </row>
    <row r="400" spans="1:26" ht="28.05" customHeight="1" x14ac:dyDescent="0.3">
      <c r="A400" s="5">
        <f t="shared" si="24"/>
        <v>396</v>
      </c>
      <c r="B400" s="23" t="s">
        <v>992</v>
      </c>
      <c r="C400" s="17" t="s">
        <v>949</v>
      </c>
      <c r="D400" s="4" t="s">
        <v>56</v>
      </c>
      <c r="E400" s="4" t="s">
        <v>64</v>
      </c>
      <c r="F400" s="4" t="s">
        <v>64</v>
      </c>
      <c r="G400" s="4" t="s">
        <v>134</v>
      </c>
      <c r="H400" s="4" t="s">
        <v>108</v>
      </c>
      <c r="I400" s="24" t="s">
        <v>131</v>
      </c>
      <c r="J400" s="15">
        <v>3</v>
      </c>
      <c r="K400" s="15">
        <v>3</v>
      </c>
      <c r="L400" s="15">
        <v>3</v>
      </c>
      <c r="M400" s="15">
        <v>1</v>
      </c>
      <c r="N400" s="15">
        <v>3</v>
      </c>
      <c r="O400" s="15">
        <v>3</v>
      </c>
      <c r="P400" s="15" t="s">
        <v>415</v>
      </c>
      <c r="Q400" s="23" t="s">
        <v>416</v>
      </c>
      <c r="R400" s="25">
        <f>ROUND((K400*Parametros!$B$4+L400*Parametros!$B$5+M400*Parametros!$B$6+N400*Parametros!$B$7+O400*Parametros!$B$8)/SUM(Parametros!$B$4:$B$8),2)</f>
        <v>2.6</v>
      </c>
      <c r="S400" s="26">
        <f>IFERROR(INDEX(Parametros!$F$33:$F$42,MATCH(D400,Parametros!$A$33:$A$42,0)),1)</f>
        <v>1.0169999999999999</v>
      </c>
      <c r="T400" s="27">
        <f>IFERROR(INDEX(Parametros!$B$21:$B$26,MATCH(I400,Parametros!$A$21:$A$26,0)),0)</f>
        <v>0</v>
      </c>
      <c r="U400" s="28">
        <f t="shared" si="25"/>
        <v>2.64</v>
      </c>
      <c r="V400" s="9">
        <f>IF(U400&gt;=Parametros!$B$14,4,IF(U400&gt;=Parametros!$B$13,3,IF(U400&gt;=Parametros!$B$12,2,1)))</f>
        <v>2</v>
      </c>
      <c r="W400" s="5">
        <f>MAX(V400,IF(K400=5,Parametros!$B$17,0),IF(P400="Sim",Parametros!$B$18,0))</f>
        <v>2</v>
      </c>
      <c r="X400" s="5" t="str">
        <f t="shared" si="26"/>
        <v>Normal</v>
      </c>
      <c r="Y400" s="29">
        <f t="shared" si="27"/>
        <v>2026.0996000000002</v>
      </c>
      <c r="Z400" s="4" t="s">
        <v>659</v>
      </c>
    </row>
    <row r="401" spans="1:26" ht="28.05" customHeight="1" x14ac:dyDescent="0.3">
      <c r="A401" s="5">
        <f t="shared" si="24"/>
        <v>397</v>
      </c>
      <c r="B401" s="23" t="s">
        <v>993</v>
      </c>
      <c r="C401" s="17" t="s">
        <v>994</v>
      </c>
      <c r="D401" s="4" t="s">
        <v>55</v>
      </c>
      <c r="E401" s="4" t="s">
        <v>64</v>
      </c>
      <c r="F401" s="4" t="s">
        <v>64</v>
      </c>
      <c r="G401" s="4" t="s">
        <v>134</v>
      </c>
      <c r="H401" s="4" t="s">
        <v>108</v>
      </c>
      <c r="I401" s="24" t="s">
        <v>131</v>
      </c>
      <c r="J401" s="15">
        <v>3</v>
      </c>
      <c r="K401" s="15">
        <v>3</v>
      </c>
      <c r="L401" s="15">
        <v>2</v>
      </c>
      <c r="M401" s="15">
        <v>1</v>
      </c>
      <c r="N401" s="15">
        <v>4</v>
      </c>
      <c r="O401" s="15">
        <v>3</v>
      </c>
      <c r="P401" s="15" t="s">
        <v>415</v>
      </c>
      <c r="Q401" s="23" t="s">
        <v>416</v>
      </c>
      <c r="R401" s="25">
        <f>ROUND((K401*Parametros!$B$4+L401*Parametros!$B$5+M401*Parametros!$B$6+N401*Parametros!$B$7+O401*Parametros!$B$8)/SUM(Parametros!$B$4:$B$8),2)</f>
        <v>2.5499999999999998</v>
      </c>
      <c r="S401" s="26">
        <f>IFERROR(INDEX(Parametros!$F$33:$F$42,MATCH(D401,Parametros!$A$33:$A$42,0)),1)</f>
        <v>1.034</v>
      </c>
      <c r="T401" s="27">
        <f>IFERROR(INDEX(Parametros!$B$21:$B$26,MATCH(I401,Parametros!$A$21:$A$26,0)),0)</f>
        <v>0</v>
      </c>
      <c r="U401" s="28">
        <f t="shared" si="25"/>
        <v>2.64</v>
      </c>
      <c r="V401" s="9">
        <f>IF(U401&gt;=Parametros!$B$14,4,IF(U401&gt;=Parametros!$B$13,3,IF(U401&gt;=Parametros!$B$12,2,1)))</f>
        <v>2</v>
      </c>
      <c r="W401" s="5">
        <f>MAX(V401,IF(K401=5,Parametros!$B$17,0),IF(P401="Sim",Parametros!$B$18,0))</f>
        <v>2</v>
      </c>
      <c r="X401" s="5" t="str">
        <f t="shared" si="26"/>
        <v>Normal</v>
      </c>
      <c r="Y401" s="29">
        <f t="shared" si="27"/>
        <v>2026.0995990000001</v>
      </c>
      <c r="Z401" s="4" t="s">
        <v>653</v>
      </c>
    </row>
    <row r="402" spans="1:26" ht="28.05" customHeight="1" x14ac:dyDescent="0.3">
      <c r="A402" s="5">
        <f t="shared" si="24"/>
        <v>398</v>
      </c>
      <c r="B402" s="23" t="s">
        <v>995</v>
      </c>
      <c r="C402" s="17" t="s">
        <v>996</v>
      </c>
      <c r="D402" s="4" t="s">
        <v>56</v>
      </c>
      <c r="E402" s="4" t="s">
        <v>71</v>
      </c>
      <c r="F402" s="4" t="s">
        <v>71</v>
      </c>
      <c r="G402" s="4" t="s">
        <v>112</v>
      </c>
      <c r="H402" s="4" t="s">
        <v>108</v>
      </c>
      <c r="I402" s="24" t="s">
        <v>122</v>
      </c>
      <c r="J402" s="15">
        <v>3</v>
      </c>
      <c r="K402" s="15">
        <v>3</v>
      </c>
      <c r="L402" s="15">
        <v>3</v>
      </c>
      <c r="M402" s="15">
        <v>1</v>
      </c>
      <c r="N402" s="15">
        <v>3</v>
      </c>
      <c r="O402" s="15">
        <v>3</v>
      </c>
      <c r="P402" s="15" t="s">
        <v>415</v>
      </c>
      <c r="Q402" s="23" t="s">
        <v>416</v>
      </c>
      <c r="R402" s="25">
        <f>ROUND((K402*Parametros!$B$4+L402*Parametros!$B$5+M402*Parametros!$B$6+N402*Parametros!$B$7+O402*Parametros!$B$8)/SUM(Parametros!$B$4:$B$8),2)</f>
        <v>2.6</v>
      </c>
      <c r="S402" s="26">
        <f>IFERROR(INDEX(Parametros!$F$33:$F$42,MATCH(D402,Parametros!$A$33:$A$42,0)),1)</f>
        <v>1.0169999999999999</v>
      </c>
      <c r="T402" s="27">
        <f>IFERROR(INDEX(Parametros!$B$21:$B$26,MATCH(I402,Parametros!$A$21:$A$26,0)),0)</f>
        <v>0</v>
      </c>
      <c r="U402" s="28">
        <f t="shared" si="25"/>
        <v>2.64</v>
      </c>
      <c r="V402" s="9">
        <f>IF(U402&gt;=Parametros!$B$14,4,IF(U402&gt;=Parametros!$B$13,3,IF(U402&gt;=Parametros!$B$12,2,1)))</f>
        <v>2</v>
      </c>
      <c r="W402" s="5">
        <f>MAX(V402,IF(K402=5,Parametros!$B$17,0),IF(P402="Sim",Parametros!$B$18,0))</f>
        <v>2</v>
      </c>
      <c r="X402" s="5" t="str">
        <f t="shared" si="26"/>
        <v>Normal</v>
      </c>
      <c r="Y402" s="29">
        <f t="shared" si="27"/>
        <v>2026.0995980000002</v>
      </c>
      <c r="Z402" s="4" t="s">
        <v>659</v>
      </c>
    </row>
    <row r="403" spans="1:26" ht="28.05" customHeight="1" x14ac:dyDescent="0.3">
      <c r="A403" s="5">
        <f t="shared" si="24"/>
        <v>399</v>
      </c>
      <c r="B403" s="23" t="s">
        <v>997</v>
      </c>
      <c r="C403" s="17" t="s">
        <v>998</v>
      </c>
      <c r="D403" s="4" t="s">
        <v>49</v>
      </c>
      <c r="E403" s="4" t="s">
        <v>81</v>
      </c>
      <c r="F403" s="4" t="s">
        <v>81</v>
      </c>
      <c r="G403" s="4" t="s">
        <v>171</v>
      </c>
      <c r="H403" s="4" t="s">
        <v>172</v>
      </c>
      <c r="I403" s="24" t="s">
        <v>152</v>
      </c>
      <c r="J403" s="15">
        <v>3</v>
      </c>
      <c r="K403" s="15">
        <v>3</v>
      </c>
      <c r="L403" s="15">
        <v>3</v>
      </c>
      <c r="M403" s="15">
        <v>3</v>
      </c>
      <c r="N403" s="15">
        <v>1</v>
      </c>
      <c r="O403" s="15">
        <v>1</v>
      </c>
      <c r="P403" s="15" t="s">
        <v>415</v>
      </c>
      <c r="Q403" s="23" t="s">
        <v>838</v>
      </c>
      <c r="R403" s="25">
        <f>ROUND((K403*Parametros!$B$4+L403*Parametros!$B$5+M403*Parametros!$B$6+N403*Parametros!$B$7+O403*Parametros!$B$8)/SUM(Parametros!$B$4:$B$8),2)</f>
        <v>2.4</v>
      </c>
      <c r="S403" s="26">
        <f>IFERROR(INDEX(Parametros!$F$33:$F$42,MATCH(D403,Parametros!$A$33:$A$42,0)),1)</f>
        <v>1.1000000000000001</v>
      </c>
      <c r="T403" s="27">
        <f>IFERROR(INDEX(Parametros!$B$21:$B$26,MATCH(I403,Parametros!$A$21:$A$26,0)),0)</f>
        <v>0</v>
      </c>
      <c r="U403" s="28">
        <f t="shared" si="25"/>
        <v>2.64</v>
      </c>
      <c r="V403" s="9">
        <f>IF(U403&gt;=Parametros!$B$14,4,IF(U403&gt;=Parametros!$B$13,3,IF(U403&gt;=Parametros!$B$12,2,1)))</f>
        <v>2</v>
      </c>
      <c r="W403" s="5">
        <f>MAX(V403,IF(K403=5,Parametros!$B$17,0),IF(P403="Sim",Parametros!$B$18,0))</f>
        <v>2</v>
      </c>
      <c r="X403" s="5" t="str">
        <f t="shared" si="26"/>
        <v>Normal</v>
      </c>
      <c r="Y403" s="29">
        <f t="shared" si="27"/>
        <v>2026.0995970000001</v>
      </c>
      <c r="Z403" s="4" t="s">
        <v>659</v>
      </c>
    </row>
    <row r="404" spans="1:26" ht="28.05" customHeight="1" x14ac:dyDescent="0.3">
      <c r="A404" s="5">
        <f t="shared" si="24"/>
        <v>400</v>
      </c>
      <c r="B404" s="23" t="s">
        <v>999</v>
      </c>
      <c r="C404" s="17" t="s">
        <v>1000</v>
      </c>
      <c r="D404" s="4" t="s">
        <v>48</v>
      </c>
      <c r="E404" s="4" t="s">
        <v>87</v>
      </c>
      <c r="F404" s="4" t="s">
        <v>87</v>
      </c>
      <c r="G404" s="4" t="s">
        <v>171</v>
      </c>
      <c r="H404" s="4" t="s">
        <v>172</v>
      </c>
      <c r="I404" s="24" t="s">
        <v>152</v>
      </c>
      <c r="J404" s="15">
        <v>3</v>
      </c>
      <c r="K404" s="15">
        <v>3</v>
      </c>
      <c r="L404" s="15">
        <v>3</v>
      </c>
      <c r="M404" s="15">
        <v>3</v>
      </c>
      <c r="N404" s="15">
        <v>1</v>
      </c>
      <c r="O404" s="15">
        <v>1</v>
      </c>
      <c r="P404" s="15" t="s">
        <v>415</v>
      </c>
      <c r="Q404" s="23" t="s">
        <v>838</v>
      </c>
      <c r="R404" s="25">
        <f>ROUND((K404*Parametros!$B$4+L404*Parametros!$B$5+M404*Parametros!$B$6+N404*Parametros!$B$7+O404*Parametros!$B$8)/SUM(Parametros!$B$4:$B$8),2)</f>
        <v>2.4</v>
      </c>
      <c r="S404" s="26">
        <f>IFERROR(INDEX(Parametros!$F$33:$F$42,MATCH(D404,Parametros!$A$33:$A$42,0)),1)</f>
        <v>1.1000000000000001</v>
      </c>
      <c r="T404" s="27">
        <f>IFERROR(INDEX(Parametros!$B$21:$B$26,MATCH(I404,Parametros!$A$21:$A$26,0)),0)</f>
        <v>0</v>
      </c>
      <c r="U404" s="28">
        <f t="shared" si="25"/>
        <v>2.64</v>
      </c>
      <c r="V404" s="9">
        <f>IF(U404&gt;=Parametros!$B$14,4,IF(U404&gt;=Parametros!$B$13,3,IF(U404&gt;=Parametros!$B$12,2,1)))</f>
        <v>2</v>
      </c>
      <c r="W404" s="5">
        <f>MAX(V404,IF(K404=5,Parametros!$B$17,0),IF(P404="Sim",Parametros!$B$18,0))</f>
        <v>2</v>
      </c>
      <c r="X404" s="5" t="str">
        <f t="shared" si="26"/>
        <v>Normal</v>
      </c>
      <c r="Y404" s="29">
        <f t="shared" si="27"/>
        <v>2026.0995960000002</v>
      </c>
      <c r="Z404" s="4" t="s">
        <v>659</v>
      </c>
    </row>
    <row r="405" spans="1:26" ht="28.05" customHeight="1" x14ac:dyDescent="0.3">
      <c r="A405" s="5">
        <f t="shared" si="24"/>
        <v>401</v>
      </c>
      <c r="B405" s="23" t="s">
        <v>1001</v>
      </c>
      <c r="C405" s="17" t="s">
        <v>1002</v>
      </c>
      <c r="D405" s="4" t="s">
        <v>48</v>
      </c>
      <c r="E405" s="4" t="s">
        <v>87</v>
      </c>
      <c r="F405" s="4" t="s">
        <v>1003</v>
      </c>
      <c r="G405" s="4" t="s">
        <v>171</v>
      </c>
      <c r="H405" s="4" t="s">
        <v>172</v>
      </c>
      <c r="I405" s="24" t="s">
        <v>152</v>
      </c>
      <c r="J405" s="15">
        <v>3</v>
      </c>
      <c r="K405" s="15">
        <v>2</v>
      </c>
      <c r="L405" s="15">
        <v>3</v>
      </c>
      <c r="M405" s="15">
        <v>3</v>
      </c>
      <c r="N405" s="15">
        <v>1</v>
      </c>
      <c r="O405" s="15">
        <v>3</v>
      </c>
      <c r="P405" s="15" t="s">
        <v>415</v>
      </c>
      <c r="Q405" s="23" t="s">
        <v>416</v>
      </c>
      <c r="R405" s="25">
        <f>ROUND((K405*Parametros!$B$4+L405*Parametros!$B$5+M405*Parametros!$B$6+N405*Parametros!$B$7+O405*Parametros!$B$8)/SUM(Parametros!$B$4:$B$8),2)</f>
        <v>2.4</v>
      </c>
      <c r="S405" s="26">
        <f>IFERROR(INDEX(Parametros!$F$33:$F$42,MATCH(D405,Parametros!$A$33:$A$42,0)),1)</f>
        <v>1.1000000000000001</v>
      </c>
      <c r="T405" s="27">
        <f>IFERROR(INDEX(Parametros!$B$21:$B$26,MATCH(I405,Parametros!$A$21:$A$26,0)),0)</f>
        <v>0</v>
      </c>
      <c r="U405" s="28">
        <f t="shared" si="25"/>
        <v>2.64</v>
      </c>
      <c r="V405" s="9">
        <f>IF(U405&gt;=Parametros!$B$14,4,IF(U405&gt;=Parametros!$B$13,3,IF(U405&gt;=Parametros!$B$12,2,1)))</f>
        <v>2</v>
      </c>
      <c r="W405" s="5">
        <f>MAX(V405,IF(K405=5,Parametros!$B$17,0),IF(P405="Sim",Parametros!$B$18,0))</f>
        <v>2</v>
      </c>
      <c r="X405" s="5" t="str">
        <f t="shared" si="26"/>
        <v>Normal</v>
      </c>
      <c r="Y405" s="29">
        <f t="shared" si="27"/>
        <v>2026.0995950000001</v>
      </c>
      <c r="Z405" s="4" t="s">
        <v>659</v>
      </c>
    </row>
    <row r="406" spans="1:26" ht="28.05" customHeight="1" x14ac:dyDescent="0.3">
      <c r="A406" s="5">
        <f t="shared" si="24"/>
        <v>402</v>
      </c>
      <c r="B406" s="23" t="s">
        <v>1004</v>
      </c>
      <c r="C406" s="17" t="s">
        <v>1005</v>
      </c>
      <c r="D406" s="4" t="s">
        <v>48</v>
      </c>
      <c r="E406" s="4" t="s">
        <v>82</v>
      </c>
      <c r="F406" s="4" t="s">
        <v>82</v>
      </c>
      <c r="G406" s="4" t="s">
        <v>171</v>
      </c>
      <c r="H406" s="4" t="s">
        <v>172</v>
      </c>
      <c r="I406" s="24" t="s">
        <v>152</v>
      </c>
      <c r="J406" s="15">
        <v>3</v>
      </c>
      <c r="K406" s="15">
        <v>3</v>
      </c>
      <c r="L406" s="15">
        <v>3</v>
      </c>
      <c r="M406" s="15">
        <v>3</v>
      </c>
      <c r="N406" s="15">
        <v>1</v>
      </c>
      <c r="O406" s="15">
        <v>1</v>
      </c>
      <c r="P406" s="15" t="s">
        <v>415</v>
      </c>
      <c r="Q406" s="23" t="s">
        <v>838</v>
      </c>
      <c r="R406" s="25">
        <f>ROUND((K406*Parametros!$B$4+L406*Parametros!$B$5+M406*Parametros!$B$6+N406*Parametros!$B$7+O406*Parametros!$B$8)/SUM(Parametros!$B$4:$B$8),2)</f>
        <v>2.4</v>
      </c>
      <c r="S406" s="26">
        <f>IFERROR(INDEX(Parametros!$F$33:$F$42,MATCH(D406,Parametros!$A$33:$A$42,0)),1)</f>
        <v>1.1000000000000001</v>
      </c>
      <c r="T406" s="27">
        <f>IFERROR(INDEX(Parametros!$B$21:$B$26,MATCH(I406,Parametros!$A$21:$A$26,0)),0)</f>
        <v>0</v>
      </c>
      <c r="U406" s="28">
        <f t="shared" si="25"/>
        <v>2.64</v>
      </c>
      <c r="V406" s="9">
        <f>IF(U406&gt;=Parametros!$B$14,4,IF(U406&gt;=Parametros!$B$13,3,IF(U406&gt;=Parametros!$B$12,2,1)))</f>
        <v>2</v>
      </c>
      <c r="W406" s="5">
        <f>MAX(V406,IF(K406=5,Parametros!$B$17,0),IF(P406="Sim",Parametros!$B$18,0))</f>
        <v>2</v>
      </c>
      <c r="X406" s="5" t="str">
        <f t="shared" si="26"/>
        <v>Normal</v>
      </c>
      <c r="Y406" s="29">
        <f t="shared" si="27"/>
        <v>2026.099594</v>
      </c>
      <c r="Z406" s="4" t="s">
        <v>659</v>
      </c>
    </row>
    <row r="407" spans="1:26" ht="28.05" customHeight="1" x14ac:dyDescent="0.3">
      <c r="A407" s="5">
        <f t="shared" si="24"/>
        <v>403</v>
      </c>
      <c r="B407" s="23" t="s">
        <v>1006</v>
      </c>
      <c r="C407" s="17" t="s">
        <v>1007</v>
      </c>
      <c r="D407" s="4" t="s">
        <v>53</v>
      </c>
      <c r="E407" s="4" t="s">
        <v>76</v>
      </c>
      <c r="F407" s="4" t="s">
        <v>76</v>
      </c>
      <c r="G407" s="4" t="s">
        <v>171</v>
      </c>
      <c r="H407" s="4" t="s">
        <v>172</v>
      </c>
      <c r="I407" s="24" t="s">
        <v>152</v>
      </c>
      <c r="J407" s="15">
        <v>2</v>
      </c>
      <c r="K407" s="15">
        <v>3</v>
      </c>
      <c r="L407" s="15">
        <v>4</v>
      </c>
      <c r="M407" s="15">
        <v>1</v>
      </c>
      <c r="N407" s="15">
        <v>2</v>
      </c>
      <c r="O407" s="15">
        <v>2</v>
      </c>
      <c r="P407" s="15" t="s">
        <v>415</v>
      </c>
      <c r="Q407" s="23" t="s">
        <v>416</v>
      </c>
      <c r="R407" s="25">
        <f>ROUND((K407*Parametros!$B$4+L407*Parametros!$B$5+M407*Parametros!$B$6+N407*Parametros!$B$7+O407*Parametros!$B$8)/SUM(Parametros!$B$4:$B$8),2)</f>
        <v>2.5</v>
      </c>
      <c r="S407" s="26">
        <f>IFERROR(INDEX(Parametros!$F$33:$F$42,MATCH(D407,Parametros!$A$33:$A$42,0)),1)</f>
        <v>1.05</v>
      </c>
      <c r="T407" s="27">
        <f>IFERROR(INDEX(Parametros!$B$21:$B$26,MATCH(I407,Parametros!$A$21:$A$26,0)),0)</f>
        <v>0</v>
      </c>
      <c r="U407" s="28">
        <f t="shared" si="25"/>
        <v>2.63</v>
      </c>
      <c r="V407" s="9">
        <f>IF(U407&gt;=Parametros!$B$14,4,IF(U407&gt;=Parametros!$B$13,3,IF(U407&gt;=Parametros!$B$12,2,1)))</f>
        <v>2</v>
      </c>
      <c r="W407" s="5">
        <f>MAX(V407,IF(K407=5,Parametros!$B$17,0),IF(P407="Sim",Parametros!$B$18,0))</f>
        <v>2</v>
      </c>
      <c r="X407" s="5" t="str">
        <f t="shared" si="26"/>
        <v>Normal</v>
      </c>
      <c r="Y407" s="29">
        <f t="shared" si="27"/>
        <v>2026.0995929999999</v>
      </c>
      <c r="Z407" s="4" t="s">
        <v>309</v>
      </c>
    </row>
    <row r="408" spans="1:26" ht="28.05" customHeight="1" x14ac:dyDescent="0.3">
      <c r="A408" s="5">
        <f t="shared" si="24"/>
        <v>404</v>
      </c>
      <c r="B408" s="23" t="s">
        <v>1008</v>
      </c>
      <c r="C408" s="17" t="s">
        <v>1009</v>
      </c>
      <c r="D408" s="4" t="s">
        <v>52</v>
      </c>
      <c r="E408" s="4" t="s">
        <v>64</v>
      </c>
      <c r="F408" s="4" t="s">
        <v>64</v>
      </c>
      <c r="G408" s="4" t="s">
        <v>171</v>
      </c>
      <c r="H408" s="4" t="s">
        <v>172</v>
      </c>
      <c r="I408" s="24" t="s">
        <v>131</v>
      </c>
      <c r="J408" s="15">
        <v>2</v>
      </c>
      <c r="K408" s="15">
        <v>3</v>
      </c>
      <c r="L408" s="15">
        <v>3</v>
      </c>
      <c r="M408" s="15">
        <v>2</v>
      </c>
      <c r="N408" s="15">
        <v>1</v>
      </c>
      <c r="O408" s="15">
        <v>3</v>
      </c>
      <c r="P408" s="15" t="s">
        <v>415</v>
      </c>
      <c r="Q408" s="23" t="s">
        <v>838</v>
      </c>
      <c r="R408" s="25">
        <f>ROUND((K408*Parametros!$B$4+L408*Parametros!$B$5+M408*Parametros!$B$6+N408*Parametros!$B$7+O408*Parametros!$B$8)/SUM(Parametros!$B$4:$B$8),2)</f>
        <v>2.5</v>
      </c>
      <c r="S408" s="26">
        <f>IFERROR(INDEX(Parametros!$F$33:$F$42,MATCH(D408,Parametros!$A$33:$A$42,0)),1)</f>
        <v>1.05</v>
      </c>
      <c r="T408" s="27">
        <f>IFERROR(INDEX(Parametros!$B$21:$B$26,MATCH(I408,Parametros!$A$21:$A$26,0)),0)</f>
        <v>0</v>
      </c>
      <c r="U408" s="28">
        <f t="shared" si="25"/>
        <v>2.63</v>
      </c>
      <c r="V408" s="9">
        <f>IF(U408&gt;=Parametros!$B$14,4,IF(U408&gt;=Parametros!$B$13,3,IF(U408&gt;=Parametros!$B$12,2,1)))</f>
        <v>2</v>
      </c>
      <c r="W408" s="5">
        <f>MAX(V408,IF(K408=5,Parametros!$B$17,0),IF(P408="Sim",Parametros!$B$18,0))</f>
        <v>2</v>
      </c>
      <c r="X408" s="5" t="str">
        <f t="shared" si="26"/>
        <v>Normal</v>
      </c>
      <c r="Y408" s="29">
        <f t="shared" si="27"/>
        <v>2026.0995919999998</v>
      </c>
      <c r="Z408" s="4" t="s">
        <v>659</v>
      </c>
    </row>
    <row r="409" spans="1:26" ht="28.05" customHeight="1" x14ac:dyDescent="0.3">
      <c r="A409" s="5">
        <f t="shared" si="24"/>
        <v>405</v>
      </c>
      <c r="B409" s="23" t="s">
        <v>1010</v>
      </c>
      <c r="C409" s="17" t="s">
        <v>1011</v>
      </c>
      <c r="D409" s="4" t="s">
        <v>52</v>
      </c>
      <c r="E409" s="4" t="s">
        <v>65</v>
      </c>
      <c r="F409" s="4" t="s">
        <v>65</v>
      </c>
      <c r="G409" s="4" t="s">
        <v>171</v>
      </c>
      <c r="H409" s="4" t="s">
        <v>172</v>
      </c>
      <c r="I409" s="24" t="s">
        <v>152</v>
      </c>
      <c r="J409" s="15">
        <v>2</v>
      </c>
      <c r="K409" s="15">
        <v>3</v>
      </c>
      <c r="L409" s="15">
        <v>3</v>
      </c>
      <c r="M409" s="15">
        <v>2</v>
      </c>
      <c r="N409" s="15">
        <v>1</v>
      </c>
      <c r="O409" s="15">
        <v>3</v>
      </c>
      <c r="P409" s="15" t="s">
        <v>415</v>
      </c>
      <c r="Q409" s="23" t="s">
        <v>838</v>
      </c>
      <c r="R409" s="25">
        <f>ROUND((K409*Parametros!$B$4+L409*Parametros!$B$5+M409*Parametros!$B$6+N409*Parametros!$B$7+O409*Parametros!$B$8)/SUM(Parametros!$B$4:$B$8),2)</f>
        <v>2.5</v>
      </c>
      <c r="S409" s="26">
        <f>IFERROR(INDEX(Parametros!$F$33:$F$42,MATCH(D409,Parametros!$A$33:$A$42,0)),1)</f>
        <v>1.05</v>
      </c>
      <c r="T409" s="27">
        <f>IFERROR(INDEX(Parametros!$B$21:$B$26,MATCH(I409,Parametros!$A$21:$A$26,0)),0)</f>
        <v>0</v>
      </c>
      <c r="U409" s="28">
        <f t="shared" si="25"/>
        <v>2.63</v>
      </c>
      <c r="V409" s="9">
        <f>IF(U409&gt;=Parametros!$B$14,4,IF(U409&gt;=Parametros!$B$13,3,IF(U409&gt;=Parametros!$B$12,2,1)))</f>
        <v>2</v>
      </c>
      <c r="W409" s="5">
        <f>MAX(V409,IF(K409=5,Parametros!$B$17,0),IF(P409="Sim",Parametros!$B$18,0))</f>
        <v>2</v>
      </c>
      <c r="X409" s="5" t="str">
        <f t="shared" si="26"/>
        <v>Normal</v>
      </c>
      <c r="Y409" s="29">
        <f t="shared" si="27"/>
        <v>2026.0995909999999</v>
      </c>
      <c r="Z409" s="4" t="s">
        <v>659</v>
      </c>
    </row>
    <row r="410" spans="1:26" ht="28.05" customHeight="1" x14ac:dyDescent="0.3">
      <c r="A410" s="5">
        <f t="shared" si="24"/>
        <v>406</v>
      </c>
      <c r="B410" s="23" t="s">
        <v>1012</v>
      </c>
      <c r="C410" s="17" t="s">
        <v>1013</v>
      </c>
      <c r="D410" s="4" t="s">
        <v>52</v>
      </c>
      <c r="E410" s="4" t="s">
        <v>64</v>
      </c>
      <c r="F410" s="4" t="s">
        <v>64</v>
      </c>
      <c r="G410" s="4" t="s">
        <v>112</v>
      </c>
      <c r="H410" s="4" t="s">
        <v>108</v>
      </c>
      <c r="I410" s="24" t="s">
        <v>131</v>
      </c>
      <c r="J410" s="15">
        <v>3</v>
      </c>
      <c r="K410" s="15">
        <v>3</v>
      </c>
      <c r="L410" s="15">
        <v>3</v>
      </c>
      <c r="M410" s="15">
        <v>2</v>
      </c>
      <c r="N410" s="15">
        <v>1</v>
      </c>
      <c r="O410" s="15">
        <v>3</v>
      </c>
      <c r="P410" s="15" t="s">
        <v>415</v>
      </c>
      <c r="Q410" s="23" t="s">
        <v>838</v>
      </c>
      <c r="R410" s="25">
        <f>ROUND((K410*Parametros!$B$4+L410*Parametros!$B$5+M410*Parametros!$B$6+N410*Parametros!$B$7+O410*Parametros!$B$8)/SUM(Parametros!$B$4:$B$8),2)</f>
        <v>2.5</v>
      </c>
      <c r="S410" s="26">
        <f>IFERROR(INDEX(Parametros!$F$33:$F$42,MATCH(D410,Parametros!$A$33:$A$42,0)),1)</f>
        <v>1.05</v>
      </c>
      <c r="T410" s="27">
        <f>IFERROR(INDEX(Parametros!$B$21:$B$26,MATCH(I410,Parametros!$A$21:$A$26,0)),0)</f>
        <v>0</v>
      </c>
      <c r="U410" s="28">
        <f t="shared" si="25"/>
        <v>2.63</v>
      </c>
      <c r="V410" s="9">
        <f>IF(U410&gt;=Parametros!$B$14,4,IF(U410&gt;=Parametros!$B$13,3,IF(U410&gt;=Parametros!$B$12,2,1)))</f>
        <v>2</v>
      </c>
      <c r="W410" s="5">
        <f>MAX(V410,IF(K410=5,Parametros!$B$17,0),IF(P410="Sim",Parametros!$B$18,0))</f>
        <v>2</v>
      </c>
      <c r="X410" s="5" t="str">
        <f t="shared" si="26"/>
        <v>Normal</v>
      </c>
      <c r="Y410" s="29">
        <f t="shared" si="27"/>
        <v>2025.9995899999999</v>
      </c>
      <c r="Z410" s="4" t="s">
        <v>659</v>
      </c>
    </row>
    <row r="411" spans="1:26" ht="28.05" customHeight="1" x14ac:dyDescent="0.3">
      <c r="A411" s="5">
        <f t="shared" si="24"/>
        <v>407</v>
      </c>
      <c r="B411" s="23" t="s">
        <v>1014</v>
      </c>
      <c r="C411" s="17" t="s">
        <v>1015</v>
      </c>
      <c r="D411" s="4" t="s">
        <v>48</v>
      </c>
      <c r="E411" s="4" t="s">
        <v>82</v>
      </c>
      <c r="F411" s="4" t="s">
        <v>82</v>
      </c>
      <c r="G411" s="4" t="s">
        <v>134</v>
      </c>
      <c r="H411" s="4" t="s">
        <v>108</v>
      </c>
      <c r="I411" s="24" t="s">
        <v>152</v>
      </c>
      <c r="J411" s="15">
        <v>4</v>
      </c>
      <c r="K411" s="15">
        <v>2</v>
      </c>
      <c r="L411" s="15">
        <v>3</v>
      </c>
      <c r="M411" s="15">
        <v>3</v>
      </c>
      <c r="N411" s="15">
        <v>1</v>
      </c>
      <c r="O411" s="15">
        <v>3</v>
      </c>
      <c r="P411" s="15" t="s">
        <v>415</v>
      </c>
      <c r="Q411" s="23" t="s">
        <v>416</v>
      </c>
      <c r="R411" s="25">
        <f>ROUND((K411*Parametros!$B$4+L411*Parametros!$B$5+M411*Parametros!$B$6+N411*Parametros!$B$7+O411*Parametros!$B$8)/SUM(Parametros!$B$4:$B$8),2)</f>
        <v>2.4</v>
      </c>
      <c r="S411" s="26">
        <f>IFERROR(INDEX(Parametros!$F$33:$F$42,MATCH(D411,Parametros!$A$33:$A$42,0)),1)</f>
        <v>1.1000000000000001</v>
      </c>
      <c r="T411" s="27">
        <f>IFERROR(INDEX(Parametros!$B$21:$B$26,MATCH(I411,Parametros!$A$21:$A$26,0)),0)</f>
        <v>0</v>
      </c>
      <c r="U411" s="28">
        <f t="shared" si="25"/>
        <v>2.64</v>
      </c>
      <c r="V411" s="9">
        <f>IF(U411&gt;=Parametros!$B$14,4,IF(U411&gt;=Parametros!$B$13,3,IF(U411&gt;=Parametros!$B$12,2,1)))</f>
        <v>2</v>
      </c>
      <c r="W411" s="5">
        <f>MAX(V411,IF(K411=5,Parametros!$B$17,0),IF(P411="Sim",Parametros!$B$18,0))</f>
        <v>2</v>
      </c>
      <c r="X411" s="5" t="str">
        <f t="shared" si="26"/>
        <v>Normal</v>
      </c>
      <c r="Y411" s="29">
        <f t="shared" si="27"/>
        <v>2025.999589</v>
      </c>
      <c r="Z411" s="4" t="s">
        <v>659</v>
      </c>
    </row>
    <row r="412" spans="1:26" ht="28.05" customHeight="1" x14ac:dyDescent="0.3">
      <c r="A412" s="5">
        <f t="shared" si="24"/>
        <v>408</v>
      </c>
      <c r="B412" s="23" t="s">
        <v>1016</v>
      </c>
      <c r="C412" s="17" t="s">
        <v>1017</v>
      </c>
      <c r="D412" s="4" t="s">
        <v>50</v>
      </c>
      <c r="E412" s="4" t="s">
        <v>389</v>
      </c>
      <c r="F412" s="4" t="s">
        <v>389</v>
      </c>
      <c r="G412" s="4" t="s">
        <v>171</v>
      </c>
      <c r="H412" s="4" t="s">
        <v>172</v>
      </c>
      <c r="I412" s="24" t="s">
        <v>152</v>
      </c>
      <c r="J412" s="15">
        <v>2</v>
      </c>
      <c r="K412" s="15">
        <v>2</v>
      </c>
      <c r="L412" s="15">
        <v>3</v>
      </c>
      <c r="M412" s="15">
        <v>3</v>
      </c>
      <c r="N412" s="15">
        <v>1</v>
      </c>
      <c r="O412" s="15">
        <v>3</v>
      </c>
      <c r="P412" s="15" t="s">
        <v>415</v>
      </c>
      <c r="Q412" s="23" t="s">
        <v>416</v>
      </c>
      <c r="R412" s="25">
        <f>ROUND((K412*Parametros!$B$4+L412*Parametros!$B$5+M412*Parametros!$B$6+N412*Parametros!$B$7+O412*Parametros!$B$8)/SUM(Parametros!$B$4:$B$8),2)</f>
        <v>2.4</v>
      </c>
      <c r="S412" s="26">
        <f>IFERROR(INDEX(Parametros!$F$33:$F$42,MATCH(D412,Parametros!$A$33:$A$42,0)),1)</f>
        <v>1.0840000000000001</v>
      </c>
      <c r="T412" s="27">
        <f>IFERROR(INDEX(Parametros!$B$21:$B$26,MATCH(I412,Parametros!$A$21:$A$26,0)),0)</f>
        <v>0</v>
      </c>
      <c r="U412" s="28">
        <f t="shared" si="25"/>
        <v>2.6</v>
      </c>
      <c r="V412" s="9">
        <f>IF(U412&gt;=Parametros!$B$14,4,IF(U412&gt;=Parametros!$B$13,3,IF(U412&gt;=Parametros!$B$12,2,1)))</f>
        <v>2</v>
      </c>
      <c r="W412" s="5">
        <f>MAX(V412,IF(K412=5,Parametros!$B$17,0),IF(P412="Sim",Parametros!$B$18,0))</f>
        <v>2</v>
      </c>
      <c r="X412" s="5" t="str">
        <f t="shared" si="26"/>
        <v>Normal</v>
      </c>
      <c r="Y412" s="29">
        <f t="shared" si="27"/>
        <v>2025.7995879999999</v>
      </c>
      <c r="Z412" s="4" t="s">
        <v>659</v>
      </c>
    </row>
    <row r="413" spans="1:26" ht="28.05" customHeight="1" x14ac:dyDescent="0.3">
      <c r="A413" s="5">
        <f t="shared" si="24"/>
        <v>409</v>
      </c>
      <c r="B413" s="23" t="s">
        <v>1018</v>
      </c>
      <c r="C413" s="17" t="s">
        <v>1019</v>
      </c>
      <c r="D413" s="4" t="s">
        <v>50</v>
      </c>
      <c r="E413" s="4" t="s">
        <v>64</v>
      </c>
      <c r="F413" s="4" t="s">
        <v>64</v>
      </c>
      <c r="G413" s="4" t="s">
        <v>171</v>
      </c>
      <c r="H413" s="4" t="s">
        <v>172</v>
      </c>
      <c r="I413" s="24" t="s">
        <v>131</v>
      </c>
      <c r="J413" s="15">
        <v>2</v>
      </c>
      <c r="K413" s="15">
        <v>3</v>
      </c>
      <c r="L413" s="15">
        <v>3</v>
      </c>
      <c r="M413" s="15">
        <v>3</v>
      </c>
      <c r="N413" s="15">
        <v>1</v>
      </c>
      <c r="O413" s="15">
        <v>1</v>
      </c>
      <c r="P413" s="15" t="s">
        <v>415</v>
      </c>
      <c r="Q413" s="23" t="s">
        <v>838</v>
      </c>
      <c r="R413" s="25">
        <f>ROUND((K413*Parametros!$B$4+L413*Parametros!$B$5+M413*Parametros!$B$6+N413*Parametros!$B$7+O413*Parametros!$B$8)/SUM(Parametros!$B$4:$B$8),2)</f>
        <v>2.4</v>
      </c>
      <c r="S413" s="26">
        <f>IFERROR(INDEX(Parametros!$F$33:$F$42,MATCH(D413,Parametros!$A$33:$A$42,0)),1)</f>
        <v>1.0840000000000001</v>
      </c>
      <c r="T413" s="27">
        <f>IFERROR(INDEX(Parametros!$B$21:$B$26,MATCH(I413,Parametros!$A$21:$A$26,0)),0)</f>
        <v>0</v>
      </c>
      <c r="U413" s="28">
        <f t="shared" si="25"/>
        <v>2.6</v>
      </c>
      <c r="V413" s="9">
        <f>IF(U413&gt;=Parametros!$B$14,4,IF(U413&gt;=Parametros!$B$13,3,IF(U413&gt;=Parametros!$B$12,2,1)))</f>
        <v>2</v>
      </c>
      <c r="W413" s="5">
        <f>MAX(V413,IF(K413=5,Parametros!$B$17,0),IF(P413="Sim",Parametros!$B$18,0))</f>
        <v>2</v>
      </c>
      <c r="X413" s="5" t="str">
        <f t="shared" si="26"/>
        <v>Normal</v>
      </c>
      <c r="Y413" s="29">
        <f t="shared" si="27"/>
        <v>2025.799587</v>
      </c>
      <c r="Z413" s="4" t="s">
        <v>659</v>
      </c>
    </row>
    <row r="414" spans="1:26" ht="28.05" customHeight="1" x14ac:dyDescent="0.3">
      <c r="A414" s="5">
        <f t="shared" si="24"/>
        <v>410</v>
      </c>
      <c r="B414" s="23" t="s">
        <v>1020</v>
      </c>
      <c r="C414" s="17" t="s">
        <v>1021</v>
      </c>
      <c r="D414" s="4" t="s">
        <v>50</v>
      </c>
      <c r="E414" s="4" t="s">
        <v>75</v>
      </c>
      <c r="F414" s="4" t="s">
        <v>75</v>
      </c>
      <c r="G414" s="4" t="s">
        <v>171</v>
      </c>
      <c r="H414" s="4" t="s">
        <v>172</v>
      </c>
      <c r="I414" s="24" t="s">
        <v>152</v>
      </c>
      <c r="J414" s="15">
        <v>2</v>
      </c>
      <c r="K414" s="15">
        <v>3</v>
      </c>
      <c r="L414" s="15">
        <v>3</v>
      </c>
      <c r="M414" s="15">
        <v>3</v>
      </c>
      <c r="N414" s="15">
        <v>1</v>
      </c>
      <c r="O414" s="15">
        <v>1</v>
      </c>
      <c r="P414" s="15" t="s">
        <v>415</v>
      </c>
      <c r="Q414" s="23" t="s">
        <v>838</v>
      </c>
      <c r="R414" s="25">
        <f>ROUND((K414*Parametros!$B$4+L414*Parametros!$B$5+M414*Parametros!$B$6+N414*Parametros!$B$7+O414*Parametros!$B$8)/SUM(Parametros!$B$4:$B$8),2)</f>
        <v>2.4</v>
      </c>
      <c r="S414" s="26">
        <f>IFERROR(INDEX(Parametros!$F$33:$F$42,MATCH(D414,Parametros!$A$33:$A$42,0)),1)</f>
        <v>1.0840000000000001</v>
      </c>
      <c r="T414" s="27">
        <f>IFERROR(INDEX(Parametros!$B$21:$B$26,MATCH(I414,Parametros!$A$21:$A$26,0)),0)</f>
        <v>0</v>
      </c>
      <c r="U414" s="28">
        <f t="shared" si="25"/>
        <v>2.6</v>
      </c>
      <c r="V414" s="9">
        <f>IF(U414&gt;=Parametros!$B$14,4,IF(U414&gt;=Parametros!$B$13,3,IF(U414&gt;=Parametros!$B$12,2,1)))</f>
        <v>2</v>
      </c>
      <c r="W414" s="5">
        <f>MAX(V414,IF(K414=5,Parametros!$B$17,0),IF(P414="Sim",Parametros!$B$18,0))</f>
        <v>2</v>
      </c>
      <c r="X414" s="5" t="str">
        <f t="shared" si="26"/>
        <v>Normal</v>
      </c>
      <c r="Y414" s="29">
        <f t="shared" si="27"/>
        <v>2025.7995859999999</v>
      </c>
      <c r="Z414" s="4" t="s">
        <v>659</v>
      </c>
    </row>
    <row r="415" spans="1:26" ht="28.05" customHeight="1" x14ac:dyDescent="0.3">
      <c r="A415" s="5">
        <f t="shared" si="24"/>
        <v>411</v>
      </c>
      <c r="B415" s="23" t="s">
        <v>1022</v>
      </c>
      <c r="C415" s="17" t="s">
        <v>1023</v>
      </c>
      <c r="D415" s="4" t="s">
        <v>51</v>
      </c>
      <c r="E415" s="4" t="s">
        <v>170</v>
      </c>
      <c r="F415" s="4" t="s">
        <v>170</v>
      </c>
      <c r="G415" s="4" t="s">
        <v>171</v>
      </c>
      <c r="H415" s="4" t="s">
        <v>172</v>
      </c>
      <c r="I415" s="24" t="s">
        <v>152</v>
      </c>
      <c r="J415" s="15">
        <v>3</v>
      </c>
      <c r="K415" s="15">
        <v>3</v>
      </c>
      <c r="L415" s="15">
        <v>3</v>
      </c>
      <c r="M415" s="15">
        <v>1</v>
      </c>
      <c r="N415" s="15">
        <v>2</v>
      </c>
      <c r="O415" s="15">
        <v>3</v>
      </c>
      <c r="P415" s="15" t="s">
        <v>415</v>
      </c>
      <c r="Q415" s="23" t="s">
        <v>838</v>
      </c>
      <c r="R415" s="25">
        <f>ROUND((K415*Parametros!$B$4+L415*Parametros!$B$5+M415*Parametros!$B$6+N415*Parametros!$B$7+O415*Parametros!$B$8)/SUM(Parametros!$B$4:$B$8),2)</f>
        <v>2.4500000000000002</v>
      </c>
      <c r="S415" s="26">
        <f>IFERROR(INDEX(Parametros!$F$33:$F$42,MATCH(D415,Parametros!$A$33:$A$42,0)),1)</f>
        <v>1.0669999999999999</v>
      </c>
      <c r="T415" s="27">
        <f>IFERROR(INDEX(Parametros!$B$21:$B$26,MATCH(I415,Parametros!$A$21:$A$26,0)),0)</f>
        <v>0</v>
      </c>
      <c r="U415" s="28">
        <f t="shared" si="25"/>
        <v>2.61</v>
      </c>
      <c r="V415" s="9">
        <f>IF(U415&gt;=Parametros!$B$14,4,IF(U415&gt;=Parametros!$B$13,3,IF(U415&gt;=Parametros!$B$12,2,1)))</f>
        <v>2</v>
      </c>
      <c r="W415" s="5">
        <f>MAX(V415,IF(K415=5,Parametros!$B$17,0),IF(P415="Sim",Parametros!$B$18,0))</f>
        <v>2</v>
      </c>
      <c r="X415" s="5" t="str">
        <f t="shared" si="26"/>
        <v>Normal</v>
      </c>
      <c r="Y415" s="29">
        <f t="shared" si="27"/>
        <v>2025.799585</v>
      </c>
      <c r="Z415" s="4" t="s">
        <v>659</v>
      </c>
    </row>
    <row r="416" spans="1:26" ht="28.05" customHeight="1" x14ac:dyDescent="0.3">
      <c r="A416" s="5">
        <f t="shared" si="24"/>
        <v>412</v>
      </c>
      <c r="B416" s="23" t="s">
        <v>1024</v>
      </c>
      <c r="C416" s="17" t="s">
        <v>1025</v>
      </c>
      <c r="D416" s="4" t="s">
        <v>51</v>
      </c>
      <c r="E416" s="4" t="s">
        <v>170</v>
      </c>
      <c r="F416" s="4" t="s">
        <v>170</v>
      </c>
      <c r="G416" s="4" t="s">
        <v>171</v>
      </c>
      <c r="H416" s="4" t="s">
        <v>172</v>
      </c>
      <c r="I416" s="24" t="s">
        <v>131</v>
      </c>
      <c r="J416" s="15">
        <v>3</v>
      </c>
      <c r="K416" s="15">
        <v>3</v>
      </c>
      <c r="L416" s="15">
        <v>3</v>
      </c>
      <c r="M416" s="15">
        <v>1</v>
      </c>
      <c r="N416" s="15">
        <v>2</v>
      </c>
      <c r="O416" s="15">
        <v>3</v>
      </c>
      <c r="P416" s="15" t="s">
        <v>415</v>
      </c>
      <c r="Q416" s="23" t="s">
        <v>838</v>
      </c>
      <c r="R416" s="25">
        <f>ROUND((K416*Parametros!$B$4+L416*Parametros!$B$5+M416*Parametros!$B$6+N416*Parametros!$B$7+O416*Parametros!$B$8)/SUM(Parametros!$B$4:$B$8),2)</f>
        <v>2.4500000000000002</v>
      </c>
      <c r="S416" s="26">
        <f>IFERROR(INDEX(Parametros!$F$33:$F$42,MATCH(D416,Parametros!$A$33:$A$42,0)),1)</f>
        <v>1.0669999999999999</v>
      </c>
      <c r="T416" s="27">
        <f>IFERROR(INDEX(Parametros!$B$21:$B$26,MATCH(I416,Parametros!$A$21:$A$26,0)),0)</f>
        <v>0</v>
      </c>
      <c r="U416" s="28">
        <f t="shared" si="25"/>
        <v>2.61</v>
      </c>
      <c r="V416" s="9">
        <f>IF(U416&gt;=Parametros!$B$14,4,IF(U416&gt;=Parametros!$B$13,3,IF(U416&gt;=Parametros!$B$12,2,1)))</f>
        <v>2</v>
      </c>
      <c r="W416" s="5">
        <f>MAX(V416,IF(K416=5,Parametros!$B$17,0),IF(P416="Sim",Parametros!$B$18,0))</f>
        <v>2</v>
      </c>
      <c r="X416" s="5" t="str">
        <f t="shared" si="26"/>
        <v>Normal</v>
      </c>
      <c r="Y416" s="29">
        <f t="shared" si="27"/>
        <v>2025.7995839999999</v>
      </c>
      <c r="Z416" s="4" t="s">
        <v>659</v>
      </c>
    </row>
    <row r="417" spans="1:26" ht="28.05" customHeight="1" x14ac:dyDescent="0.3">
      <c r="A417" s="5">
        <f t="shared" si="24"/>
        <v>413</v>
      </c>
      <c r="B417" s="23" t="s">
        <v>1026</v>
      </c>
      <c r="C417" s="17" t="s">
        <v>1027</v>
      </c>
      <c r="D417" s="4" t="s">
        <v>50</v>
      </c>
      <c r="E417" s="4" t="s">
        <v>389</v>
      </c>
      <c r="F417" s="4" t="s">
        <v>389</v>
      </c>
      <c r="G417" s="4" t="s">
        <v>112</v>
      </c>
      <c r="H417" s="4" t="s">
        <v>108</v>
      </c>
      <c r="I417" s="24" t="s">
        <v>152</v>
      </c>
      <c r="J417" s="15">
        <v>3</v>
      </c>
      <c r="K417" s="15">
        <v>3</v>
      </c>
      <c r="L417" s="15">
        <v>3</v>
      </c>
      <c r="M417" s="15">
        <v>3</v>
      </c>
      <c r="N417" s="15">
        <v>1</v>
      </c>
      <c r="O417" s="15">
        <v>1</v>
      </c>
      <c r="P417" s="15" t="s">
        <v>415</v>
      </c>
      <c r="Q417" s="23" t="s">
        <v>838</v>
      </c>
      <c r="R417" s="25">
        <f>ROUND((K417*Parametros!$B$4+L417*Parametros!$B$5+M417*Parametros!$B$6+N417*Parametros!$B$7+O417*Parametros!$B$8)/SUM(Parametros!$B$4:$B$8),2)</f>
        <v>2.4</v>
      </c>
      <c r="S417" s="26">
        <f>IFERROR(INDEX(Parametros!$F$33:$F$42,MATCH(D417,Parametros!$A$33:$A$42,0)),1)</f>
        <v>1.0840000000000001</v>
      </c>
      <c r="T417" s="27">
        <f>IFERROR(INDEX(Parametros!$B$21:$B$26,MATCH(I417,Parametros!$A$21:$A$26,0)),0)</f>
        <v>0</v>
      </c>
      <c r="U417" s="28">
        <f t="shared" si="25"/>
        <v>2.6</v>
      </c>
      <c r="V417" s="9">
        <f>IF(U417&gt;=Parametros!$B$14,4,IF(U417&gt;=Parametros!$B$13,3,IF(U417&gt;=Parametros!$B$12,2,1)))</f>
        <v>2</v>
      </c>
      <c r="W417" s="5">
        <f>MAX(V417,IF(K417=5,Parametros!$B$17,0),IF(P417="Sim",Parametros!$B$18,0))</f>
        <v>2</v>
      </c>
      <c r="X417" s="5" t="str">
        <f t="shared" si="26"/>
        <v>Normal</v>
      </c>
      <c r="Y417" s="29">
        <f t="shared" si="27"/>
        <v>2025.6995830000001</v>
      </c>
      <c r="Z417" s="4" t="s">
        <v>659</v>
      </c>
    </row>
    <row r="418" spans="1:26" ht="28.05" customHeight="1" x14ac:dyDescent="0.3">
      <c r="A418" s="5">
        <f t="shared" si="24"/>
        <v>414</v>
      </c>
      <c r="B418" s="23" t="s">
        <v>1028</v>
      </c>
      <c r="C418" s="17" t="s">
        <v>978</v>
      </c>
      <c r="D418" s="4" t="s">
        <v>56</v>
      </c>
      <c r="E418" s="4" t="s">
        <v>69</v>
      </c>
      <c r="F418" s="4" t="s">
        <v>69</v>
      </c>
      <c r="G418" s="4" t="s">
        <v>112</v>
      </c>
      <c r="H418" s="4" t="s">
        <v>108</v>
      </c>
      <c r="I418" s="24" t="s">
        <v>152</v>
      </c>
      <c r="J418" s="15">
        <v>2</v>
      </c>
      <c r="K418" s="15">
        <v>3</v>
      </c>
      <c r="L418" s="15">
        <v>2</v>
      </c>
      <c r="M418" s="15">
        <v>1</v>
      </c>
      <c r="N418" s="15">
        <v>5</v>
      </c>
      <c r="O418" s="15">
        <v>2</v>
      </c>
      <c r="P418" s="15" t="s">
        <v>415</v>
      </c>
      <c r="Q418" s="23" t="s">
        <v>416</v>
      </c>
      <c r="R418" s="25">
        <f>ROUND((K418*Parametros!$B$4+L418*Parametros!$B$5+M418*Parametros!$B$6+N418*Parametros!$B$7+O418*Parametros!$B$8)/SUM(Parametros!$B$4:$B$8),2)</f>
        <v>2.5499999999999998</v>
      </c>
      <c r="S418" s="26">
        <f>IFERROR(INDEX(Parametros!$F$33:$F$42,MATCH(D418,Parametros!$A$33:$A$42,0)),1)</f>
        <v>1.0169999999999999</v>
      </c>
      <c r="T418" s="27">
        <f>IFERROR(INDEX(Parametros!$B$21:$B$26,MATCH(I418,Parametros!$A$21:$A$26,0)),0)</f>
        <v>0</v>
      </c>
      <c r="U418" s="28">
        <f t="shared" si="25"/>
        <v>2.59</v>
      </c>
      <c r="V418" s="9">
        <f>IF(U418&gt;=Parametros!$B$14,4,IF(U418&gt;=Parametros!$B$13,3,IF(U418&gt;=Parametros!$B$12,2,1)))</f>
        <v>2</v>
      </c>
      <c r="W418" s="5">
        <f>MAX(V418,IF(K418=5,Parametros!$B$17,0),IF(P418="Sim",Parametros!$B$18,0))</f>
        <v>2</v>
      </c>
      <c r="X418" s="5" t="str">
        <f t="shared" si="26"/>
        <v>Normal</v>
      </c>
      <c r="Y418" s="29">
        <f t="shared" si="27"/>
        <v>2025.699582</v>
      </c>
      <c r="Z418" s="4" t="s">
        <v>656</v>
      </c>
    </row>
    <row r="419" spans="1:26" ht="28.05" customHeight="1" x14ac:dyDescent="0.3">
      <c r="A419" s="5">
        <f t="shared" si="24"/>
        <v>415</v>
      </c>
      <c r="B419" s="23" t="s">
        <v>1029</v>
      </c>
      <c r="C419" s="17" t="s">
        <v>1030</v>
      </c>
      <c r="D419" s="4" t="s">
        <v>50</v>
      </c>
      <c r="E419" s="4" t="s">
        <v>345</v>
      </c>
      <c r="F419" s="4" t="s">
        <v>539</v>
      </c>
      <c r="G419" s="4" t="s">
        <v>184</v>
      </c>
      <c r="H419" s="4" t="s">
        <v>185</v>
      </c>
      <c r="I419" s="24" t="s">
        <v>152</v>
      </c>
      <c r="J419" s="15">
        <v>3</v>
      </c>
      <c r="K419" s="15">
        <v>3</v>
      </c>
      <c r="L419" s="15">
        <v>3</v>
      </c>
      <c r="M419" s="15">
        <v>3</v>
      </c>
      <c r="N419" s="15">
        <v>1</v>
      </c>
      <c r="O419" s="15">
        <v>1</v>
      </c>
      <c r="P419" s="15" t="s">
        <v>415</v>
      </c>
      <c r="Q419" s="23" t="s">
        <v>838</v>
      </c>
      <c r="R419" s="25">
        <f>ROUND((K419*Parametros!$B$4+L419*Parametros!$B$5+M419*Parametros!$B$6+N419*Parametros!$B$7+O419*Parametros!$B$8)/SUM(Parametros!$B$4:$B$8),2)</f>
        <v>2.4</v>
      </c>
      <c r="S419" s="26">
        <f>IFERROR(INDEX(Parametros!$F$33:$F$42,MATCH(D419,Parametros!$A$33:$A$42,0)),1)</f>
        <v>1.0840000000000001</v>
      </c>
      <c r="T419" s="27">
        <f>IFERROR(INDEX(Parametros!$B$21:$B$26,MATCH(I419,Parametros!$A$21:$A$26,0)),0)</f>
        <v>0</v>
      </c>
      <c r="U419" s="28">
        <f t="shared" si="25"/>
        <v>2.6</v>
      </c>
      <c r="V419" s="9">
        <f>IF(U419&gt;=Parametros!$B$14,4,IF(U419&gt;=Parametros!$B$13,3,IF(U419&gt;=Parametros!$B$12,2,1)))</f>
        <v>2</v>
      </c>
      <c r="W419" s="5">
        <f>MAX(V419,IF(K419=5,Parametros!$B$17,0),IF(P419="Sim",Parametros!$B$18,0))</f>
        <v>2</v>
      </c>
      <c r="X419" s="5" t="str">
        <f t="shared" si="26"/>
        <v>Normal</v>
      </c>
      <c r="Y419" s="29">
        <f t="shared" si="27"/>
        <v>2025.6995810000001</v>
      </c>
      <c r="Z419" s="4" t="s">
        <v>659</v>
      </c>
    </row>
    <row r="420" spans="1:26" ht="28.05" customHeight="1" x14ac:dyDescent="0.3">
      <c r="A420" s="5">
        <f t="shared" si="24"/>
        <v>416</v>
      </c>
      <c r="B420" s="23" t="s">
        <v>1031</v>
      </c>
      <c r="C420" s="17" t="s">
        <v>1032</v>
      </c>
      <c r="D420" s="4" t="s">
        <v>50</v>
      </c>
      <c r="E420" s="4" t="s">
        <v>70</v>
      </c>
      <c r="F420" s="4" t="s">
        <v>70</v>
      </c>
      <c r="G420" s="4" t="s">
        <v>171</v>
      </c>
      <c r="H420" s="4" t="s">
        <v>172</v>
      </c>
      <c r="I420" s="24" t="s">
        <v>152</v>
      </c>
      <c r="J420" s="15">
        <v>3</v>
      </c>
      <c r="K420" s="15">
        <v>3</v>
      </c>
      <c r="L420" s="15">
        <v>3</v>
      </c>
      <c r="M420" s="15">
        <v>3</v>
      </c>
      <c r="N420" s="15">
        <v>1</v>
      </c>
      <c r="O420" s="15">
        <v>1</v>
      </c>
      <c r="P420" s="15" t="s">
        <v>415</v>
      </c>
      <c r="Q420" s="23" t="s">
        <v>838</v>
      </c>
      <c r="R420" s="25">
        <f>ROUND((K420*Parametros!$B$4+L420*Parametros!$B$5+M420*Parametros!$B$6+N420*Parametros!$B$7+O420*Parametros!$B$8)/SUM(Parametros!$B$4:$B$8),2)</f>
        <v>2.4</v>
      </c>
      <c r="S420" s="26">
        <f>IFERROR(INDEX(Parametros!$F$33:$F$42,MATCH(D420,Parametros!$A$33:$A$42,0)),1)</f>
        <v>1.0840000000000001</v>
      </c>
      <c r="T420" s="27">
        <f>IFERROR(INDEX(Parametros!$B$21:$B$26,MATCH(I420,Parametros!$A$21:$A$26,0)),0)</f>
        <v>0</v>
      </c>
      <c r="U420" s="28">
        <f t="shared" si="25"/>
        <v>2.6</v>
      </c>
      <c r="V420" s="9">
        <f>IF(U420&gt;=Parametros!$B$14,4,IF(U420&gt;=Parametros!$B$13,3,IF(U420&gt;=Parametros!$B$12,2,1)))</f>
        <v>2</v>
      </c>
      <c r="W420" s="5">
        <f>MAX(V420,IF(K420=5,Parametros!$B$17,0),IF(P420="Sim",Parametros!$B$18,0))</f>
        <v>2</v>
      </c>
      <c r="X420" s="5" t="str">
        <f t="shared" si="26"/>
        <v>Normal</v>
      </c>
      <c r="Y420" s="29">
        <f t="shared" si="27"/>
        <v>2025.69958</v>
      </c>
      <c r="Z420" s="4" t="s">
        <v>659</v>
      </c>
    </row>
    <row r="421" spans="1:26" ht="28.05" customHeight="1" x14ac:dyDescent="0.3">
      <c r="A421" s="5">
        <f t="shared" si="24"/>
        <v>417</v>
      </c>
      <c r="B421" s="23" t="s">
        <v>1033</v>
      </c>
      <c r="C421" s="17" t="s">
        <v>1034</v>
      </c>
      <c r="D421" s="4" t="s">
        <v>50</v>
      </c>
      <c r="E421" s="4" t="s">
        <v>389</v>
      </c>
      <c r="F421" s="4" t="s">
        <v>389</v>
      </c>
      <c r="G421" s="4" t="s">
        <v>171</v>
      </c>
      <c r="H421" s="4" t="s">
        <v>172</v>
      </c>
      <c r="I421" s="24" t="s">
        <v>152</v>
      </c>
      <c r="J421" s="15">
        <v>3</v>
      </c>
      <c r="K421" s="15">
        <v>3</v>
      </c>
      <c r="L421" s="15">
        <v>3</v>
      </c>
      <c r="M421" s="15">
        <v>3</v>
      </c>
      <c r="N421" s="15">
        <v>1</v>
      </c>
      <c r="O421" s="15">
        <v>1</v>
      </c>
      <c r="P421" s="15" t="s">
        <v>415</v>
      </c>
      <c r="Q421" s="23" t="s">
        <v>838</v>
      </c>
      <c r="R421" s="25">
        <f>ROUND((K421*Parametros!$B$4+L421*Parametros!$B$5+M421*Parametros!$B$6+N421*Parametros!$B$7+O421*Parametros!$B$8)/SUM(Parametros!$B$4:$B$8),2)</f>
        <v>2.4</v>
      </c>
      <c r="S421" s="26">
        <f>IFERROR(INDEX(Parametros!$F$33:$F$42,MATCH(D421,Parametros!$A$33:$A$42,0)),1)</f>
        <v>1.0840000000000001</v>
      </c>
      <c r="T421" s="27">
        <f>IFERROR(INDEX(Parametros!$B$21:$B$26,MATCH(I421,Parametros!$A$21:$A$26,0)),0)</f>
        <v>0</v>
      </c>
      <c r="U421" s="28">
        <f t="shared" si="25"/>
        <v>2.6</v>
      </c>
      <c r="V421" s="9">
        <f>IF(U421&gt;=Parametros!$B$14,4,IF(U421&gt;=Parametros!$B$13,3,IF(U421&gt;=Parametros!$B$12,2,1)))</f>
        <v>2</v>
      </c>
      <c r="W421" s="5">
        <f>MAX(V421,IF(K421=5,Parametros!$B$17,0),IF(P421="Sim",Parametros!$B$18,0))</f>
        <v>2</v>
      </c>
      <c r="X421" s="5" t="str">
        <f t="shared" si="26"/>
        <v>Normal</v>
      </c>
      <c r="Y421" s="29">
        <f t="shared" si="27"/>
        <v>2025.6995790000001</v>
      </c>
      <c r="Z421" s="4" t="s">
        <v>659</v>
      </c>
    </row>
    <row r="422" spans="1:26" ht="28.05" customHeight="1" x14ac:dyDescent="0.3">
      <c r="A422" s="5">
        <f t="shared" si="24"/>
        <v>418</v>
      </c>
      <c r="B422" s="23" t="s">
        <v>1035</v>
      </c>
      <c r="C422" s="17" t="s">
        <v>1036</v>
      </c>
      <c r="D422" s="4" t="s">
        <v>50</v>
      </c>
      <c r="E422" s="4" t="s">
        <v>70</v>
      </c>
      <c r="F422" s="4" t="s">
        <v>70</v>
      </c>
      <c r="G422" s="4" t="s">
        <v>171</v>
      </c>
      <c r="H422" s="4" t="s">
        <v>172</v>
      </c>
      <c r="I422" s="24" t="s">
        <v>152</v>
      </c>
      <c r="J422" s="15">
        <v>3</v>
      </c>
      <c r="K422" s="15">
        <v>3</v>
      </c>
      <c r="L422" s="15">
        <v>3</v>
      </c>
      <c r="M422" s="15">
        <v>3</v>
      </c>
      <c r="N422" s="15">
        <v>1</v>
      </c>
      <c r="O422" s="15">
        <v>1</v>
      </c>
      <c r="P422" s="15" t="s">
        <v>415</v>
      </c>
      <c r="Q422" s="23" t="s">
        <v>838</v>
      </c>
      <c r="R422" s="25">
        <f>ROUND((K422*Parametros!$B$4+L422*Parametros!$B$5+M422*Parametros!$B$6+N422*Parametros!$B$7+O422*Parametros!$B$8)/SUM(Parametros!$B$4:$B$8),2)</f>
        <v>2.4</v>
      </c>
      <c r="S422" s="26">
        <f>IFERROR(INDEX(Parametros!$F$33:$F$42,MATCH(D422,Parametros!$A$33:$A$42,0)),1)</f>
        <v>1.0840000000000001</v>
      </c>
      <c r="T422" s="27">
        <f>IFERROR(INDEX(Parametros!$B$21:$B$26,MATCH(I422,Parametros!$A$21:$A$26,0)),0)</f>
        <v>0</v>
      </c>
      <c r="U422" s="28">
        <f t="shared" si="25"/>
        <v>2.6</v>
      </c>
      <c r="V422" s="9">
        <f>IF(U422&gt;=Parametros!$B$14,4,IF(U422&gt;=Parametros!$B$13,3,IF(U422&gt;=Parametros!$B$12,2,1)))</f>
        <v>2</v>
      </c>
      <c r="W422" s="5">
        <f>MAX(V422,IF(K422=5,Parametros!$B$17,0),IF(P422="Sim",Parametros!$B$18,0))</f>
        <v>2</v>
      </c>
      <c r="X422" s="5" t="str">
        <f t="shared" si="26"/>
        <v>Normal</v>
      </c>
      <c r="Y422" s="29">
        <f t="shared" si="27"/>
        <v>2025.699578</v>
      </c>
      <c r="Z422" s="4" t="s">
        <v>659</v>
      </c>
    </row>
    <row r="423" spans="1:26" ht="28.05" customHeight="1" x14ac:dyDescent="0.3">
      <c r="A423" s="5">
        <f t="shared" si="24"/>
        <v>419</v>
      </c>
      <c r="B423" s="23" t="s">
        <v>1037</v>
      </c>
      <c r="C423" s="17" t="s">
        <v>1038</v>
      </c>
      <c r="D423" s="4" t="s">
        <v>50</v>
      </c>
      <c r="E423" s="4" t="s">
        <v>75</v>
      </c>
      <c r="F423" s="4" t="s">
        <v>75</v>
      </c>
      <c r="G423" s="4" t="s">
        <v>112</v>
      </c>
      <c r="H423" s="4" t="s">
        <v>108</v>
      </c>
      <c r="I423" s="24" t="s">
        <v>152</v>
      </c>
      <c r="J423" s="15">
        <v>3</v>
      </c>
      <c r="K423" s="15">
        <v>2</v>
      </c>
      <c r="L423" s="15">
        <v>3</v>
      </c>
      <c r="M423" s="15">
        <v>3</v>
      </c>
      <c r="N423" s="15">
        <v>1</v>
      </c>
      <c r="O423" s="15">
        <v>3</v>
      </c>
      <c r="P423" s="15" t="s">
        <v>415</v>
      </c>
      <c r="Q423" s="23" t="s">
        <v>416</v>
      </c>
      <c r="R423" s="25">
        <f>ROUND((K423*Parametros!$B$4+L423*Parametros!$B$5+M423*Parametros!$B$6+N423*Parametros!$B$7+O423*Parametros!$B$8)/SUM(Parametros!$B$4:$B$8),2)</f>
        <v>2.4</v>
      </c>
      <c r="S423" s="26">
        <f>IFERROR(INDEX(Parametros!$F$33:$F$42,MATCH(D423,Parametros!$A$33:$A$42,0)),1)</f>
        <v>1.0840000000000001</v>
      </c>
      <c r="T423" s="27">
        <f>IFERROR(INDEX(Parametros!$B$21:$B$26,MATCH(I423,Parametros!$A$21:$A$26,0)),0)</f>
        <v>0</v>
      </c>
      <c r="U423" s="28">
        <f t="shared" si="25"/>
        <v>2.6</v>
      </c>
      <c r="V423" s="9">
        <f>IF(U423&gt;=Parametros!$B$14,4,IF(U423&gt;=Parametros!$B$13,3,IF(U423&gt;=Parametros!$B$12,2,1)))</f>
        <v>2</v>
      </c>
      <c r="W423" s="5">
        <f>MAX(V423,IF(K423=5,Parametros!$B$17,0),IF(P423="Sim",Parametros!$B$18,0))</f>
        <v>2</v>
      </c>
      <c r="X423" s="5" t="str">
        <f t="shared" si="26"/>
        <v>Normal</v>
      </c>
      <c r="Y423" s="29">
        <f t="shared" si="27"/>
        <v>2025.6995770000001</v>
      </c>
      <c r="Z423" s="4" t="s">
        <v>659</v>
      </c>
    </row>
    <row r="424" spans="1:26" ht="28.05" customHeight="1" x14ac:dyDescent="0.3">
      <c r="A424" s="5">
        <f t="shared" si="24"/>
        <v>420</v>
      </c>
      <c r="B424" s="23" t="s">
        <v>1039</v>
      </c>
      <c r="C424" s="17" t="s">
        <v>1040</v>
      </c>
      <c r="D424" s="4" t="s">
        <v>50</v>
      </c>
      <c r="E424" s="4" t="s">
        <v>389</v>
      </c>
      <c r="F424" s="4" t="s">
        <v>389</v>
      </c>
      <c r="G424" s="4" t="s">
        <v>171</v>
      </c>
      <c r="H424" s="4" t="s">
        <v>172</v>
      </c>
      <c r="I424" s="24" t="s">
        <v>152</v>
      </c>
      <c r="J424" s="15">
        <v>3</v>
      </c>
      <c r="K424" s="15">
        <v>3</v>
      </c>
      <c r="L424" s="15">
        <v>3</v>
      </c>
      <c r="M424" s="15">
        <v>3</v>
      </c>
      <c r="N424" s="15">
        <v>1</v>
      </c>
      <c r="O424" s="15">
        <v>1</v>
      </c>
      <c r="P424" s="15" t="s">
        <v>415</v>
      </c>
      <c r="Q424" s="23" t="s">
        <v>838</v>
      </c>
      <c r="R424" s="25">
        <f>ROUND((K424*Parametros!$B$4+L424*Parametros!$B$5+M424*Parametros!$B$6+N424*Parametros!$B$7+O424*Parametros!$B$8)/SUM(Parametros!$B$4:$B$8),2)</f>
        <v>2.4</v>
      </c>
      <c r="S424" s="26">
        <f>IFERROR(INDEX(Parametros!$F$33:$F$42,MATCH(D424,Parametros!$A$33:$A$42,0)),1)</f>
        <v>1.0840000000000001</v>
      </c>
      <c r="T424" s="27">
        <f>IFERROR(INDEX(Parametros!$B$21:$B$26,MATCH(I424,Parametros!$A$21:$A$26,0)),0)</f>
        <v>0</v>
      </c>
      <c r="U424" s="28">
        <f t="shared" si="25"/>
        <v>2.6</v>
      </c>
      <c r="V424" s="9">
        <f>IF(U424&gt;=Parametros!$B$14,4,IF(U424&gt;=Parametros!$B$13,3,IF(U424&gt;=Parametros!$B$12,2,1)))</f>
        <v>2</v>
      </c>
      <c r="W424" s="5">
        <f>MAX(V424,IF(K424=5,Parametros!$B$17,0),IF(P424="Sim",Parametros!$B$18,0))</f>
        <v>2</v>
      </c>
      <c r="X424" s="5" t="str">
        <f t="shared" si="26"/>
        <v>Normal</v>
      </c>
      <c r="Y424" s="29">
        <f t="shared" si="27"/>
        <v>2025.699576</v>
      </c>
      <c r="Z424" s="4" t="s">
        <v>659</v>
      </c>
    </row>
    <row r="425" spans="1:26" ht="28.05" customHeight="1" x14ac:dyDescent="0.3">
      <c r="A425" s="5">
        <f t="shared" si="24"/>
        <v>421</v>
      </c>
      <c r="B425" s="23" t="s">
        <v>1041</v>
      </c>
      <c r="C425" s="17" t="s">
        <v>1042</v>
      </c>
      <c r="D425" s="4" t="s">
        <v>50</v>
      </c>
      <c r="E425" s="4" t="s">
        <v>75</v>
      </c>
      <c r="F425" s="4" t="s">
        <v>75</v>
      </c>
      <c r="G425" s="4" t="s">
        <v>107</v>
      </c>
      <c r="H425" s="4" t="s">
        <v>108</v>
      </c>
      <c r="I425" s="24" t="s">
        <v>152</v>
      </c>
      <c r="J425" s="15">
        <v>3</v>
      </c>
      <c r="K425" s="15">
        <v>2</v>
      </c>
      <c r="L425" s="15">
        <v>3</v>
      </c>
      <c r="M425" s="15">
        <v>3</v>
      </c>
      <c r="N425" s="15">
        <v>1</v>
      </c>
      <c r="O425" s="15">
        <v>3</v>
      </c>
      <c r="P425" s="15" t="s">
        <v>415</v>
      </c>
      <c r="Q425" s="23" t="s">
        <v>416</v>
      </c>
      <c r="R425" s="25">
        <f>ROUND((K425*Parametros!$B$4+L425*Parametros!$B$5+M425*Parametros!$B$6+N425*Parametros!$B$7+O425*Parametros!$B$8)/SUM(Parametros!$B$4:$B$8),2)</f>
        <v>2.4</v>
      </c>
      <c r="S425" s="26">
        <f>IFERROR(INDEX(Parametros!$F$33:$F$42,MATCH(D425,Parametros!$A$33:$A$42,0)),1)</f>
        <v>1.0840000000000001</v>
      </c>
      <c r="T425" s="27">
        <f>IFERROR(INDEX(Parametros!$B$21:$B$26,MATCH(I425,Parametros!$A$21:$A$26,0)),0)</f>
        <v>0</v>
      </c>
      <c r="U425" s="28">
        <f t="shared" si="25"/>
        <v>2.6</v>
      </c>
      <c r="V425" s="9">
        <f>IF(U425&gt;=Parametros!$B$14,4,IF(U425&gt;=Parametros!$B$13,3,IF(U425&gt;=Parametros!$B$12,2,1)))</f>
        <v>2</v>
      </c>
      <c r="W425" s="5">
        <f>MAX(V425,IF(K425=5,Parametros!$B$17,0),IF(P425="Sim",Parametros!$B$18,0))</f>
        <v>2</v>
      </c>
      <c r="X425" s="5" t="str">
        <f t="shared" si="26"/>
        <v>Normal</v>
      </c>
      <c r="Y425" s="29">
        <f t="shared" si="27"/>
        <v>2025.6995750000001</v>
      </c>
      <c r="Z425" s="4" t="s">
        <v>659</v>
      </c>
    </row>
    <row r="426" spans="1:26" ht="28.05" customHeight="1" x14ac:dyDescent="0.3">
      <c r="A426" s="5">
        <f t="shared" si="24"/>
        <v>422</v>
      </c>
      <c r="B426" s="23" t="s">
        <v>1043</v>
      </c>
      <c r="C426" s="17" t="s">
        <v>1044</v>
      </c>
      <c r="D426" s="4" t="s">
        <v>50</v>
      </c>
      <c r="E426" s="4" t="s">
        <v>70</v>
      </c>
      <c r="F426" s="4" t="s">
        <v>70</v>
      </c>
      <c r="G426" s="4" t="s">
        <v>184</v>
      </c>
      <c r="H426" s="4" t="s">
        <v>185</v>
      </c>
      <c r="I426" s="24" t="s">
        <v>131</v>
      </c>
      <c r="J426" s="15">
        <v>3</v>
      </c>
      <c r="K426" s="15">
        <v>2</v>
      </c>
      <c r="L426" s="15">
        <v>3</v>
      </c>
      <c r="M426" s="15">
        <v>3</v>
      </c>
      <c r="N426" s="15">
        <v>1</v>
      </c>
      <c r="O426" s="15">
        <v>3</v>
      </c>
      <c r="P426" s="15" t="s">
        <v>415</v>
      </c>
      <c r="Q426" s="23" t="s">
        <v>838</v>
      </c>
      <c r="R426" s="25">
        <f>ROUND((K426*Parametros!$B$4+L426*Parametros!$B$5+M426*Parametros!$B$6+N426*Parametros!$B$7+O426*Parametros!$B$8)/SUM(Parametros!$B$4:$B$8),2)</f>
        <v>2.4</v>
      </c>
      <c r="S426" s="26">
        <f>IFERROR(INDEX(Parametros!$F$33:$F$42,MATCH(D426,Parametros!$A$33:$A$42,0)),1)</f>
        <v>1.0840000000000001</v>
      </c>
      <c r="T426" s="27">
        <f>IFERROR(INDEX(Parametros!$B$21:$B$26,MATCH(I426,Parametros!$A$21:$A$26,0)),0)</f>
        <v>0</v>
      </c>
      <c r="U426" s="28">
        <f t="shared" si="25"/>
        <v>2.6</v>
      </c>
      <c r="V426" s="9">
        <f>IF(U426&gt;=Parametros!$B$14,4,IF(U426&gt;=Parametros!$B$13,3,IF(U426&gt;=Parametros!$B$12,2,1)))</f>
        <v>2</v>
      </c>
      <c r="W426" s="5">
        <f>MAX(V426,IF(K426=5,Parametros!$B$17,0),IF(P426="Sim",Parametros!$B$18,0))</f>
        <v>2</v>
      </c>
      <c r="X426" s="5" t="str">
        <f t="shared" si="26"/>
        <v>Normal</v>
      </c>
      <c r="Y426" s="29">
        <f t="shared" si="27"/>
        <v>2025.699574</v>
      </c>
      <c r="Z426" s="4" t="s">
        <v>659</v>
      </c>
    </row>
    <row r="427" spans="1:26" ht="28.05" customHeight="1" x14ac:dyDescent="0.3">
      <c r="A427" s="5">
        <f t="shared" si="24"/>
        <v>423</v>
      </c>
      <c r="B427" s="23" t="s">
        <v>1045</v>
      </c>
      <c r="C427" s="17" t="s">
        <v>1046</v>
      </c>
      <c r="D427" s="4" t="s">
        <v>50</v>
      </c>
      <c r="E427" s="4" t="s">
        <v>64</v>
      </c>
      <c r="F427" s="4" t="s">
        <v>64</v>
      </c>
      <c r="G427" s="4" t="s">
        <v>107</v>
      </c>
      <c r="H427" s="4" t="s">
        <v>108</v>
      </c>
      <c r="I427" s="24" t="s">
        <v>152</v>
      </c>
      <c r="J427" s="15">
        <v>3</v>
      </c>
      <c r="K427" s="15">
        <v>3</v>
      </c>
      <c r="L427" s="15">
        <v>3</v>
      </c>
      <c r="M427" s="15">
        <v>3</v>
      </c>
      <c r="N427" s="15">
        <v>1</v>
      </c>
      <c r="O427" s="15">
        <v>1</v>
      </c>
      <c r="P427" s="15" t="s">
        <v>415</v>
      </c>
      <c r="Q427" s="23" t="s">
        <v>838</v>
      </c>
      <c r="R427" s="25">
        <f>ROUND((K427*Parametros!$B$4+L427*Parametros!$B$5+M427*Parametros!$B$6+N427*Parametros!$B$7+O427*Parametros!$B$8)/SUM(Parametros!$B$4:$B$8),2)</f>
        <v>2.4</v>
      </c>
      <c r="S427" s="26">
        <f>IFERROR(INDEX(Parametros!$F$33:$F$42,MATCH(D427,Parametros!$A$33:$A$42,0)),1)</f>
        <v>1.0840000000000001</v>
      </c>
      <c r="T427" s="27">
        <f>IFERROR(INDEX(Parametros!$B$21:$B$26,MATCH(I427,Parametros!$A$21:$A$26,0)),0)</f>
        <v>0</v>
      </c>
      <c r="U427" s="28">
        <f t="shared" si="25"/>
        <v>2.6</v>
      </c>
      <c r="V427" s="9">
        <f>IF(U427&gt;=Parametros!$B$14,4,IF(U427&gt;=Parametros!$B$13,3,IF(U427&gt;=Parametros!$B$12,2,1)))</f>
        <v>2</v>
      </c>
      <c r="W427" s="5">
        <f>MAX(V427,IF(K427=5,Parametros!$B$17,0),IF(P427="Sim",Parametros!$B$18,0))</f>
        <v>2</v>
      </c>
      <c r="X427" s="5" t="str">
        <f t="shared" si="26"/>
        <v>Normal</v>
      </c>
      <c r="Y427" s="29">
        <f t="shared" si="27"/>
        <v>2025.6995730000001</v>
      </c>
      <c r="Z427" s="4" t="s">
        <v>659</v>
      </c>
    </row>
    <row r="428" spans="1:26" ht="28.05" customHeight="1" x14ac:dyDescent="0.3">
      <c r="A428" s="5">
        <f t="shared" si="24"/>
        <v>424</v>
      </c>
      <c r="B428" s="23" t="s">
        <v>1047</v>
      </c>
      <c r="C428" s="17" t="s">
        <v>1048</v>
      </c>
      <c r="D428" s="4" t="s">
        <v>50</v>
      </c>
      <c r="E428" s="4" t="s">
        <v>75</v>
      </c>
      <c r="F428" s="4" t="s">
        <v>75</v>
      </c>
      <c r="G428" s="4" t="s">
        <v>171</v>
      </c>
      <c r="H428" s="4" t="s">
        <v>172</v>
      </c>
      <c r="I428" s="24" t="s">
        <v>152</v>
      </c>
      <c r="J428" s="15">
        <v>3</v>
      </c>
      <c r="K428" s="15">
        <v>3</v>
      </c>
      <c r="L428" s="15">
        <v>3</v>
      </c>
      <c r="M428" s="15">
        <v>3</v>
      </c>
      <c r="N428" s="15">
        <v>1</v>
      </c>
      <c r="O428" s="15">
        <v>1</v>
      </c>
      <c r="P428" s="15" t="s">
        <v>415</v>
      </c>
      <c r="Q428" s="23" t="s">
        <v>838</v>
      </c>
      <c r="R428" s="25">
        <f>ROUND((K428*Parametros!$B$4+L428*Parametros!$B$5+M428*Parametros!$B$6+N428*Parametros!$B$7+O428*Parametros!$B$8)/SUM(Parametros!$B$4:$B$8),2)</f>
        <v>2.4</v>
      </c>
      <c r="S428" s="26">
        <f>IFERROR(INDEX(Parametros!$F$33:$F$42,MATCH(D428,Parametros!$A$33:$A$42,0)),1)</f>
        <v>1.0840000000000001</v>
      </c>
      <c r="T428" s="27">
        <f>IFERROR(INDEX(Parametros!$B$21:$B$26,MATCH(I428,Parametros!$A$21:$A$26,0)),0)</f>
        <v>0</v>
      </c>
      <c r="U428" s="28">
        <f t="shared" si="25"/>
        <v>2.6</v>
      </c>
      <c r="V428" s="9">
        <f>IF(U428&gt;=Parametros!$B$14,4,IF(U428&gt;=Parametros!$B$13,3,IF(U428&gt;=Parametros!$B$12,2,1)))</f>
        <v>2</v>
      </c>
      <c r="W428" s="5">
        <f>MAX(V428,IF(K428=5,Parametros!$B$17,0),IF(P428="Sim",Parametros!$B$18,0))</f>
        <v>2</v>
      </c>
      <c r="X428" s="5" t="str">
        <f t="shared" si="26"/>
        <v>Normal</v>
      </c>
      <c r="Y428" s="29">
        <f t="shared" si="27"/>
        <v>2025.699572</v>
      </c>
      <c r="Z428" s="4" t="s">
        <v>659</v>
      </c>
    </row>
    <row r="429" spans="1:26" ht="28.05" customHeight="1" x14ac:dyDescent="0.3">
      <c r="A429" s="5">
        <f t="shared" si="24"/>
        <v>425</v>
      </c>
      <c r="B429" s="23" t="s">
        <v>1049</v>
      </c>
      <c r="C429" s="17" t="s">
        <v>1048</v>
      </c>
      <c r="D429" s="4" t="s">
        <v>50</v>
      </c>
      <c r="E429" s="4" t="s">
        <v>86</v>
      </c>
      <c r="F429" s="4" t="s">
        <v>554</v>
      </c>
      <c r="G429" s="4" t="s">
        <v>171</v>
      </c>
      <c r="H429" s="4" t="s">
        <v>172</v>
      </c>
      <c r="I429" s="24" t="s">
        <v>152</v>
      </c>
      <c r="J429" s="15">
        <v>3</v>
      </c>
      <c r="K429" s="15">
        <v>3</v>
      </c>
      <c r="L429" s="15">
        <v>3</v>
      </c>
      <c r="M429" s="15">
        <v>3</v>
      </c>
      <c r="N429" s="15">
        <v>1</v>
      </c>
      <c r="O429" s="15">
        <v>1</v>
      </c>
      <c r="P429" s="15" t="s">
        <v>415</v>
      </c>
      <c r="Q429" s="23" t="s">
        <v>838</v>
      </c>
      <c r="R429" s="25">
        <f>ROUND((K429*Parametros!$B$4+L429*Parametros!$B$5+M429*Parametros!$B$6+N429*Parametros!$B$7+O429*Parametros!$B$8)/SUM(Parametros!$B$4:$B$8),2)</f>
        <v>2.4</v>
      </c>
      <c r="S429" s="26">
        <f>IFERROR(INDEX(Parametros!$F$33:$F$42,MATCH(D429,Parametros!$A$33:$A$42,0)),1)</f>
        <v>1.0840000000000001</v>
      </c>
      <c r="T429" s="27">
        <f>IFERROR(INDEX(Parametros!$B$21:$B$26,MATCH(I429,Parametros!$A$21:$A$26,0)),0)</f>
        <v>0</v>
      </c>
      <c r="U429" s="28">
        <f t="shared" si="25"/>
        <v>2.6</v>
      </c>
      <c r="V429" s="9">
        <f>IF(U429&gt;=Parametros!$B$14,4,IF(U429&gt;=Parametros!$B$13,3,IF(U429&gt;=Parametros!$B$12,2,1)))</f>
        <v>2</v>
      </c>
      <c r="W429" s="5">
        <f>MAX(V429,IF(K429=5,Parametros!$B$17,0),IF(P429="Sim",Parametros!$B$18,0))</f>
        <v>2</v>
      </c>
      <c r="X429" s="5" t="str">
        <f t="shared" si="26"/>
        <v>Normal</v>
      </c>
      <c r="Y429" s="29">
        <f t="shared" si="27"/>
        <v>2025.6995710000001</v>
      </c>
      <c r="Z429" s="4" t="s">
        <v>659</v>
      </c>
    </row>
    <row r="430" spans="1:26" ht="28.05" customHeight="1" x14ac:dyDescent="0.3">
      <c r="A430" s="5">
        <f t="shared" si="24"/>
        <v>426</v>
      </c>
      <c r="B430" s="23" t="s">
        <v>1050</v>
      </c>
      <c r="C430" s="17" t="s">
        <v>1051</v>
      </c>
      <c r="D430" s="4" t="s">
        <v>50</v>
      </c>
      <c r="E430" s="4" t="s">
        <v>64</v>
      </c>
      <c r="F430" s="4" t="s">
        <v>64</v>
      </c>
      <c r="G430" s="4" t="s">
        <v>171</v>
      </c>
      <c r="H430" s="4" t="s">
        <v>172</v>
      </c>
      <c r="I430" s="24" t="s">
        <v>131</v>
      </c>
      <c r="J430" s="15">
        <v>3</v>
      </c>
      <c r="K430" s="15">
        <v>3</v>
      </c>
      <c r="L430" s="15">
        <v>3</v>
      </c>
      <c r="M430" s="15">
        <v>3</v>
      </c>
      <c r="N430" s="15">
        <v>1</v>
      </c>
      <c r="O430" s="15">
        <v>1</v>
      </c>
      <c r="P430" s="15" t="s">
        <v>415</v>
      </c>
      <c r="Q430" s="23" t="s">
        <v>838</v>
      </c>
      <c r="R430" s="25">
        <f>ROUND((K430*Parametros!$B$4+L430*Parametros!$B$5+M430*Parametros!$B$6+N430*Parametros!$B$7+O430*Parametros!$B$8)/SUM(Parametros!$B$4:$B$8),2)</f>
        <v>2.4</v>
      </c>
      <c r="S430" s="26">
        <f>IFERROR(INDEX(Parametros!$F$33:$F$42,MATCH(D430,Parametros!$A$33:$A$42,0)),1)</f>
        <v>1.0840000000000001</v>
      </c>
      <c r="T430" s="27">
        <f>IFERROR(INDEX(Parametros!$B$21:$B$26,MATCH(I430,Parametros!$A$21:$A$26,0)),0)</f>
        <v>0</v>
      </c>
      <c r="U430" s="28">
        <f t="shared" si="25"/>
        <v>2.6</v>
      </c>
      <c r="V430" s="9">
        <f>IF(U430&gt;=Parametros!$B$14,4,IF(U430&gt;=Parametros!$B$13,3,IF(U430&gt;=Parametros!$B$12,2,1)))</f>
        <v>2</v>
      </c>
      <c r="W430" s="5">
        <f>MAX(V430,IF(K430=5,Parametros!$B$17,0),IF(P430="Sim",Parametros!$B$18,0))</f>
        <v>2</v>
      </c>
      <c r="X430" s="5" t="str">
        <f t="shared" si="26"/>
        <v>Normal</v>
      </c>
      <c r="Y430" s="29">
        <f t="shared" si="27"/>
        <v>2025.69957</v>
      </c>
      <c r="Z430" s="4" t="s">
        <v>659</v>
      </c>
    </row>
    <row r="431" spans="1:26" ht="28.05" customHeight="1" x14ac:dyDescent="0.3">
      <c r="A431" s="5">
        <f t="shared" si="24"/>
        <v>427</v>
      </c>
      <c r="B431" s="23" t="s">
        <v>1052</v>
      </c>
      <c r="C431" s="17" t="s">
        <v>1053</v>
      </c>
      <c r="D431" s="4" t="s">
        <v>50</v>
      </c>
      <c r="E431" s="4" t="s">
        <v>86</v>
      </c>
      <c r="F431" s="4" t="s">
        <v>554</v>
      </c>
      <c r="G431" s="4" t="s">
        <v>171</v>
      </c>
      <c r="H431" s="4" t="s">
        <v>172</v>
      </c>
      <c r="I431" s="24" t="s">
        <v>152</v>
      </c>
      <c r="J431" s="15">
        <v>3</v>
      </c>
      <c r="K431" s="15">
        <v>3</v>
      </c>
      <c r="L431" s="15">
        <v>3</v>
      </c>
      <c r="M431" s="15">
        <v>3</v>
      </c>
      <c r="N431" s="15">
        <v>1</v>
      </c>
      <c r="O431" s="15">
        <v>1</v>
      </c>
      <c r="P431" s="15" t="s">
        <v>415</v>
      </c>
      <c r="Q431" s="23" t="s">
        <v>838</v>
      </c>
      <c r="R431" s="25">
        <f>ROUND((K431*Parametros!$B$4+L431*Parametros!$B$5+M431*Parametros!$B$6+N431*Parametros!$B$7+O431*Parametros!$B$8)/SUM(Parametros!$B$4:$B$8),2)</f>
        <v>2.4</v>
      </c>
      <c r="S431" s="26">
        <f>IFERROR(INDEX(Parametros!$F$33:$F$42,MATCH(D431,Parametros!$A$33:$A$42,0)),1)</f>
        <v>1.0840000000000001</v>
      </c>
      <c r="T431" s="27">
        <f>IFERROR(INDEX(Parametros!$B$21:$B$26,MATCH(I431,Parametros!$A$21:$A$26,0)),0)</f>
        <v>0</v>
      </c>
      <c r="U431" s="28">
        <f t="shared" si="25"/>
        <v>2.6</v>
      </c>
      <c r="V431" s="9">
        <f>IF(U431&gt;=Parametros!$B$14,4,IF(U431&gt;=Parametros!$B$13,3,IF(U431&gt;=Parametros!$B$12,2,1)))</f>
        <v>2</v>
      </c>
      <c r="W431" s="5">
        <f>MAX(V431,IF(K431=5,Parametros!$B$17,0),IF(P431="Sim",Parametros!$B$18,0))</f>
        <v>2</v>
      </c>
      <c r="X431" s="5" t="str">
        <f t="shared" si="26"/>
        <v>Normal</v>
      </c>
      <c r="Y431" s="29">
        <f t="shared" si="27"/>
        <v>2025.6995690000001</v>
      </c>
      <c r="Z431" s="4" t="s">
        <v>659</v>
      </c>
    </row>
    <row r="432" spans="1:26" ht="28.05" customHeight="1" x14ac:dyDescent="0.3">
      <c r="A432" s="5">
        <f t="shared" si="24"/>
        <v>428</v>
      </c>
      <c r="B432" s="23" t="s">
        <v>1054</v>
      </c>
      <c r="C432" s="17" t="s">
        <v>1055</v>
      </c>
      <c r="D432" s="4" t="s">
        <v>50</v>
      </c>
      <c r="E432" s="4" t="s">
        <v>75</v>
      </c>
      <c r="F432" s="4" t="s">
        <v>75</v>
      </c>
      <c r="G432" s="4" t="s">
        <v>171</v>
      </c>
      <c r="H432" s="4" t="s">
        <v>172</v>
      </c>
      <c r="I432" s="24" t="s">
        <v>152</v>
      </c>
      <c r="J432" s="15">
        <v>3</v>
      </c>
      <c r="K432" s="15">
        <v>3</v>
      </c>
      <c r="L432" s="15">
        <v>3</v>
      </c>
      <c r="M432" s="15">
        <v>3</v>
      </c>
      <c r="N432" s="15">
        <v>1</v>
      </c>
      <c r="O432" s="15">
        <v>1</v>
      </c>
      <c r="P432" s="15" t="s">
        <v>415</v>
      </c>
      <c r="Q432" s="23" t="s">
        <v>838</v>
      </c>
      <c r="R432" s="25">
        <f>ROUND((K432*Parametros!$B$4+L432*Parametros!$B$5+M432*Parametros!$B$6+N432*Parametros!$B$7+O432*Parametros!$B$8)/SUM(Parametros!$B$4:$B$8),2)</f>
        <v>2.4</v>
      </c>
      <c r="S432" s="26">
        <f>IFERROR(INDEX(Parametros!$F$33:$F$42,MATCH(D432,Parametros!$A$33:$A$42,0)),1)</f>
        <v>1.0840000000000001</v>
      </c>
      <c r="T432" s="27">
        <f>IFERROR(INDEX(Parametros!$B$21:$B$26,MATCH(I432,Parametros!$A$21:$A$26,0)),0)</f>
        <v>0</v>
      </c>
      <c r="U432" s="28">
        <f t="shared" si="25"/>
        <v>2.6</v>
      </c>
      <c r="V432" s="9">
        <f>IF(U432&gt;=Parametros!$B$14,4,IF(U432&gt;=Parametros!$B$13,3,IF(U432&gt;=Parametros!$B$12,2,1)))</f>
        <v>2</v>
      </c>
      <c r="W432" s="5">
        <f>MAX(V432,IF(K432=5,Parametros!$B$17,0),IF(P432="Sim",Parametros!$B$18,0))</f>
        <v>2</v>
      </c>
      <c r="X432" s="5" t="str">
        <f t="shared" si="26"/>
        <v>Normal</v>
      </c>
      <c r="Y432" s="29">
        <f t="shared" si="27"/>
        <v>2025.699568</v>
      </c>
      <c r="Z432" s="4" t="s">
        <v>659</v>
      </c>
    </row>
    <row r="433" spans="1:26" ht="28.05" customHeight="1" x14ac:dyDescent="0.3">
      <c r="A433" s="5">
        <f t="shared" si="24"/>
        <v>429</v>
      </c>
      <c r="B433" s="23" t="s">
        <v>1056</v>
      </c>
      <c r="C433" s="17" t="s">
        <v>1057</v>
      </c>
      <c r="D433" s="4" t="s">
        <v>50</v>
      </c>
      <c r="E433" s="4" t="s">
        <v>345</v>
      </c>
      <c r="F433" s="4" t="s">
        <v>345</v>
      </c>
      <c r="G433" s="4" t="s">
        <v>171</v>
      </c>
      <c r="H433" s="4" t="s">
        <v>172</v>
      </c>
      <c r="I433" s="24" t="s">
        <v>152</v>
      </c>
      <c r="J433" s="15">
        <v>3</v>
      </c>
      <c r="K433" s="15">
        <v>3</v>
      </c>
      <c r="L433" s="15">
        <v>3</v>
      </c>
      <c r="M433" s="15">
        <v>3</v>
      </c>
      <c r="N433" s="15">
        <v>1</v>
      </c>
      <c r="O433" s="15">
        <v>1</v>
      </c>
      <c r="P433" s="15" t="s">
        <v>415</v>
      </c>
      <c r="Q433" s="23" t="s">
        <v>838</v>
      </c>
      <c r="R433" s="25">
        <f>ROUND((K433*Parametros!$B$4+L433*Parametros!$B$5+M433*Parametros!$B$6+N433*Parametros!$B$7+O433*Parametros!$B$8)/SUM(Parametros!$B$4:$B$8),2)</f>
        <v>2.4</v>
      </c>
      <c r="S433" s="26">
        <f>IFERROR(INDEX(Parametros!$F$33:$F$42,MATCH(D433,Parametros!$A$33:$A$42,0)),1)</f>
        <v>1.0840000000000001</v>
      </c>
      <c r="T433" s="27">
        <f>IFERROR(INDEX(Parametros!$B$21:$B$26,MATCH(I433,Parametros!$A$21:$A$26,0)),0)</f>
        <v>0</v>
      </c>
      <c r="U433" s="28">
        <f t="shared" si="25"/>
        <v>2.6</v>
      </c>
      <c r="V433" s="9">
        <f>IF(U433&gt;=Parametros!$B$14,4,IF(U433&gt;=Parametros!$B$13,3,IF(U433&gt;=Parametros!$B$12,2,1)))</f>
        <v>2</v>
      </c>
      <c r="W433" s="5">
        <f>MAX(V433,IF(K433=5,Parametros!$B$17,0),IF(P433="Sim",Parametros!$B$18,0))</f>
        <v>2</v>
      </c>
      <c r="X433" s="5" t="str">
        <f t="shared" si="26"/>
        <v>Normal</v>
      </c>
      <c r="Y433" s="29">
        <f t="shared" si="27"/>
        <v>2025.6995670000001</v>
      </c>
      <c r="Z433" s="4" t="s">
        <v>659</v>
      </c>
    </row>
    <row r="434" spans="1:26" ht="28.05" customHeight="1" x14ac:dyDescent="0.3">
      <c r="A434" s="5">
        <f t="shared" si="24"/>
        <v>430</v>
      </c>
      <c r="B434" s="23" t="s">
        <v>1058</v>
      </c>
      <c r="C434" s="17" t="s">
        <v>1059</v>
      </c>
      <c r="D434" s="4" t="s">
        <v>50</v>
      </c>
      <c r="E434" s="4" t="s">
        <v>389</v>
      </c>
      <c r="F434" s="4" t="s">
        <v>389</v>
      </c>
      <c r="G434" s="4" t="s">
        <v>171</v>
      </c>
      <c r="H434" s="4" t="s">
        <v>172</v>
      </c>
      <c r="I434" s="24" t="s">
        <v>152</v>
      </c>
      <c r="J434" s="15">
        <v>3</v>
      </c>
      <c r="K434" s="15">
        <v>3</v>
      </c>
      <c r="L434" s="15">
        <v>3</v>
      </c>
      <c r="M434" s="15">
        <v>3</v>
      </c>
      <c r="N434" s="15">
        <v>1</v>
      </c>
      <c r="O434" s="15">
        <v>1</v>
      </c>
      <c r="P434" s="15" t="s">
        <v>415</v>
      </c>
      <c r="Q434" s="23" t="s">
        <v>838</v>
      </c>
      <c r="R434" s="25">
        <f>ROUND((K434*Parametros!$B$4+L434*Parametros!$B$5+M434*Parametros!$B$6+N434*Parametros!$B$7+O434*Parametros!$B$8)/SUM(Parametros!$B$4:$B$8),2)</f>
        <v>2.4</v>
      </c>
      <c r="S434" s="26">
        <f>IFERROR(INDEX(Parametros!$F$33:$F$42,MATCH(D434,Parametros!$A$33:$A$42,0)),1)</f>
        <v>1.0840000000000001</v>
      </c>
      <c r="T434" s="27">
        <f>IFERROR(INDEX(Parametros!$B$21:$B$26,MATCH(I434,Parametros!$A$21:$A$26,0)),0)</f>
        <v>0</v>
      </c>
      <c r="U434" s="28">
        <f t="shared" si="25"/>
        <v>2.6</v>
      </c>
      <c r="V434" s="9">
        <f>IF(U434&gt;=Parametros!$B$14,4,IF(U434&gt;=Parametros!$B$13,3,IF(U434&gt;=Parametros!$B$12,2,1)))</f>
        <v>2</v>
      </c>
      <c r="W434" s="5">
        <f>MAX(V434,IF(K434=5,Parametros!$B$17,0),IF(P434="Sim",Parametros!$B$18,0))</f>
        <v>2</v>
      </c>
      <c r="X434" s="5" t="str">
        <f t="shared" si="26"/>
        <v>Normal</v>
      </c>
      <c r="Y434" s="29">
        <f t="shared" si="27"/>
        <v>2025.699566</v>
      </c>
      <c r="Z434" s="4" t="s">
        <v>659</v>
      </c>
    </row>
    <row r="435" spans="1:26" ht="28.05" customHeight="1" x14ac:dyDescent="0.3">
      <c r="A435" s="5">
        <f t="shared" si="24"/>
        <v>431</v>
      </c>
      <c r="B435" s="23" t="s">
        <v>1060</v>
      </c>
      <c r="C435" s="17" t="s">
        <v>1061</v>
      </c>
      <c r="D435" s="4" t="s">
        <v>50</v>
      </c>
      <c r="E435" s="4" t="s">
        <v>389</v>
      </c>
      <c r="F435" s="4" t="s">
        <v>389</v>
      </c>
      <c r="G435" s="4" t="s">
        <v>119</v>
      </c>
      <c r="H435" s="4" t="s">
        <v>108</v>
      </c>
      <c r="I435" s="24" t="s">
        <v>152</v>
      </c>
      <c r="J435" s="15">
        <v>3</v>
      </c>
      <c r="K435" s="15">
        <v>3</v>
      </c>
      <c r="L435" s="15">
        <v>3</v>
      </c>
      <c r="M435" s="15">
        <v>3</v>
      </c>
      <c r="N435" s="15">
        <v>1</v>
      </c>
      <c r="O435" s="15">
        <v>1</v>
      </c>
      <c r="P435" s="15" t="s">
        <v>415</v>
      </c>
      <c r="Q435" s="23" t="s">
        <v>838</v>
      </c>
      <c r="R435" s="25">
        <f>ROUND((K435*Parametros!$B$4+L435*Parametros!$B$5+M435*Parametros!$B$6+N435*Parametros!$B$7+O435*Parametros!$B$8)/SUM(Parametros!$B$4:$B$8),2)</f>
        <v>2.4</v>
      </c>
      <c r="S435" s="26">
        <f>IFERROR(INDEX(Parametros!$F$33:$F$42,MATCH(D435,Parametros!$A$33:$A$42,0)),1)</f>
        <v>1.0840000000000001</v>
      </c>
      <c r="T435" s="27">
        <f>IFERROR(INDEX(Parametros!$B$21:$B$26,MATCH(I435,Parametros!$A$21:$A$26,0)),0)</f>
        <v>0</v>
      </c>
      <c r="U435" s="28">
        <f t="shared" si="25"/>
        <v>2.6</v>
      </c>
      <c r="V435" s="9">
        <f>IF(U435&gt;=Parametros!$B$14,4,IF(U435&gt;=Parametros!$B$13,3,IF(U435&gt;=Parametros!$B$12,2,1)))</f>
        <v>2</v>
      </c>
      <c r="W435" s="5">
        <f>MAX(V435,IF(K435=5,Parametros!$B$17,0),IF(P435="Sim",Parametros!$B$18,0))</f>
        <v>2</v>
      </c>
      <c r="X435" s="5" t="str">
        <f t="shared" si="26"/>
        <v>Normal</v>
      </c>
      <c r="Y435" s="29">
        <f t="shared" si="27"/>
        <v>2025.6995650000001</v>
      </c>
      <c r="Z435" s="4" t="s">
        <v>659</v>
      </c>
    </row>
    <row r="436" spans="1:26" ht="28.05" customHeight="1" x14ac:dyDescent="0.3">
      <c r="A436" s="5">
        <f t="shared" si="24"/>
        <v>432</v>
      </c>
      <c r="B436" s="23" t="s">
        <v>1062</v>
      </c>
      <c r="C436" s="17" t="s">
        <v>1063</v>
      </c>
      <c r="D436" s="4" t="s">
        <v>55</v>
      </c>
      <c r="E436" s="4" t="s">
        <v>77</v>
      </c>
      <c r="F436" s="4" t="s">
        <v>77</v>
      </c>
      <c r="G436" s="4" t="s">
        <v>112</v>
      </c>
      <c r="H436" s="4" t="s">
        <v>108</v>
      </c>
      <c r="I436" s="24" t="s">
        <v>152</v>
      </c>
      <c r="J436" s="15">
        <v>3</v>
      </c>
      <c r="K436" s="15">
        <v>2</v>
      </c>
      <c r="L436" s="15">
        <v>4</v>
      </c>
      <c r="M436" s="15">
        <v>1</v>
      </c>
      <c r="N436" s="15">
        <v>4</v>
      </c>
      <c r="O436" s="15">
        <v>2</v>
      </c>
      <c r="P436" s="15" t="s">
        <v>415</v>
      </c>
      <c r="Q436" s="23" t="s">
        <v>416</v>
      </c>
      <c r="R436" s="25">
        <f>ROUND((K436*Parametros!$B$4+L436*Parametros!$B$5+M436*Parametros!$B$6+N436*Parametros!$B$7+O436*Parametros!$B$8)/SUM(Parametros!$B$4:$B$8),2)</f>
        <v>2.5</v>
      </c>
      <c r="S436" s="26">
        <f>IFERROR(INDEX(Parametros!$F$33:$F$42,MATCH(D436,Parametros!$A$33:$A$42,0)),1)</f>
        <v>1.034</v>
      </c>
      <c r="T436" s="27">
        <f>IFERROR(INDEX(Parametros!$B$21:$B$26,MATCH(I436,Parametros!$A$21:$A$26,0)),0)</f>
        <v>0</v>
      </c>
      <c r="U436" s="28">
        <f t="shared" si="25"/>
        <v>2.59</v>
      </c>
      <c r="V436" s="9">
        <f>IF(U436&gt;=Parametros!$B$14,4,IF(U436&gt;=Parametros!$B$13,3,IF(U436&gt;=Parametros!$B$12,2,1)))</f>
        <v>2</v>
      </c>
      <c r="W436" s="5">
        <f>MAX(V436,IF(K436=5,Parametros!$B$17,0),IF(P436="Sim",Parametros!$B$18,0))</f>
        <v>2</v>
      </c>
      <c r="X436" s="5" t="str">
        <f t="shared" si="26"/>
        <v>Normal</v>
      </c>
      <c r="Y436" s="29">
        <f t="shared" si="27"/>
        <v>2025.5995640000001</v>
      </c>
      <c r="Z436" s="4" t="s">
        <v>325</v>
      </c>
    </row>
    <row r="437" spans="1:26" ht="28.05" customHeight="1" x14ac:dyDescent="0.3">
      <c r="A437" s="5">
        <f t="shared" si="24"/>
        <v>433</v>
      </c>
      <c r="B437" s="23" t="s">
        <v>1064</v>
      </c>
      <c r="C437" s="17" t="s">
        <v>994</v>
      </c>
      <c r="D437" s="4" t="s">
        <v>56</v>
      </c>
      <c r="E437" s="4" t="s">
        <v>64</v>
      </c>
      <c r="F437" s="4" t="s">
        <v>64</v>
      </c>
      <c r="G437" s="4" t="s">
        <v>134</v>
      </c>
      <c r="H437" s="4" t="s">
        <v>108</v>
      </c>
      <c r="I437" s="24" t="s">
        <v>131</v>
      </c>
      <c r="J437" s="15">
        <v>3</v>
      </c>
      <c r="K437" s="15">
        <v>3</v>
      </c>
      <c r="L437" s="15">
        <v>2</v>
      </c>
      <c r="M437" s="15">
        <v>1</v>
      </c>
      <c r="N437" s="15">
        <v>4</v>
      </c>
      <c r="O437" s="15">
        <v>3</v>
      </c>
      <c r="P437" s="15" t="s">
        <v>415</v>
      </c>
      <c r="Q437" s="23" t="s">
        <v>416</v>
      </c>
      <c r="R437" s="25">
        <f>ROUND((K437*Parametros!$B$4+L437*Parametros!$B$5+M437*Parametros!$B$6+N437*Parametros!$B$7+O437*Parametros!$B$8)/SUM(Parametros!$B$4:$B$8),2)</f>
        <v>2.5499999999999998</v>
      </c>
      <c r="S437" s="26">
        <f>IFERROR(INDEX(Parametros!$F$33:$F$42,MATCH(D437,Parametros!$A$33:$A$42,0)),1)</f>
        <v>1.0169999999999999</v>
      </c>
      <c r="T437" s="27">
        <f>IFERROR(INDEX(Parametros!$B$21:$B$26,MATCH(I437,Parametros!$A$21:$A$26,0)),0)</f>
        <v>0</v>
      </c>
      <c r="U437" s="28">
        <f t="shared" si="25"/>
        <v>2.59</v>
      </c>
      <c r="V437" s="9">
        <f>IF(U437&gt;=Parametros!$B$14,4,IF(U437&gt;=Parametros!$B$13,3,IF(U437&gt;=Parametros!$B$12,2,1)))</f>
        <v>2</v>
      </c>
      <c r="W437" s="5">
        <f>MAX(V437,IF(K437=5,Parametros!$B$17,0),IF(P437="Sim",Parametros!$B$18,0))</f>
        <v>2</v>
      </c>
      <c r="X437" s="5" t="str">
        <f t="shared" si="26"/>
        <v>Normal</v>
      </c>
      <c r="Y437" s="29">
        <f t="shared" si="27"/>
        <v>2025.5995630000002</v>
      </c>
      <c r="Z437" s="4" t="s">
        <v>653</v>
      </c>
    </row>
    <row r="438" spans="1:26" ht="28.05" customHeight="1" x14ac:dyDescent="0.3">
      <c r="A438" s="5">
        <f t="shared" si="24"/>
        <v>434</v>
      </c>
      <c r="B438" s="23" t="s">
        <v>1065</v>
      </c>
      <c r="C438" s="17" t="s">
        <v>1066</v>
      </c>
      <c r="D438" s="4" t="s">
        <v>50</v>
      </c>
      <c r="E438" s="4" t="s">
        <v>75</v>
      </c>
      <c r="F438" s="4" t="s">
        <v>75</v>
      </c>
      <c r="G438" s="4" t="s">
        <v>112</v>
      </c>
      <c r="H438" s="4" t="s">
        <v>108</v>
      </c>
      <c r="I438" s="24" t="s">
        <v>131</v>
      </c>
      <c r="J438" s="15">
        <v>5</v>
      </c>
      <c r="K438" s="15">
        <v>3</v>
      </c>
      <c r="L438" s="15">
        <v>3</v>
      </c>
      <c r="M438" s="15">
        <v>3</v>
      </c>
      <c r="N438" s="15">
        <v>1</v>
      </c>
      <c r="O438" s="15">
        <v>1</v>
      </c>
      <c r="P438" s="15" t="s">
        <v>415</v>
      </c>
      <c r="Q438" s="23" t="s">
        <v>838</v>
      </c>
      <c r="R438" s="25">
        <f>ROUND((K438*Parametros!$B$4+L438*Parametros!$B$5+M438*Parametros!$B$6+N438*Parametros!$B$7+O438*Parametros!$B$8)/SUM(Parametros!$B$4:$B$8),2)</f>
        <v>2.4</v>
      </c>
      <c r="S438" s="26">
        <f>IFERROR(INDEX(Parametros!$F$33:$F$42,MATCH(D438,Parametros!$A$33:$A$42,0)),1)</f>
        <v>1.0840000000000001</v>
      </c>
      <c r="T438" s="27">
        <f>IFERROR(INDEX(Parametros!$B$21:$B$26,MATCH(I438,Parametros!$A$21:$A$26,0)),0)</f>
        <v>0</v>
      </c>
      <c r="U438" s="28">
        <f t="shared" si="25"/>
        <v>2.6</v>
      </c>
      <c r="V438" s="9">
        <f>IF(U438&gt;=Parametros!$B$14,4,IF(U438&gt;=Parametros!$B$13,3,IF(U438&gt;=Parametros!$B$12,2,1)))</f>
        <v>2</v>
      </c>
      <c r="W438" s="5">
        <f>MAX(V438,IF(K438=5,Parametros!$B$17,0),IF(P438="Sim",Parametros!$B$18,0))</f>
        <v>2</v>
      </c>
      <c r="X438" s="5" t="str">
        <f t="shared" si="26"/>
        <v>Normal</v>
      </c>
      <c r="Y438" s="29">
        <f t="shared" si="27"/>
        <v>2025.499562</v>
      </c>
      <c r="Z438" s="4" t="s">
        <v>659</v>
      </c>
    </row>
    <row r="439" spans="1:26" ht="28.05" customHeight="1" x14ac:dyDescent="0.3">
      <c r="A439" s="5">
        <f t="shared" si="24"/>
        <v>435</v>
      </c>
      <c r="B439" s="23" t="s">
        <v>1067</v>
      </c>
      <c r="C439" s="17" t="s">
        <v>1068</v>
      </c>
      <c r="D439" s="4" t="s">
        <v>52</v>
      </c>
      <c r="E439" s="4" t="s">
        <v>66</v>
      </c>
      <c r="F439" s="4" t="s">
        <v>66</v>
      </c>
      <c r="G439" s="4" t="s">
        <v>171</v>
      </c>
      <c r="H439" s="4" t="s">
        <v>172</v>
      </c>
      <c r="I439" s="24" t="s">
        <v>122</v>
      </c>
      <c r="J439" s="15">
        <v>3</v>
      </c>
      <c r="K439" s="15">
        <v>3</v>
      </c>
      <c r="L439" s="15">
        <v>2</v>
      </c>
      <c r="M439" s="15">
        <v>2</v>
      </c>
      <c r="N439" s="15">
        <v>2</v>
      </c>
      <c r="O439" s="15">
        <v>3</v>
      </c>
      <c r="P439" s="15" t="s">
        <v>415</v>
      </c>
      <c r="Q439" s="23" t="s">
        <v>416</v>
      </c>
      <c r="R439" s="25">
        <f>ROUND((K439*Parametros!$B$4+L439*Parametros!$B$5+M439*Parametros!$B$6+N439*Parametros!$B$7+O439*Parametros!$B$8)/SUM(Parametros!$B$4:$B$8),2)</f>
        <v>2.4500000000000002</v>
      </c>
      <c r="S439" s="26">
        <f>IFERROR(INDEX(Parametros!$F$33:$F$42,MATCH(D439,Parametros!$A$33:$A$42,0)),1)</f>
        <v>1.05</v>
      </c>
      <c r="T439" s="27">
        <f>IFERROR(INDEX(Parametros!$B$21:$B$26,MATCH(I439,Parametros!$A$21:$A$26,0)),0)</f>
        <v>0</v>
      </c>
      <c r="U439" s="28">
        <f t="shared" si="25"/>
        <v>2.57</v>
      </c>
      <c r="V439" s="9">
        <f>IF(U439&gt;=Parametros!$B$14,4,IF(U439&gt;=Parametros!$B$13,3,IF(U439&gt;=Parametros!$B$12,2,1)))</f>
        <v>2</v>
      </c>
      <c r="W439" s="5">
        <f>MAX(V439,IF(K439=5,Parametros!$B$17,0),IF(P439="Sim",Parametros!$B$18,0))</f>
        <v>2</v>
      </c>
      <c r="X439" s="5" t="str">
        <f t="shared" si="26"/>
        <v>Normal</v>
      </c>
      <c r="Y439" s="29">
        <f t="shared" si="27"/>
        <v>2025.3995610000002</v>
      </c>
      <c r="Z439" s="4" t="s">
        <v>659</v>
      </c>
    </row>
    <row r="440" spans="1:26" ht="28.05" customHeight="1" x14ac:dyDescent="0.3">
      <c r="A440" s="5">
        <f t="shared" si="24"/>
        <v>436</v>
      </c>
      <c r="B440" s="23" t="s">
        <v>1069</v>
      </c>
      <c r="C440" s="17" t="s">
        <v>1070</v>
      </c>
      <c r="D440" s="4" t="s">
        <v>51</v>
      </c>
      <c r="E440" s="4" t="s">
        <v>194</v>
      </c>
      <c r="F440" s="4" t="s">
        <v>194</v>
      </c>
      <c r="G440" s="4" t="s">
        <v>171</v>
      </c>
      <c r="H440" s="4" t="s">
        <v>172</v>
      </c>
      <c r="I440" s="24" t="s">
        <v>152</v>
      </c>
      <c r="J440" s="15">
        <v>2</v>
      </c>
      <c r="K440" s="15">
        <v>3</v>
      </c>
      <c r="L440" s="15">
        <v>3</v>
      </c>
      <c r="M440" s="15">
        <v>3</v>
      </c>
      <c r="N440" s="15">
        <v>1</v>
      </c>
      <c r="O440" s="15">
        <v>1</v>
      </c>
      <c r="P440" s="15" t="s">
        <v>415</v>
      </c>
      <c r="Q440" s="23" t="s">
        <v>838</v>
      </c>
      <c r="R440" s="25">
        <f>ROUND((K440*Parametros!$B$4+L440*Parametros!$B$5+M440*Parametros!$B$6+N440*Parametros!$B$7+O440*Parametros!$B$8)/SUM(Parametros!$B$4:$B$8),2)</f>
        <v>2.4</v>
      </c>
      <c r="S440" s="26">
        <f>IFERROR(INDEX(Parametros!$F$33:$F$42,MATCH(D440,Parametros!$A$33:$A$42,0)),1)</f>
        <v>1.0669999999999999</v>
      </c>
      <c r="T440" s="27">
        <f>IFERROR(INDEX(Parametros!$B$21:$B$26,MATCH(I440,Parametros!$A$21:$A$26,0)),0)</f>
        <v>0</v>
      </c>
      <c r="U440" s="28">
        <f t="shared" si="25"/>
        <v>2.56</v>
      </c>
      <c r="V440" s="9">
        <f>IF(U440&gt;=Parametros!$B$14,4,IF(U440&gt;=Parametros!$B$13,3,IF(U440&gt;=Parametros!$B$12,2,1)))</f>
        <v>2</v>
      </c>
      <c r="W440" s="5">
        <f>MAX(V440,IF(K440=5,Parametros!$B$17,0),IF(P440="Sim",Parametros!$B$18,0))</f>
        <v>2</v>
      </c>
      <c r="X440" s="5" t="str">
        <f t="shared" si="26"/>
        <v>Normal</v>
      </c>
      <c r="Y440" s="29">
        <f t="shared" si="27"/>
        <v>2025.3995599999998</v>
      </c>
      <c r="Z440" s="4" t="s">
        <v>659</v>
      </c>
    </row>
    <row r="441" spans="1:26" ht="28.05" customHeight="1" x14ac:dyDescent="0.3">
      <c r="A441" s="5">
        <f t="shared" si="24"/>
        <v>437</v>
      </c>
      <c r="B441" s="23" t="s">
        <v>1071</v>
      </c>
      <c r="C441" s="17" t="s">
        <v>1072</v>
      </c>
      <c r="D441" s="4" t="s">
        <v>51</v>
      </c>
      <c r="E441" s="4" t="s">
        <v>64</v>
      </c>
      <c r="F441" s="4" t="s">
        <v>64</v>
      </c>
      <c r="G441" s="4" t="s">
        <v>171</v>
      </c>
      <c r="H441" s="4" t="s">
        <v>172</v>
      </c>
      <c r="I441" s="24" t="s">
        <v>131</v>
      </c>
      <c r="J441" s="15">
        <v>2</v>
      </c>
      <c r="K441" s="15">
        <v>2</v>
      </c>
      <c r="L441" s="15">
        <v>3</v>
      </c>
      <c r="M441" s="15">
        <v>3</v>
      </c>
      <c r="N441" s="15">
        <v>1</v>
      </c>
      <c r="O441" s="15">
        <v>3</v>
      </c>
      <c r="P441" s="15" t="s">
        <v>415</v>
      </c>
      <c r="Q441" s="23" t="s">
        <v>838</v>
      </c>
      <c r="R441" s="25">
        <f>ROUND((K441*Parametros!$B$4+L441*Parametros!$B$5+M441*Parametros!$B$6+N441*Parametros!$B$7+O441*Parametros!$B$8)/SUM(Parametros!$B$4:$B$8),2)</f>
        <v>2.4</v>
      </c>
      <c r="S441" s="26">
        <f>IFERROR(INDEX(Parametros!$F$33:$F$42,MATCH(D441,Parametros!$A$33:$A$42,0)),1)</f>
        <v>1.0669999999999999</v>
      </c>
      <c r="T441" s="27">
        <f>IFERROR(INDEX(Parametros!$B$21:$B$26,MATCH(I441,Parametros!$A$21:$A$26,0)),0)</f>
        <v>0</v>
      </c>
      <c r="U441" s="28">
        <f t="shared" si="25"/>
        <v>2.56</v>
      </c>
      <c r="V441" s="9">
        <f>IF(U441&gt;=Parametros!$B$14,4,IF(U441&gt;=Parametros!$B$13,3,IF(U441&gt;=Parametros!$B$12,2,1)))</f>
        <v>2</v>
      </c>
      <c r="W441" s="5">
        <f>MAX(V441,IF(K441=5,Parametros!$B$17,0),IF(P441="Sim",Parametros!$B$18,0))</f>
        <v>2</v>
      </c>
      <c r="X441" s="5" t="str">
        <f t="shared" si="26"/>
        <v>Normal</v>
      </c>
      <c r="Y441" s="29">
        <f t="shared" si="27"/>
        <v>2025.399559</v>
      </c>
      <c r="Z441" s="4" t="s">
        <v>659</v>
      </c>
    </row>
    <row r="442" spans="1:26" ht="28.05" customHeight="1" x14ac:dyDescent="0.3">
      <c r="A442" s="5">
        <f t="shared" si="24"/>
        <v>438</v>
      </c>
      <c r="B442" s="23" t="s">
        <v>1073</v>
      </c>
      <c r="C442" s="17" t="s">
        <v>1074</v>
      </c>
      <c r="D442" s="4" t="s">
        <v>51</v>
      </c>
      <c r="E442" s="4" t="s">
        <v>194</v>
      </c>
      <c r="F442" s="4" t="s">
        <v>194</v>
      </c>
      <c r="G442" s="4" t="s">
        <v>171</v>
      </c>
      <c r="H442" s="4" t="s">
        <v>172</v>
      </c>
      <c r="I442" s="24" t="s">
        <v>152</v>
      </c>
      <c r="J442" s="15">
        <v>2</v>
      </c>
      <c r="K442" s="15">
        <v>3</v>
      </c>
      <c r="L442" s="15">
        <v>3</v>
      </c>
      <c r="M442" s="15">
        <v>3</v>
      </c>
      <c r="N442" s="15">
        <v>1</v>
      </c>
      <c r="O442" s="15">
        <v>1</v>
      </c>
      <c r="P442" s="15" t="s">
        <v>415</v>
      </c>
      <c r="Q442" s="23" t="s">
        <v>838</v>
      </c>
      <c r="R442" s="25">
        <f>ROUND((K442*Parametros!$B$4+L442*Parametros!$B$5+M442*Parametros!$B$6+N442*Parametros!$B$7+O442*Parametros!$B$8)/SUM(Parametros!$B$4:$B$8),2)</f>
        <v>2.4</v>
      </c>
      <c r="S442" s="26">
        <f>IFERROR(INDEX(Parametros!$F$33:$F$42,MATCH(D442,Parametros!$A$33:$A$42,0)),1)</f>
        <v>1.0669999999999999</v>
      </c>
      <c r="T442" s="27">
        <f>IFERROR(INDEX(Parametros!$B$21:$B$26,MATCH(I442,Parametros!$A$21:$A$26,0)),0)</f>
        <v>0</v>
      </c>
      <c r="U442" s="28">
        <f t="shared" si="25"/>
        <v>2.56</v>
      </c>
      <c r="V442" s="9">
        <f>IF(U442&gt;=Parametros!$B$14,4,IF(U442&gt;=Parametros!$B$13,3,IF(U442&gt;=Parametros!$B$12,2,1)))</f>
        <v>2</v>
      </c>
      <c r="W442" s="5">
        <f>MAX(V442,IF(K442=5,Parametros!$B$17,0),IF(P442="Sim",Parametros!$B$18,0))</f>
        <v>2</v>
      </c>
      <c r="X442" s="5" t="str">
        <f t="shared" si="26"/>
        <v>Normal</v>
      </c>
      <c r="Y442" s="29">
        <f t="shared" si="27"/>
        <v>2025.3995579999998</v>
      </c>
      <c r="Z442" s="4" t="s">
        <v>659</v>
      </c>
    </row>
    <row r="443" spans="1:26" ht="28.05" customHeight="1" x14ac:dyDescent="0.3">
      <c r="A443" s="5">
        <f t="shared" si="24"/>
        <v>439</v>
      </c>
      <c r="B443" s="23" t="s">
        <v>1075</v>
      </c>
      <c r="C443" s="17" t="s">
        <v>1076</v>
      </c>
      <c r="D443" s="4" t="s">
        <v>51</v>
      </c>
      <c r="E443" s="4" t="s">
        <v>194</v>
      </c>
      <c r="F443" s="4" t="s">
        <v>194</v>
      </c>
      <c r="G443" s="4" t="s">
        <v>171</v>
      </c>
      <c r="H443" s="4" t="s">
        <v>172</v>
      </c>
      <c r="I443" s="24" t="s">
        <v>152</v>
      </c>
      <c r="J443" s="15">
        <v>2</v>
      </c>
      <c r="K443" s="15">
        <v>3</v>
      </c>
      <c r="L443" s="15">
        <v>3</v>
      </c>
      <c r="M443" s="15">
        <v>3</v>
      </c>
      <c r="N443" s="15">
        <v>1</v>
      </c>
      <c r="O443" s="15">
        <v>1</v>
      </c>
      <c r="P443" s="15" t="s">
        <v>415</v>
      </c>
      <c r="Q443" s="23" t="s">
        <v>838</v>
      </c>
      <c r="R443" s="25">
        <f>ROUND((K443*Parametros!$B$4+L443*Parametros!$B$5+M443*Parametros!$B$6+N443*Parametros!$B$7+O443*Parametros!$B$8)/SUM(Parametros!$B$4:$B$8),2)</f>
        <v>2.4</v>
      </c>
      <c r="S443" s="26">
        <f>IFERROR(INDEX(Parametros!$F$33:$F$42,MATCH(D443,Parametros!$A$33:$A$42,0)),1)</f>
        <v>1.0669999999999999</v>
      </c>
      <c r="T443" s="27">
        <f>IFERROR(INDEX(Parametros!$B$21:$B$26,MATCH(I443,Parametros!$A$21:$A$26,0)),0)</f>
        <v>0</v>
      </c>
      <c r="U443" s="28">
        <f t="shared" si="25"/>
        <v>2.56</v>
      </c>
      <c r="V443" s="9">
        <f>IF(U443&gt;=Parametros!$B$14,4,IF(U443&gt;=Parametros!$B$13,3,IF(U443&gt;=Parametros!$B$12,2,1)))</f>
        <v>2</v>
      </c>
      <c r="W443" s="5">
        <f>MAX(V443,IF(K443=5,Parametros!$B$17,0),IF(P443="Sim",Parametros!$B$18,0))</f>
        <v>2</v>
      </c>
      <c r="X443" s="5" t="str">
        <f t="shared" si="26"/>
        <v>Normal</v>
      </c>
      <c r="Y443" s="29">
        <f t="shared" si="27"/>
        <v>2025.399557</v>
      </c>
      <c r="Z443" s="4" t="s">
        <v>659</v>
      </c>
    </row>
    <row r="444" spans="1:26" ht="28.05" customHeight="1" x14ac:dyDescent="0.3">
      <c r="A444" s="5">
        <f t="shared" si="24"/>
        <v>440</v>
      </c>
      <c r="B444" s="23" t="s">
        <v>1077</v>
      </c>
      <c r="C444" s="17" t="s">
        <v>1078</v>
      </c>
      <c r="D444" s="4" t="s">
        <v>50</v>
      </c>
      <c r="E444" s="4" t="s">
        <v>75</v>
      </c>
      <c r="F444" s="4" t="s">
        <v>75</v>
      </c>
      <c r="G444" s="4" t="s">
        <v>171</v>
      </c>
      <c r="H444" s="4" t="s">
        <v>172</v>
      </c>
      <c r="I444" s="24" t="s">
        <v>152</v>
      </c>
      <c r="J444" s="15">
        <v>2</v>
      </c>
      <c r="K444" s="15">
        <v>3</v>
      </c>
      <c r="L444" s="15">
        <v>3</v>
      </c>
      <c r="M444" s="15">
        <v>2</v>
      </c>
      <c r="N444" s="15">
        <v>1</v>
      </c>
      <c r="O444" s="15">
        <v>2</v>
      </c>
      <c r="P444" s="15" t="s">
        <v>415</v>
      </c>
      <c r="Q444" s="23" t="s">
        <v>838</v>
      </c>
      <c r="R444" s="25">
        <f>ROUND((K444*Parametros!$B$4+L444*Parametros!$B$5+M444*Parametros!$B$6+N444*Parametros!$B$7+O444*Parametros!$B$8)/SUM(Parametros!$B$4:$B$8),2)</f>
        <v>2.35</v>
      </c>
      <c r="S444" s="26">
        <f>IFERROR(INDEX(Parametros!$F$33:$F$42,MATCH(D444,Parametros!$A$33:$A$42,0)),1)</f>
        <v>1.0840000000000001</v>
      </c>
      <c r="T444" s="27">
        <f>IFERROR(INDEX(Parametros!$B$21:$B$26,MATCH(I444,Parametros!$A$21:$A$26,0)),0)</f>
        <v>0</v>
      </c>
      <c r="U444" s="28">
        <f t="shared" si="25"/>
        <v>2.5499999999999998</v>
      </c>
      <c r="V444" s="9">
        <f>IF(U444&gt;=Parametros!$B$14,4,IF(U444&gt;=Parametros!$B$13,3,IF(U444&gt;=Parametros!$B$12,2,1)))</f>
        <v>2</v>
      </c>
      <c r="W444" s="5">
        <f>MAX(V444,IF(K444=5,Parametros!$B$17,0),IF(P444="Sim",Parametros!$B$18,0))</f>
        <v>2</v>
      </c>
      <c r="X444" s="5" t="str">
        <f t="shared" si="26"/>
        <v>Normal</v>
      </c>
      <c r="Y444" s="29">
        <f t="shared" si="27"/>
        <v>2025.2995559999999</v>
      </c>
      <c r="Z444" s="4" t="s">
        <v>659</v>
      </c>
    </row>
    <row r="445" spans="1:26" ht="28.05" customHeight="1" x14ac:dyDescent="0.3">
      <c r="A445" s="5">
        <f t="shared" si="24"/>
        <v>441</v>
      </c>
      <c r="B445" s="23" t="s">
        <v>1079</v>
      </c>
      <c r="C445" s="17" t="s">
        <v>1080</v>
      </c>
      <c r="D445" s="4" t="s">
        <v>51</v>
      </c>
      <c r="E445" s="4" t="s">
        <v>170</v>
      </c>
      <c r="F445" s="4" t="s">
        <v>170</v>
      </c>
      <c r="G445" s="4" t="s">
        <v>171</v>
      </c>
      <c r="H445" s="4" t="s">
        <v>172</v>
      </c>
      <c r="I445" s="24" t="s">
        <v>152</v>
      </c>
      <c r="J445" s="15">
        <v>3</v>
      </c>
      <c r="K445" s="15">
        <v>3</v>
      </c>
      <c r="L445" s="15">
        <v>3</v>
      </c>
      <c r="M445" s="15">
        <v>3</v>
      </c>
      <c r="N445" s="15">
        <v>1</v>
      </c>
      <c r="O445" s="15">
        <v>1</v>
      </c>
      <c r="P445" s="15" t="s">
        <v>415</v>
      </c>
      <c r="Q445" s="23" t="s">
        <v>838</v>
      </c>
      <c r="R445" s="25">
        <f>ROUND((K445*Parametros!$B$4+L445*Parametros!$B$5+M445*Parametros!$B$6+N445*Parametros!$B$7+O445*Parametros!$B$8)/SUM(Parametros!$B$4:$B$8),2)</f>
        <v>2.4</v>
      </c>
      <c r="S445" s="26">
        <f>IFERROR(INDEX(Parametros!$F$33:$F$42,MATCH(D445,Parametros!$A$33:$A$42,0)),1)</f>
        <v>1.0669999999999999</v>
      </c>
      <c r="T445" s="27">
        <f>IFERROR(INDEX(Parametros!$B$21:$B$26,MATCH(I445,Parametros!$A$21:$A$26,0)),0)</f>
        <v>0</v>
      </c>
      <c r="U445" s="28">
        <f t="shared" si="25"/>
        <v>2.56</v>
      </c>
      <c r="V445" s="9">
        <f>IF(U445&gt;=Parametros!$B$14,4,IF(U445&gt;=Parametros!$B$13,3,IF(U445&gt;=Parametros!$B$12,2,1)))</f>
        <v>2</v>
      </c>
      <c r="W445" s="5">
        <f>MAX(V445,IF(K445=5,Parametros!$B$17,0),IF(P445="Sim",Parametros!$B$18,0))</f>
        <v>2</v>
      </c>
      <c r="X445" s="5" t="str">
        <f t="shared" si="26"/>
        <v>Normal</v>
      </c>
      <c r="Y445" s="29">
        <f t="shared" si="27"/>
        <v>2025.2995550000001</v>
      </c>
      <c r="Z445" s="4" t="s">
        <v>659</v>
      </c>
    </row>
    <row r="446" spans="1:26" ht="28.05" customHeight="1" x14ac:dyDescent="0.3">
      <c r="A446" s="5">
        <f t="shared" si="24"/>
        <v>442</v>
      </c>
      <c r="B446" s="23" t="s">
        <v>1081</v>
      </c>
      <c r="C446" s="17" t="s">
        <v>1082</v>
      </c>
      <c r="D446" s="4" t="s">
        <v>51</v>
      </c>
      <c r="E446" s="4" t="s">
        <v>64</v>
      </c>
      <c r="F446" s="4" t="s">
        <v>64</v>
      </c>
      <c r="G446" s="4" t="s">
        <v>107</v>
      </c>
      <c r="H446" s="4" t="s">
        <v>108</v>
      </c>
      <c r="I446" s="24" t="s">
        <v>131</v>
      </c>
      <c r="J446" s="15">
        <v>3</v>
      </c>
      <c r="K446" s="15">
        <v>2</v>
      </c>
      <c r="L446" s="15">
        <v>3</v>
      </c>
      <c r="M446" s="15">
        <v>3</v>
      </c>
      <c r="N446" s="15">
        <v>1</v>
      </c>
      <c r="O446" s="15">
        <v>3</v>
      </c>
      <c r="P446" s="15" t="s">
        <v>415</v>
      </c>
      <c r="Q446" s="23" t="s">
        <v>838</v>
      </c>
      <c r="R446" s="25">
        <f>ROUND((K446*Parametros!$B$4+L446*Parametros!$B$5+M446*Parametros!$B$6+N446*Parametros!$B$7+O446*Parametros!$B$8)/SUM(Parametros!$B$4:$B$8),2)</f>
        <v>2.4</v>
      </c>
      <c r="S446" s="26">
        <f>IFERROR(INDEX(Parametros!$F$33:$F$42,MATCH(D446,Parametros!$A$33:$A$42,0)),1)</f>
        <v>1.0669999999999999</v>
      </c>
      <c r="T446" s="27">
        <f>IFERROR(INDEX(Parametros!$B$21:$B$26,MATCH(I446,Parametros!$A$21:$A$26,0)),0)</f>
        <v>0</v>
      </c>
      <c r="U446" s="28">
        <f t="shared" si="25"/>
        <v>2.56</v>
      </c>
      <c r="V446" s="9">
        <f>IF(U446&gt;=Parametros!$B$14,4,IF(U446&gt;=Parametros!$B$13,3,IF(U446&gt;=Parametros!$B$12,2,1)))</f>
        <v>2</v>
      </c>
      <c r="W446" s="5">
        <f>MAX(V446,IF(K446=5,Parametros!$B$17,0),IF(P446="Sim",Parametros!$B$18,0))</f>
        <v>2</v>
      </c>
      <c r="X446" s="5" t="str">
        <f t="shared" si="26"/>
        <v>Normal</v>
      </c>
      <c r="Y446" s="29">
        <f t="shared" si="27"/>
        <v>2025.2995539999999</v>
      </c>
      <c r="Z446" s="4" t="s">
        <v>659</v>
      </c>
    </row>
    <row r="447" spans="1:26" ht="28.05" customHeight="1" x14ac:dyDescent="0.3">
      <c r="A447" s="5">
        <f t="shared" si="24"/>
        <v>443</v>
      </c>
      <c r="B447" s="23" t="s">
        <v>1083</v>
      </c>
      <c r="C447" s="17" t="s">
        <v>1084</v>
      </c>
      <c r="D447" s="4" t="s">
        <v>51</v>
      </c>
      <c r="E447" s="4" t="s">
        <v>194</v>
      </c>
      <c r="F447" s="4" t="s">
        <v>194</v>
      </c>
      <c r="G447" s="4" t="s">
        <v>171</v>
      </c>
      <c r="H447" s="4" t="s">
        <v>172</v>
      </c>
      <c r="I447" s="24" t="s">
        <v>152</v>
      </c>
      <c r="J447" s="15">
        <v>3</v>
      </c>
      <c r="K447" s="15">
        <v>3</v>
      </c>
      <c r="L447" s="15">
        <v>3</v>
      </c>
      <c r="M447" s="15">
        <v>3</v>
      </c>
      <c r="N447" s="15">
        <v>1</v>
      </c>
      <c r="O447" s="15">
        <v>1</v>
      </c>
      <c r="P447" s="15" t="s">
        <v>415</v>
      </c>
      <c r="Q447" s="23" t="s">
        <v>838</v>
      </c>
      <c r="R447" s="25">
        <f>ROUND((K447*Parametros!$B$4+L447*Parametros!$B$5+M447*Parametros!$B$6+N447*Parametros!$B$7+O447*Parametros!$B$8)/SUM(Parametros!$B$4:$B$8),2)</f>
        <v>2.4</v>
      </c>
      <c r="S447" s="26">
        <f>IFERROR(INDEX(Parametros!$F$33:$F$42,MATCH(D447,Parametros!$A$33:$A$42,0)),1)</f>
        <v>1.0669999999999999</v>
      </c>
      <c r="T447" s="27">
        <f>IFERROR(INDEX(Parametros!$B$21:$B$26,MATCH(I447,Parametros!$A$21:$A$26,0)),0)</f>
        <v>0</v>
      </c>
      <c r="U447" s="28">
        <f t="shared" si="25"/>
        <v>2.56</v>
      </c>
      <c r="V447" s="9">
        <f>IF(U447&gt;=Parametros!$B$14,4,IF(U447&gt;=Parametros!$B$13,3,IF(U447&gt;=Parametros!$B$12,2,1)))</f>
        <v>2</v>
      </c>
      <c r="W447" s="5">
        <f>MAX(V447,IF(K447=5,Parametros!$B$17,0),IF(P447="Sim",Parametros!$B$18,0))</f>
        <v>2</v>
      </c>
      <c r="X447" s="5" t="str">
        <f t="shared" si="26"/>
        <v>Normal</v>
      </c>
      <c r="Y447" s="29">
        <f t="shared" si="27"/>
        <v>2025.2995530000001</v>
      </c>
      <c r="Z447" s="4" t="s">
        <v>659</v>
      </c>
    </row>
    <row r="448" spans="1:26" ht="28.05" customHeight="1" x14ac:dyDescent="0.3">
      <c r="A448" s="5">
        <f t="shared" si="24"/>
        <v>444</v>
      </c>
      <c r="B448" s="23" t="s">
        <v>1085</v>
      </c>
      <c r="C448" s="17" t="s">
        <v>1086</v>
      </c>
      <c r="D448" s="4" t="s">
        <v>51</v>
      </c>
      <c r="E448" s="4" t="s">
        <v>64</v>
      </c>
      <c r="F448" s="4" t="s">
        <v>64</v>
      </c>
      <c r="G448" s="4" t="s">
        <v>171</v>
      </c>
      <c r="H448" s="4" t="s">
        <v>172</v>
      </c>
      <c r="I448" s="24" t="s">
        <v>131</v>
      </c>
      <c r="J448" s="15">
        <v>3</v>
      </c>
      <c r="K448" s="15">
        <v>2</v>
      </c>
      <c r="L448" s="15">
        <v>3</v>
      </c>
      <c r="M448" s="15">
        <v>3</v>
      </c>
      <c r="N448" s="15">
        <v>1</v>
      </c>
      <c r="O448" s="15">
        <v>3</v>
      </c>
      <c r="P448" s="15" t="s">
        <v>415</v>
      </c>
      <c r="Q448" s="23" t="s">
        <v>838</v>
      </c>
      <c r="R448" s="25">
        <f>ROUND((K448*Parametros!$B$4+L448*Parametros!$B$5+M448*Parametros!$B$6+N448*Parametros!$B$7+O448*Parametros!$B$8)/SUM(Parametros!$B$4:$B$8),2)</f>
        <v>2.4</v>
      </c>
      <c r="S448" s="26">
        <f>IFERROR(INDEX(Parametros!$F$33:$F$42,MATCH(D448,Parametros!$A$33:$A$42,0)),1)</f>
        <v>1.0669999999999999</v>
      </c>
      <c r="T448" s="27">
        <f>IFERROR(INDEX(Parametros!$B$21:$B$26,MATCH(I448,Parametros!$A$21:$A$26,0)),0)</f>
        <v>0</v>
      </c>
      <c r="U448" s="28">
        <f t="shared" si="25"/>
        <v>2.56</v>
      </c>
      <c r="V448" s="9">
        <f>IF(U448&gt;=Parametros!$B$14,4,IF(U448&gt;=Parametros!$B$13,3,IF(U448&gt;=Parametros!$B$12,2,1)))</f>
        <v>2</v>
      </c>
      <c r="W448" s="5">
        <f>MAX(V448,IF(K448=5,Parametros!$B$17,0),IF(P448="Sim",Parametros!$B$18,0))</f>
        <v>2</v>
      </c>
      <c r="X448" s="5" t="str">
        <f t="shared" si="26"/>
        <v>Normal</v>
      </c>
      <c r="Y448" s="29">
        <f t="shared" si="27"/>
        <v>2025.2995519999999</v>
      </c>
      <c r="Z448" s="4" t="s">
        <v>659</v>
      </c>
    </row>
    <row r="449" spans="1:26" ht="28.05" customHeight="1" x14ac:dyDescent="0.3">
      <c r="A449" s="5">
        <f t="shared" si="24"/>
        <v>445</v>
      </c>
      <c r="B449" s="23" t="s">
        <v>1087</v>
      </c>
      <c r="C449" s="17" t="s">
        <v>1088</v>
      </c>
      <c r="D449" s="4" t="s">
        <v>50</v>
      </c>
      <c r="E449" s="4" t="s">
        <v>70</v>
      </c>
      <c r="F449" s="4" t="s">
        <v>70</v>
      </c>
      <c r="G449" s="4" t="s">
        <v>171</v>
      </c>
      <c r="H449" s="4" t="s">
        <v>172</v>
      </c>
      <c r="I449" s="24" t="s">
        <v>122</v>
      </c>
      <c r="J449" s="15">
        <v>3</v>
      </c>
      <c r="K449" s="15">
        <v>2</v>
      </c>
      <c r="L449" s="15">
        <v>2</v>
      </c>
      <c r="M449" s="15">
        <v>3</v>
      </c>
      <c r="N449" s="15">
        <v>2</v>
      </c>
      <c r="O449" s="15">
        <v>3</v>
      </c>
      <c r="P449" s="15" t="s">
        <v>415</v>
      </c>
      <c r="Q449" s="23" t="s">
        <v>838</v>
      </c>
      <c r="R449" s="25">
        <f>ROUND((K449*Parametros!$B$4+L449*Parametros!$B$5+M449*Parametros!$B$6+N449*Parametros!$B$7+O449*Parametros!$B$8)/SUM(Parametros!$B$4:$B$8),2)</f>
        <v>2.35</v>
      </c>
      <c r="S449" s="26">
        <f>IFERROR(INDEX(Parametros!$F$33:$F$42,MATCH(D449,Parametros!$A$33:$A$42,0)),1)</f>
        <v>1.0840000000000001</v>
      </c>
      <c r="T449" s="27">
        <f>IFERROR(INDEX(Parametros!$B$21:$B$26,MATCH(I449,Parametros!$A$21:$A$26,0)),0)</f>
        <v>0</v>
      </c>
      <c r="U449" s="28">
        <f t="shared" si="25"/>
        <v>2.5499999999999998</v>
      </c>
      <c r="V449" s="9">
        <f>IF(U449&gt;=Parametros!$B$14,4,IF(U449&gt;=Parametros!$B$13,3,IF(U449&gt;=Parametros!$B$12,2,1)))</f>
        <v>2</v>
      </c>
      <c r="W449" s="5">
        <f>MAX(V449,IF(K449=5,Parametros!$B$17,0),IF(P449="Sim",Parametros!$B$18,0))</f>
        <v>2</v>
      </c>
      <c r="X449" s="5" t="str">
        <f t="shared" si="26"/>
        <v>Normal</v>
      </c>
      <c r="Y449" s="29">
        <f t="shared" si="27"/>
        <v>2025.1995510000002</v>
      </c>
      <c r="Z449" s="4" t="s">
        <v>659</v>
      </c>
    </row>
    <row r="450" spans="1:26" ht="28.05" customHeight="1" x14ac:dyDescent="0.3">
      <c r="A450" s="5">
        <f t="shared" si="24"/>
        <v>446</v>
      </c>
      <c r="B450" s="23" t="s">
        <v>1089</v>
      </c>
      <c r="C450" s="17" t="s">
        <v>1090</v>
      </c>
      <c r="D450" s="4" t="s">
        <v>56</v>
      </c>
      <c r="E450" s="4" t="s">
        <v>77</v>
      </c>
      <c r="F450" s="4" t="s">
        <v>793</v>
      </c>
      <c r="G450" s="4" t="s">
        <v>112</v>
      </c>
      <c r="H450" s="4" t="s">
        <v>108</v>
      </c>
      <c r="I450" s="24" t="s">
        <v>152</v>
      </c>
      <c r="J450" s="15">
        <v>3</v>
      </c>
      <c r="K450" s="15">
        <v>2</v>
      </c>
      <c r="L450" s="15">
        <v>4</v>
      </c>
      <c r="M450" s="15">
        <v>1</v>
      </c>
      <c r="N450" s="15">
        <v>4</v>
      </c>
      <c r="O450" s="15">
        <v>2</v>
      </c>
      <c r="P450" s="15" t="s">
        <v>415</v>
      </c>
      <c r="Q450" s="23" t="s">
        <v>416</v>
      </c>
      <c r="R450" s="25">
        <f>ROUND((K450*Parametros!$B$4+L450*Parametros!$B$5+M450*Parametros!$B$6+N450*Parametros!$B$7+O450*Parametros!$B$8)/SUM(Parametros!$B$4:$B$8),2)</f>
        <v>2.5</v>
      </c>
      <c r="S450" s="26">
        <f>IFERROR(INDEX(Parametros!$F$33:$F$42,MATCH(D450,Parametros!$A$33:$A$42,0)),1)</f>
        <v>1.0169999999999999</v>
      </c>
      <c r="T450" s="27">
        <f>IFERROR(INDEX(Parametros!$B$21:$B$26,MATCH(I450,Parametros!$A$21:$A$26,0)),0)</f>
        <v>0</v>
      </c>
      <c r="U450" s="28">
        <f t="shared" si="25"/>
        <v>2.54</v>
      </c>
      <c r="V450" s="9">
        <f>IF(U450&gt;=Parametros!$B$14,4,IF(U450&gt;=Parametros!$B$13,3,IF(U450&gt;=Parametros!$B$12,2,1)))</f>
        <v>2</v>
      </c>
      <c r="W450" s="5">
        <f>MAX(V450,IF(K450=5,Parametros!$B$17,0),IF(P450="Sim",Parametros!$B$18,0))</f>
        <v>2</v>
      </c>
      <c r="X450" s="5" t="str">
        <f t="shared" si="26"/>
        <v>Normal</v>
      </c>
      <c r="Y450" s="29">
        <f t="shared" si="27"/>
        <v>2025.0995500000001</v>
      </c>
      <c r="Z450" s="4" t="s">
        <v>325</v>
      </c>
    </row>
    <row r="451" spans="1:26" ht="28.05" customHeight="1" x14ac:dyDescent="0.3">
      <c r="A451" s="5">
        <f t="shared" si="24"/>
        <v>447</v>
      </c>
      <c r="B451" s="23" t="s">
        <v>1091</v>
      </c>
      <c r="C451" s="17" t="s">
        <v>1092</v>
      </c>
      <c r="D451" s="4" t="s">
        <v>55</v>
      </c>
      <c r="E451" s="4" t="s">
        <v>64</v>
      </c>
      <c r="F451" s="4" t="s">
        <v>64</v>
      </c>
      <c r="G451" s="4" t="s">
        <v>134</v>
      </c>
      <c r="H451" s="4" t="s">
        <v>108</v>
      </c>
      <c r="I451" s="24" t="s">
        <v>131</v>
      </c>
      <c r="J451" s="15">
        <v>3</v>
      </c>
      <c r="K451" s="15">
        <v>3</v>
      </c>
      <c r="L451" s="15">
        <v>3</v>
      </c>
      <c r="M451" s="15">
        <v>1</v>
      </c>
      <c r="N451" s="15">
        <v>2</v>
      </c>
      <c r="O451" s="15">
        <v>3</v>
      </c>
      <c r="P451" s="15" t="s">
        <v>415</v>
      </c>
      <c r="Q451" s="23" t="s">
        <v>416</v>
      </c>
      <c r="R451" s="25">
        <f>ROUND((K451*Parametros!$B$4+L451*Parametros!$B$5+M451*Parametros!$B$6+N451*Parametros!$B$7+O451*Parametros!$B$8)/SUM(Parametros!$B$4:$B$8),2)</f>
        <v>2.4500000000000002</v>
      </c>
      <c r="S451" s="26">
        <f>IFERROR(INDEX(Parametros!$F$33:$F$42,MATCH(D451,Parametros!$A$33:$A$42,0)),1)</f>
        <v>1.034</v>
      </c>
      <c r="T451" s="27">
        <f>IFERROR(INDEX(Parametros!$B$21:$B$26,MATCH(I451,Parametros!$A$21:$A$26,0)),0)</f>
        <v>0</v>
      </c>
      <c r="U451" s="28">
        <f t="shared" si="25"/>
        <v>2.5299999999999998</v>
      </c>
      <c r="V451" s="9">
        <f>IF(U451&gt;=Parametros!$B$14,4,IF(U451&gt;=Parametros!$B$13,3,IF(U451&gt;=Parametros!$B$12,2,1)))</f>
        <v>2</v>
      </c>
      <c r="W451" s="5">
        <f>MAX(V451,IF(K451=5,Parametros!$B$17,0),IF(P451="Sim",Parametros!$B$18,0))</f>
        <v>2</v>
      </c>
      <c r="X451" s="5" t="str">
        <f t="shared" si="26"/>
        <v>Normal</v>
      </c>
      <c r="Y451" s="29">
        <f t="shared" si="27"/>
        <v>2024.9995489999999</v>
      </c>
      <c r="Z451" s="4" t="s">
        <v>659</v>
      </c>
    </row>
    <row r="452" spans="1:26" ht="28.05" customHeight="1" x14ac:dyDescent="0.3">
      <c r="A452" s="5">
        <f t="shared" si="24"/>
        <v>448</v>
      </c>
      <c r="B452" s="23" t="s">
        <v>1093</v>
      </c>
      <c r="C452" s="17" t="s">
        <v>1094</v>
      </c>
      <c r="D452" s="4" t="s">
        <v>54</v>
      </c>
      <c r="E452" s="4" t="s">
        <v>72</v>
      </c>
      <c r="F452" s="4" t="s">
        <v>72</v>
      </c>
      <c r="G452" s="4" t="s">
        <v>134</v>
      </c>
      <c r="H452" s="4" t="s">
        <v>108</v>
      </c>
      <c r="I452" s="24" t="s">
        <v>152</v>
      </c>
      <c r="J452" s="15">
        <v>3</v>
      </c>
      <c r="K452" s="15">
        <v>2</v>
      </c>
      <c r="L452" s="15">
        <v>3</v>
      </c>
      <c r="M452" s="15">
        <v>4</v>
      </c>
      <c r="N452" s="15">
        <v>1</v>
      </c>
      <c r="O452" s="15">
        <v>2</v>
      </c>
      <c r="P452" s="15" t="s">
        <v>415</v>
      </c>
      <c r="Q452" s="23" t="s">
        <v>416</v>
      </c>
      <c r="R452" s="25">
        <f>ROUND((K452*Parametros!$B$4+L452*Parametros!$B$5+M452*Parametros!$B$6+N452*Parametros!$B$7+O452*Parametros!$B$8)/SUM(Parametros!$B$4:$B$8),2)</f>
        <v>2.4500000000000002</v>
      </c>
      <c r="S452" s="26">
        <f>IFERROR(INDEX(Parametros!$F$33:$F$42,MATCH(D452,Parametros!$A$33:$A$42,0)),1)</f>
        <v>1.034</v>
      </c>
      <c r="T452" s="27">
        <f>IFERROR(INDEX(Parametros!$B$21:$B$26,MATCH(I452,Parametros!$A$21:$A$26,0)),0)</f>
        <v>0</v>
      </c>
      <c r="U452" s="28">
        <f t="shared" si="25"/>
        <v>2.5299999999999998</v>
      </c>
      <c r="V452" s="9">
        <f>IF(U452&gt;=Parametros!$B$14,4,IF(U452&gt;=Parametros!$B$13,3,IF(U452&gt;=Parametros!$B$12,2,1)))</f>
        <v>2</v>
      </c>
      <c r="W452" s="5">
        <f>MAX(V452,IF(K452=5,Parametros!$B$17,0),IF(P452="Sim",Parametros!$B$18,0))</f>
        <v>2</v>
      </c>
      <c r="X452" s="5" t="str">
        <f t="shared" si="26"/>
        <v>Normal</v>
      </c>
      <c r="Y452" s="29">
        <f t="shared" si="27"/>
        <v>2024.999548</v>
      </c>
      <c r="Z452" s="4" t="s">
        <v>289</v>
      </c>
    </row>
    <row r="453" spans="1:26" ht="28.05" customHeight="1" x14ac:dyDescent="0.3">
      <c r="A453" s="5">
        <f t="shared" ref="A453:A516" si="28">IF(Y453="","",COUNTIF($Y$5:$Y$983,"&gt;"&amp;Y453)+1)</f>
        <v>449</v>
      </c>
      <c r="B453" s="23" t="s">
        <v>1095</v>
      </c>
      <c r="C453" s="17" t="s">
        <v>1096</v>
      </c>
      <c r="D453" s="4" t="s">
        <v>49</v>
      </c>
      <c r="E453" s="4" t="s">
        <v>81</v>
      </c>
      <c r="F453" s="4" t="s">
        <v>81</v>
      </c>
      <c r="G453" s="4" t="s">
        <v>171</v>
      </c>
      <c r="H453" s="4" t="s">
        <v>172</v>
      </c>
      <c r="I453" s="24" t="s">
        <v>152</v>
      </c>
      <c r="J453" s="15">
        <v>3</v>
      </c>
      <c r="K453" s="15">
        <v>3</v>
      </c>
      <c r="L453" s="15">
        <v>3</v>
      </c>
      <c r="M453" s="15">
        <v>1</v>
      </c>
      <c r="N453" s="15">
        <v>1</v>
      </c>
      <c r="O453" s="15">
        <v>3</v>
      </c>
      <c r="P453" s="15" t="s">
        <v>415</v>
      </c>
      <c r="Q453" s="23" t="s">
        <v>838</v>
      </c>
      <c r="R453" s="25">
        <f>ROUND((K453*Parametros!$B$4+L453*Parametros!$B$5+M453*Parametros!$B$6+N453*Parametros!$B$7+O453*Parametros!$B$8)/SUM(Parametros!$B$4:$B$8),2)</f>
        <v>2.2999999999999998</v>
      </c>
      <c r="S453" s="26">
        <f>IFERROR(INDEX(Parametros!$F$33:$F$42,MATCH(D453,Parametros!$A$33:$A$42,0)),1)</f>
        <v>1.1000000000000001</v>
      </c>
      <c r="T453" s="27">
        <f>IFERROR(INDEX(Parametros!$B$21:$B$26,MATCH(I453,Parametros!$A$21:$A$26,0)),0)</f>
        <v>0</v>
      </c>
      <c r="U453" s="28">
        <f t="shared" ref="U453:U516" si="29">ROUND(R453*S453+T453,2)</f>
        <v>2.5299999999999998</v>
      </c>
      <c r="V453" s="9">
        <f>IF(U453&gt;=Parametros!$B$14,4,IF(U453&gt;=Parametros!$B$13,3,IF(U453&gt;=Parametros!$B$12,2,1)))</f>
        <v>2</v>
      </c>
      <c r="W453" s="5">
        <f>MAX(V453,IF(K453=5,Parametros!$B$17,0),IF(P453="Sim",Parametros!$B$18,0))</f>
        <v>2</v>
      </c>
      <c r="X453" s="5" t="str">
        <f t="shared" ref="X453:X516" si="30">CHOOSE(W453,"Baixa","Normal","Alta","Urgente")</f>
        <v>Normal</v>
      </c>
      <c r="Y453" s="29">
        <f t="shared" ref="Y453:Y516" si="31">W453*1000+U453*10-J453/10-ROW()/1000000</f>
        <v>2024.9995469999999</v>
      </c>
      <c r="Z453" s="4" t="s">
        <v>659</v>
      </c>
    </row>
    <row r="454" spans="1:26" ht="28.05" customHeight="1" x14ac:dyDescent="0.3">
      <c r="A454" s="5">
        <f t="shared" si="28"/>
        <v>450</v>
      </c>
      <c r="B454" s="23" t="s">
        <v>1097</v>
      </c>
      <c r="C454" s="17" t="s">
        <v>1098</v>
      </c>
      <c r="D454" s="4" t="s">
        <v>53</v>
      </c>
      <c r="E454" s="4" t="s">
        <v>64</v>
      </c>
      <c r="F454" s="4" t="s">
        <v>64</v>
      </c>
      <c r="G454" s="4" t="s">
        <v>184</v>
      </c>
      <c r="H454" s="4" t="s">
        <v>185</v>
      </c>
      <c r="I454" s="24" t="s">
        <v>152</v>
      </c>
      <c r="J454" s="15">
        <v>2</v>
      </c>
      <c r="K454" s="15">
        <v>3</v>
      </c>
      <c r="L454" s="15">
        <v>3</v>
      </c>
      <c r="M454" s="15">
        <v>3</v>
      </c>
      <c r="N454" s="15">
        <v>1</v>
      </c>
      <c r="O454" s="15">
        <v>1</v>
      </c>
      <c r="P454" s="15" t="s">
        <v>415</v>
      </c>
      <c r="Q454" s="23" t="s">
        <v>838</v>
      </c>
      <c r="R454" s="25">
        <f>ROUND((K454*Parametros!$B$4+L454*Parametros!$B$5+M454*Parametros!$B$6+N454*Parametros!$B$7+O454*Parametros!$B$8)/SUM(Parametros!$B$4:$B$8),2)</f>
        <v>2.4</v>
      </c>
      <c r="S454" s="26">
        <f>IFERROR(INDEX(Parametros!$F$33:$F$42,MATCH(D454,Parametros!$A$33:$A$42,0)),1)</f>
        <v>1.05</v>
      </c>
      <c r="T454" s="27">
        <f>IFERROR(INDEX(Parametros!$B$21:$B$26,MATCH(I454,Parametros!$A$21:$A$26,0)),0)</f>
        <v>0</v>
      </c>
      <c r="U454" s="28">
        <f t="shared" si="29"/>
        <v>2.52</v>
      </c>
      <c r="V454" s="9">
        <f>IF(U454&gt;=Parametros!$B$14,4,IF(U454&gt;=Parametros!$B$13,3,IF(U454&gt;=Parametros!$B$12,2,1)))</f>
        <v>2</v>
      </c>
      <c r="W454" s="5">
        <f>MAX(V454,IF(K454=5,Parametros!$B$17,0),IF(P454="Sim",Parametros!$B$18,0))</f>
        <v>2</v>
      </c>
      <c r="X454" s="5" t="str">
        <f t="shared" si="30"/>
        <v>Normal</v>
      </c>
      <c r="Y454" s="29">
        <f t="shared" si="31"/>
        <v>2024.999546</v>
      </c>
      <c r="Z454" s="4" t="s">
        <v>659</v>
      </c>
    </row>
    <row r="455" spans="1:26" ht="28.05" customHeight="1" x14ac:dyDescent="0.3">
      <c r="A455" s="5">
        <f t="shared" si="28"/>
        <v>451</v>
      </c>
      <c r="B455" s="23" t="s">
        <v>1099</v>
      </c>
      <c r="C455" s="17" t="s">
        <v>1100</v>
      </c>
      <c r="D455" s="4" t="s">
        <v>53</v>
      </c>
      <c r="E455" s="4" t="s">
        <v>64</v>
      </c>
      <c r="F455" s="4" t="s">
        <v>64</v>
      </c>
      <c r="G455" s="4" t="s">
        <v>184</v>
      </c>
      <c r="H455" s="4" t="s">
        <v>185</v>
      </c>
      <c r="I455" s="24" t="s">
        <v>131</v>
      </c>
      <c r="J455" s="15">
        <v>2</v>
      </c>
      <c r="K455" s="15">
        <v>2</v>
      </c>
      <c r="L455" s="15">
        <v>3</v>
      </c>
      <c r="M455" s="15">
        <v>3</v>
      </c>
      <c r="N455" s="15">
        <v>1</v>
      </c>
      <c r="O455" s="15">
        <v>3</v>
      </c>
      <c r="P455" s="15" t="s">
        <v>415</v>
      </c>
      <c r="Q455" s="23" t="s">
        <v>838</v>
      </c>
      <c r="R455" s="25">
        <f>ROUND((K455*Parametros!$B$4+L455*Parametros!$B$5+M455*Parametros!$B$6+N455*Parametros!$B$7+O455*Parametros!$B$8)/SUM(Parametros!$B$4:$B$8),2)</f>
        <v>2.4</v>
      </c>
      <c r="S455" s="26">
        <f>IFERROR(INDEX(Parametros!$F$33:$F$42,MATCH(D455,Parametros!$A$33:$A$42,0)),1)</f>
        <v>1.05</v>
      </c>
      <c r="T455" s="27">
        <f>IFERROR(INDEX(Parametros!$B$21:$B$26,MATCH(I455,Parametros!$A$21:$A$26,0)),0)</f>
        <v>0</v>
      </c>
      <c r="U455" s="28">
        <f t="shared" si="29"/>
        <v>2.52</v>
      </c>
      <c r="V455" s="9">
        <f>IF(U455&gt;=Parametros!$B$14,4,IF(U455&gt;=Parametros!$B$13,3,IF(U455&gt;=Parametros!$B$12,2,1)))</f>
        <v>2</v>
      </c>
      <c r="W455" s="5">
        <f>MAX(V455,IF(K455=5,Parametros!$B$17,0),IF(P455="Sim",Parametros!$B$18,0))</f>
        <v>2</v>
      </c>
      <c r="X455" s="5" t="str">
        <f t="shared" si="30"/>
        <v>Normal</v>
      </c>
      <c r="Y455" s="29">
        <f t="shared" si="31"/>
        <v>2024.9995449999999</v>
      </c>
      <c r="Z455" s="4" t="s">
        <v>659</v>
      </c>
    </row>
    <row r="456" spans="1:26" ht="28.05" customHeight="1" x14ac:dyDescent="0.3">
      <c r="A456" s="5">
        <f t="shared" si="28"/>
        <v>452</v>
      </c>
      <c r="B456" s="23" t="s">
        <v>1101</v>
      </c>
      <c r="C456" s="17" t="s">
        <v>1102</v>
      </c>
      <c r="D456" s="4" t="s">
        <v>52</v>
      </c>
      <c r="E456" s="4" t="s">
        <v>66</v>
      </c>
      <c r="F456" s="4" t="s">
        <v>66</v>
      </c>
      <c r="G456" s="4" t="s">
        <v>171</v>
      </c>
      <c r="H456" s="4" t="s">
        <v>172</v>
      </c>
      <c r="I456" s="24" t="s">
        <v>152</v>
      </c>
      <c r="J456" s="15">
        <v>2</v>
      </c>
      <c r="K456" s="15">
        <v>2</v>
      </c>
      <c r="L456" s="15">
        <v>3</v>
      </c>
      <c r="M456" s="15">
        <v>3</v>
      </c>
      <c r="N456" s="15">
        <v>1</v>
      </c>
      <c r="O456" s="15">
        <v>3</v>
      </c>
      <c r="P456" s="15" t="s">
        <v>415</v>
      </c>
      <c r="Q456" s="23" t="s">
        <v>416</v>
      </c>
      <c r="R456" s="25">
        <f>ROUND((K456*Parametros!$B$4+L456*Parametros!$B$5+M456*Parametros!$B$6+N456*Parametros!$B$7+O456*Parametros!$B$8)/SUM(Parametros!$B$4:$B$8),2)</f>
        <v>2.4</v>
      </c>
      <c r="S456" s="26">
        <f>IFERROR(INDEX(Parametros!$F$33:$F$42,MATCH(D456,Parametros!$A$33:$A$42,0)),1)</f>
        <v>1.05</v>
      </c>
      <c r="T456" s="27">
        <f>IFERROR(INDEX(Parametros!$B$21:$B$26,MATCH(I456,Parametros!$A$21:$A$26,0)),0)</f>
        <v>0</v>
      </c>
      <c r="U456" s="28">
        <f t="shared" si="29"/>
        <v>2.52</v>
      </c>
      <c r="V456" s="9">
        <f>IF(U456&gt;=Parametros!$B$14,4,IF(U456&gt;=Parametros!$B$13,3,IF(U456&gt;=Parametros!$B$12,2,1)))</f>
        <v>2</v>
      </c>
      <c r="W456" s="5">
        <f>MAX(V456,IF(K456=5,Parametros!$B$17,0),IF(P456="Sim",Parametros!$B$18,0))</f>
        <v>2</v>
      </c>
      <c r="X456" s="5" t="str">
        <f t="shared" si="30"/>
        <v>Normal</v>
      </c>
      <c r="Y456" s="29">
        <f t="shared" si="31"/>
        <v>2024.999544</v>
      </c>
      <c r="Z456" s="4" t="s">
        <v>659</v>
      </c>
    </row>
    <row r="457" spans="1:26" ht="28.05" customHeight="1" x14ac:dyDescent="0.3">
      <c r="A457" s="5">
        <f t="shared" si="28"/>
        <v>453</v>
      </c>
      <c r="B457" s="23" t="s">
        <v>1103</v>
      </c>
      <c r="C457" s="17" t="s">
        <v>1104</v>
      </c>
      <c r="D457" s="4" t="s">
        <v>52</v>
      </c>
      <c r="E457" s="4" t="s">
        <v>66</v>
      </c>
      <c r="F457" s="4" t="s">
        <v>66</v>
      </c>
      <c r="G457" s="4" t="s">
        <v>119</v>
      </c>
      <c r="H457" s="4" t="s">
        <v>108</v>
      </c>
      <c r="I457" s="24" t="s">
        <v>152</v>
      </c>
      <c r="J457" s="15">
        <v>2</v>
      </c>
      <c r="K457" s="15">
        <v>3</v>
      </c>
      <c r="L457" s="15">
        <v>3</v>
      </c>
      <c r="M457" s="15">
        <v>3</v>
      </c>
      <c r="N457" s="15">
        <v>1</v>
      </c>
      <c r="O457" s="15">
        <v>1</v>
      </c>
      <c r="P457" s="15" t="s">
        <v>415</v>
      </c>
      <c r="Q457" s="23" t="s">
        <v>838</v>
      </c>
      <c r="R457" s="25">
        <f>ROUND((K457*Parametros!$B$4+L457*Parametros!$B$5+M457*Parametros!$B$6+N457*Parametros!$B$7+O457*Parametros!$B$8)/SUM(Parametros!$B$4:$B$8),2)</f>
        <v>2.4</v>
      </c>
      <c r="S457" s="26">
        <f>IFERROR(INDEX(Parametros!$F$33:$F$42,MATCH(D457,Parametros!$A$33:$A$42,0)),1)</f>
        <v>1.05</v>
      </c>
      <c r="T457" s="27">
        <f>IFERROR(INDEX(Parametros!$B$21:$B$26,MATCH(I457,Parametros!$A$21:$A$26,0)),0)</f>
        <v>0</v>
      </c>
      <c r="U457" s="28">
        <f t="shared" si="29"/>
        <v>2.52</v>
      </c>
      <c r="V457" s="9">
        <f>IF(U457&gt;=Parametros!$B$14,4,IF(U457&gt;=Parametros!$B$13,3,IF(U457&gt;=Parametros!$B$12,2,1)))</f>
        <v>2</v>
      </c>
      <c r="W457" s="5">
        <f>MAX(V457,IF(K457=5,Parametros!$B$17,0),IF(P457="Sim",Parametros!$B$18,0))</f>
        <v>2</v>
      </c>
      <c r="X457" s="5" t="str">
        <f t="shared" si="30"/>
        <v>Normal</v>
      </c>
      <c r="Y457" s="29">
        <f t="shared" si="31"/>
        <v>2024.9995429999999</v>
      </c>
      <c r="Z457" s="4" t="s">
        <v>659</v>
      </c>
    </row>
    <row r="458" spans="1:26" ht="28.05" customHeight="1" x14ac:dyDescent="0.3">
      <c r="A458" s="5">
        <f t="shared" si="28"/>
        <v>454</v>
      </c>
      <c r="B458" s="23" t="s">
        <v>1105</v>
      </c>
      <c r="C458" s="17" t="s">
        <v>1106</v>
      </c>
      <c r="D458" s="4" t="s">
        <v>52</v>
      </c>
      <c r="E458" s="4" t="s">
        <v>66</v>
      </c>
      <c r="F458" s="4" t="s">
        <v>66</v>
      </c>
      <c r="G458" s="4" t="s">
        <v>171</v>
      </c>
      <c r="H458" s="4" t="s">
        <v>172</v>
      </c>
      <c r="I458" s="24" t="s">
        <v>122</v>
      </c>
      <c r="J458" s="15">
        <v>3</v>
      </c>
      <c r="K458" s="15">
        <v>2</v>
      </c>
      <c r="L458" s="15">
        <v>3</v>
      </c>
      <c r="M458" s="15">
        <v>3</v>
      </c>
      <c r="N458" s="15">
        <v>2</v>
      </c>
      <c r="O458" s="15">
        <v>2</v>
      </c>
      <c r="P458" s="15" t="s">
        <v>415</v>
      </c>
      <c r="Q458" s="23" t="s">
        <v>416</v>
      </c>
      <c r="R458" s="25">
        <f>ROUND((K458*Parametros!$B$4+L458*Parametros!$B$5+M458*Parametros!$B$6+N458*Parametros!$B$7+O458*Parametros!$B$8)/SUM(Parametros!$B$4:$B$8),2)</f>
        <v>2.4</v>
      </c>
      <c r="S458" s="26">
        <f>IFERROR(INDEX(Parametros!$F$33:$F$42,MATCH(D458,Parametros!$A$33:$A$42,0)),1)</f>
        <v>1.05</v>
      </c>
      <c r="T458" s="27">
        <f>IFERROR(INDEX(Parametros!$B$21:$B$26,MATCH(I458,Parametros!$A$21:$A$26,0)),0)</f>
        <v>0</v>
      </c>
      <c r="U458" s="28">
        <f t="shared" si="29"/>
        <v>2.52</v>
      </c>
      <c r="V458" s="9">
        <f>IF(U458&gt;=Parametros!$B$14,4,IF(U458&gt;=Parametros!$B$13,3,IF(U458&gt;=Parametros!$B$12,2,1)))</f>
        <v>2</v>
      </c>
      <c r="W458" s="5">
        <f>MAX(V458,IF(K458=5,Parametros!$B$17,0),IF(P458="Sim",Parametros!$B$18,0))</f>
        <v>2</v>
      </c>
      <c r="X458" s="5" t="str">
        <f t="shared" si="30"/>
        <v>Normal</v>
      </c>
      <c r="Y458" s="29">
        <f t="shared" si="31"/>
        <v>2024.8995420000001</v>
      </c>
      <c r="Z458" s="4" t="s">
        <v>659</v>
      </c>
    </row>
    <row r="459" spans="1:26" ht="28.05" customHeight="1" x14ac:dyDescent="0.3">
      <c r="A459" s="5">
        <f t="shared" si="28"/>
        <v>455</v>
      </c>
      <c r="B459" s="23" t="s">
        <v>1107</v>
      </c>
      <c r="C459" s="17" t="s">
        <v>1108</v>
      </c>
      <c r="D459" s="4" t="s">
        <v>52</v>
      </c>
      <c r="E459" s="4" t="s">
        <v>66</v>
      </c>
      <c r="F459" s="4" t="s">
        <v>66</v>
      </c>
      <c r="G459" s="4" t="s">
        <v>171</v>
      </c>
      <c r="H459" s="4" t="s">
        <v>172</v>
      </c>
      <c r="I459" s="24" t="s">
        <v>122</v>
      </c>
      <c r="J459" s="15">
        <v>3</v>
      </c>
      <c r="K459" s="15">
        <v>2</v>
      </c>
      <c r="L459" s="15">
        <v>3</v>
      </c>
      <c r="M459" s="15">
        <v>3</v>
      </c>
      <c r="N459" s="15">
        <v>2</v>
      </c>
      <c r="O459" s="15">
        <v>2</v>
      </c>
      <c r="P459" s="15" t="s">
        <v>415</v>
      </c>
      <c r="Q459" s="23" t="s">
        <v>416</v>
      </c>
      <c r="R459" s="25">
        <f>ROUND((K459*Parametros!$B$4+L459*Parametros!$B$5+M459*Parametros!$B$6+N459*Parametros!$B$7+O459*Parametros!$B$8)/SUM(Parametros!$B$4:$B$8),2)</f>
        <v>2.4</v>
      </c>
      <c r="S459" s="26">
        <f>IFERROR(INDEX(Parametros!$F$33:$F$42,MATCH(D459,Parametros!$A$33:$A$42,0)),1)</f>
        <v>1.05</v>
      </c>
      <c r="T459" s="27">
        <f>IFERROR(INDEX(Parametros!$B$21:$B$26,MATCH(I459,Parametros!$A$21:$A$26,0)),0)</f>
        <v>0</v>
      </c>
      <c r="U459" s="28">
        <f t="shared" si="29"/>
        <v>2.52</v>
      </c>
      <c r="V459" s="9">
        <f>IF(U459&gt;=Parametros!$B$14,4,IF(U459&gt;=Parametros!$B$13,3,IF(U459&gt;=Parametros!$B$12,2,1)))</f>
        <v>2</v>
      </c>
      <c r="W459" s="5">
        <f>MAX(V459,IF(K459=5,Parametros!$B$17,0),IF(P459="Sim",Parametros!$B$18,0))</f>
        <v>2</v>
      </c>
      <c r="X459" s="5" t="str">
        <f t="shared" si="30"/>
        <v>Normal</v>
      </c>
      <c r="Y459" s="29">
        <f t="shared" si="31"/>
        <v>2024.899541</v>
      </c>
      <c r="Z459" s="4" t="s">
        <v>659</v>
      </c>
    </row>
    <row r="460" spans="1:26" ht="28.05" customHeight="1" x14ac:dyDescent="0.3">
      <c r="A460" s="5">
        <f t="shared" si="28"/>
        <v>456</v>
      </c>
      <c r="B460" s="23" t="s">
        <v>1109</v>
      </c>
      <c r="C460" s="17" t="s">
        <v>1110</v>
      </c>
      <c r="D460" s="4" t="s">
        <v>52</v>
      </c>
      <c r="E460" s="4" t="s">
        <v>66</v>
      </c>
      <c r="F460" s="4" t="s">
        <v>66</v>
      </c>
      <c r="G460" s="4" t="s">
        <v>171</v>
      </c>
      <c r="H460" s="4" t="s">
        <v>172</v>
      </c>
      <c r="I460" s="24" t="s">
        <v>122</v>
      </c>
      <c r="J460" s="15">
        <v>3</v>
      </c>
      <c r="K460" s="15">
        <v>2</v>
      </c>
      <c r="L460" s="15">
        <v>3</v>
      </c>
      <c r="M460" s="15">
        <v>3</v>
      </c>
      <c r="N460" s="15">
        <v>2</v>
      </c>
      <c r="O460" s="15">
        <v>2</v>
      </c>
      <c r="P460" s="15" t="s">
        <v>415</v>
      </c>
      <c r="Q460" s="23" t="s">
        <v>416</v>
      </c>
      <c r="R460" s="25">
        <f>ROUND((K460*Parametros!$B$4+L460*Parametros!$B$5+M460*Parametros!$B$6+N460*Parametros!$B$7+O460*Parametros!$B$8)/SUM(Parametros!$B$4:$B$8),2)</f>
        <v>2.4</v>
      </c>
      <c r="S460" s="26">
        <f>IFERROR(INDEX(Parametros!$F$33:$F$42,MATCH(D460,Parametros!$A$33:$A$42,0)),1)</f>
        <v>1.05</v>
      </c>
      <c r="T460" s="27">
        <f>IFERROR(INDEX(Parametros!$B$21:$B$26,MATCH(I460,Parametros!$A$21:$A$26,0)),0)</f>
        <v>0</v>
      </c>
      <c r="U460" s="28">
        <f t="shared" si="29"/>
        <v>2.52</v>
      </c>
      <c r="V460" s="9">
        <f>IF(U460&gt;=Parametros!$B$14,4,IF(U460&gt;=Parametros!$B$13,3,IF(U460&gt;=Parametros!$B$12,2,1)))</f>
        <v>2</v>
      </c>
      <c r="W460" s="5">
        <f>MAX(V460,IF(K460=5,Parametros!$B$17,0),IF(P460="Sim",Parametros!$B$18,0))</f>
        <v>2</v>
      </c>
      <c r="X460" s="5" t="str">
        <f t="shared" si="30"/>
        <v>Normal</v>
      </c>
      <c r="Y460" s="29">
        <f t="shared" si="31"/>
        <v>2024.8995400000001</v>
      </c>
      <c r="Z460" s="4" t="s">
        <v>659</v>
      </c>
    </row>
    <row r="461" spans="1:26" ht="28.05" customHeight="1" x14ac:dyDescent="0.3">
      <c r="A461" s="5">
        <f t="shared" si="28"/>
        <v>457</v>
      </c>
      <c r="B461" s="23" t="s">
        <v>1111</v>
      </c>
      <c r="C461" s="17" t="s">
        <v>1112</v>
      </c>
      <c r="D461" s="4" t="s">
        <v>52</v>
      </c>
      <c r="E461" s="4" t="s">
        <v>66</v>
      </c>
      <c r="F461" s="4" t="s">
        <v>66</v>
      </c>
      <c r="G461" s="4" t="s">
        <v>171</v>
      </c>
      <c r="H461" s="4" t="s">
        <v>172</v>
      </c>
      <c r="I461" s="24" t="s">
        <v>122</v>
      </c>
      <c r="J461" s="15">
        <v>3</v>
      </c>
      <c r="K461" s="15">
        <v>2</v>
      </c>
      <c r="L461" s="15">
        <v>3</v>
      </c>
      <c r="M461" s="15">
        <v>3</v>
      </c>
      <c r="N461" s="15">
        <v>2</v>
      </c>
      <c r="O461" s="15">
        <v>2</v>
      </c>
      <c r="P461" s="15" t="s">
        <v>415</v>
      </c>
      <c r="Q461" s="23" t="s">
        <v>416</v>
      </c>
      <c r="R461" s="25">
        <f>ROUND((K461*Parametros!$B$4+L461*Parametros!$B$5+M461*Parametros!$B$6+N461*Parametros!$B$7+O461*Parametros!$B$8)/SUM(Parametros!$B$4:$B$8),2)</f>
        <v>2.4</v>
      </c>
      <c r="S461" s="26">
        <f>IFERROR(INDEX(Parametros!$F$33:$F$42,MATCH(D461,Parametros!$A$33:$A$42,0)),1)</f>
        <v>1.05</v>
      </c>
      <c r="T461" s="27">
        <f>IFERROR(INDEX(Parametros!$B$21:$B$26,MATCH(I461,Parametros!$A$21:$A$26,0)),0)</f>
        <v>0</v>
      </c>
      <c r="U461" s="28">
        <f t="shared" si="29"/>
        <v>2.52</v>
      </c>
      <c r="V461" s="9">
        <f>IF(U461&gt;=Parametros!$B$14,4,IF(U461&gt;=Parametros!$B$13,3,IF(U461&gt;=Parametros!$B$12,2,1)))</f>
        <v>2</v>
      </c>
      <c r="W461" s="5">
        <f>MAX(V461,IF(K461=5,Parametros!$B$17,0),IF(P461="Sim",Parametros!$B$18,0))</f>
        <v>2</v>
      </c>
      <c r="X461" s="5" t="str">
        <f t="shared" si="30"/>
        <v>Normal</v>
      </c>
      <c r="Y461" s="29">
        <f t="shared" si="31"/>
        <v>2024.899539</v>
      </c>
      <c r="Z461" s="4" t="s">
        <v>659</v>
      </c>
    </row>
    <row r="462" spans="1:26" ht="28.05" customHeight="1" x14ac:dyDescent="0.3">
      <c r="A462" s="5">
        <f t="shared" si="28"/>
        <v>458</v>
      </c>
      <c r="B462" s="23" t="s">
        <v>1113</v>
      </c>
      <c r="C462" s="17" t="s">
        <v>1114</v>
      </c>
      <c r="D462" s="4" t="s">
        <v>52</v>
      </c>
      <c r="E462" s="4" t="s">
        <v>66</v>
      </c>
      <c r="F462" s="4" t="s">
        <v>66</v>
      </c>
      <c r="G462" s="4" t="s">
        <v>171</v>
      </c>
      <c r="H462" s="4" t="s">
        <v>172</v>
      </c>
      <c r="I462" s="24" t="s">
        <v>122</v>
      </c>
      <c r="J462" s="15">
        <v>3</v>
      </c>
      <c r="K462" s="15">
        <v>2</v>
      </c>
      <c r="L462" s="15">
        <v>3</v>
      </c>
      <c r="M462" s="15">
        <v>3</v>
      </c>
      <c r="N462" s="15">
        <v>2</v>
      </c>
      <c r="O462" s="15">
        <v>2</v>
      </c>
      <c r="P462" s="15" t="s">
        <v>415</v>
      </c>
      <c r="Q462" s="23" t="s">
        <v>416</v>
      </c>
      <c r="R462" s="25">
        <f>ROUND((K462*Parametros!$B$4+L462*Parametros!$B$5+M462*Parametros!$B$6+N462*Parametros!$B$7+O462*Parametros!$B$8)/SUM(Parametros!$B$4:$B$8),2)</f>
        <v>2.4</v>
      </c>
      <c r="S462" s="26">
        <f>IFERROR(INDEX(Parametros!$F$33:$F$42,MATCH(D462,Parametros!$A$33:$A$42,0)),1)</f>
        <v>1.05</v>
      </c>
      <c r="T462" s="27">
        <f>IFERROR(INDEX(Parametros!$B$21:$B$26,MATCH(I462,Parametros!$A$21:$A$26,0)),0)</f>
        <v>0</v>
      </c>
      <c r="U462" s="28">
        <f t="shared" si="29"/>
        <v>2.52</v>
      </c>
      <c r="V462" s="9">
        <f>IF(U462&gt;=Parametros!$B$14,4,IF(U462&gt;=Parametros!$B$13,3,IF(U462&gt;=Parametros!$B$12,2,1)))</f>
        <v>2</v>
      </c>
      <c r="W462" s="5">
        <f>MAX(V462,IF(K462=5,Parametros!$B$17,0),IF(P462="Sim",Parametros!$B$18,0))</f>
        <v>2</v>
      </c>
      <c r="X462" s="5" t="str">
        <f t="shared" si="30"/>
        <v>Normal</v>
      </c>
      <c r="Y462" s="29">
        <f t="shared" si="31"/>
        <v>2024.8995380000001</v>
      </c>
      <c r="Z462" s="4" t="s">
        <v>659</v>
      </c>
    </row>
    <row r="463" spans="1:26" ht="28.05" customHeight="1" x14ac:dyDescent="0.3">
      <c r="A463" s="5">
        <f t="shared" si="28"/>
        <v>459</v>
      </c>
      <c r="B463" s="23" t="s">
        <v>1115</v>
      </c>
      <c r="C463" s="17" t="s">
        <v>1116</v>
      </c>
      <c r="D463" s="4" t="s">
        <v>52</v>
      </c>
      <c r="E463" s="4" t="s">
        <v>66</v>
      </c>
      <c r="F463" s="4" t="s">
        <v>66</v>
      </c>
      <c r="G463" s="4" t="s">
        <v>171</v>
      </c>
      <c r="H463" s="4" t="s">
        <v>172</v>
      </c>
      <c r="I463" s="24" t="s">
        <v>122</v>
      </c>
      <c r="J463" s="15">
        <v>3</v>
      </c>
      <c r="K463" s="15">
        <v>2</v>
      </c>
      <c r="L463" s="15">
        <v>3</v>
      </c>
      <c r="M463" s="15">
        <v>3</v>
      </c>
      <c r="N463" s="15">
        <v>2</v>
      </c>
      <c r="O463" s="15">
        <v>2</v>
      </c>
      <c r="P463" s="15" t="s">
        <v>415</v>
      </c>
      <c r="Q463" s="23" t="s">
        <v>416</v>
      </c>
      <c r="R463" s="25">
        <f>ROUND((K463*Parametros!$B$4+L463*Parametros!$B$5+M463*Parametros!$B$6+N463*Parametros!$B$7+O463*Parametros!$B$8)/SUM(Parametros!$B$4:$B$8),2)</f>
        <v>2.4</v>
      </c>
      <c r="S463" s="26">
        <f>IFERROR(INDEX(Parametros!$F$33:$F$42,MATCH(D463,Parametros!$A$33:$A$42,0)),1)</f>
        <v>1.05</v>
      </c>
      <c r="T463" s="27">
        <f>IFERROR(INDEX(Parametros!$B$21:$B$26,MATCH(I463,Parametros!$A$21:$A$26,0)),0)</f>
        <v>0</v>
      </c>
      <c r="U463" s="28">
        <f t="shared" si="29"/>
        <v>2.52</v>
      </c>
      <c r="V463" s="9">
        <f>IF(U463&gt;=Parametros!$B$14,4,IF(U463&gt;=Parametros!$B$13,3,IF(U463&gt;=Parametros!$B$12,2,1)))</f>
        <v>2</v>
      </c>
      <c r="W463" s="5">
        <f>MAX(V463,IF(K463=5,Parametros!$B$17,0),IF(P463="Sim",Parametros!$B$18,0))</f>
        <v>2</v>
      </c>
      <c r="X463" s="5" t="str">
        <f t="shared" si="30"/>
        <v>Normal</v>
      </c>
      <c r="Y463" s="29">
        <f t="shared" si="31"/>
        <v>2024.899537</v>
      </c>
      <c r="Z463" s="4" t="s">
        <v>659</v>
      </c>
    </row>
    <row r="464" spans="1:26" ht="28.05" customHeight="1" x14ac:dyDescent="0.3">
      <c r="A464" s="5">
        <f t="shared" si="28"/>
        <v>460</v>
      </c>
      <c r="B464" s="23" t="s">
        <v>1117</v>
      </c>
      <c r="C464" s="17" t="s">
        <v>1118</v>
      </c>
      <c r="D464" s="4" t="s">
        <v>52</v>
      </c>
      <c r="E464" s="4" t="s">
        <v>66</v>
      </c>
      <c r="F464" s="4" t="s">
        <v>66</v>
      </c>
      <c r="G464" s="4" t="s">
        <v>171</v>
      </c>
      <c r="H464" s="4" t="s">
        <v>172</v>
      </c>
      <c r="I464" s="24" t="s">
        <v>122</v>
      </c>
      <c r="J464" s="15">
        <v>3</v>
      </c>
      <c r="K464" s="15">
        <v>2</v>
      </c>
      <c r="L464" s="15">
        <v>3</v>
      </c>
      <c r="M464" s="15">
        <v>3</v>
      </c>
      <c r="N464" s="15">
        <v>2</v>
      </c>
      <c r="O464" s="15">
        <v>2</v>
      </c>
      <c r="P464" s="15" t="s">
        <v>415</v>
      </c>
      <c r="Q464" s="23" t="s">
        <v>416</v>
      </c>
      <c r="R464" s="25">
        <f>ROUND((K464*Parametros!$B$4+L464*Parametros!$B$5+M464*Parametros!$B$6+N464*Parametros!$B$7+O464*Parametros!$B$8)/SUM(Parametros!$B$4:$B$8),2)</f>
        <v>2.4</v>
      </c>
      <c r="S464" s="26">
        <f>IFERROR(INDEX(Parametros!$F$33:$F$42,MATCH(D464,Parametros!$A$33:$A$42,0)),1)</f>
        <v>1.05</v>
      </c>
      <c r="T464" s="27">
        <f>IFERROR(INDEX(Parametros!$B$21:$B$26,MATCH(I464,Parametros!$A$21:$A$26,0)),0)</f>
        <v>0</v>
      </c>
      <c r="U464" s="28">
        <f t="shared" si="29"/>
        <v>2.52</v>
      </c>
      <c r="V464" s="9">
        <f>IF(U464&gt;=Parametros!$B$14,4,IF(U464&gt;=Parametros!$B$13,3,IF(U464&gt;=Parametros!$B$12,2,1)))</f>
        <v>2</v>
      </c>
      <c r="W464" s="5">
        <f>MAX(V464,IF(K464=5,Parametros!$B$17,0),IF(P464="Sim",Parametros!$B$18,0))</f>
        <v>2</v>
      </c>
      <c r="X464" s="5" t="str">
        <f t="shared" si="30"/>
        <v>Normal</v>
      </c>
      <c r="Y464" s="29">
        <f t="shared" si="31"/>
        <v>2024.8995360000001</v>
      </c>
      <c r="Z464" s="4" t="s">
        <v>659</v>
      </c>
    </row>
    <row r="465" spans="1:26" ht="28.05" customHeight="1" x14ac:dyDescent="0.3">
      <c r="A465" s="5">
        <f t="shared" si="28"/>
        <v>461</v>
      </c>
      <c r="B465" s="23" t="s">
        <v>1119</v>
      </c>
      <c r="C465" s="17" t="s">
        <v>1120</v>
      </c>
      <c r="D465" s="4" t="s">
        <v>52</v>
      </c>
      <c r="E465" s="4" t="s">
        <v>64</v>
      </c>
      <c r="F465" s="4" t="s">
        <v>64</v>
      </c>
      <c r="G465" s="4" t="s">
        <v>107</v>
      </c>
      <c r="H465" s="4" t="s">
        <v>108</v>
      </c>
      <c r="I465" s="24" t="s">
        <v>131</v>
      </c>
      <c r="J465" s="15">
        <v>3</v>
      </c>
      <c r="K465" s="15">
        <v>2</v>
      </c>
      <c r="L465" s="15">
        <v>3</v>
      </c>
      <c r="M465" s="15">
        <v>3</v>
      </c>
      <c r="N465" s="15">
        <v>1</v>
      </c>
      <c r="O465" s="15">
        <v>3</v>
      </c>
      <c r="P465" s="15" t="s">
        <v>415</v>
      </c>
      <c r="Q465" s="23" t="s">
        <v>416</v>
      </c>
      <c r="R465" s="25">
        <f>ROUND((K465*Parametros!$B$4+L465*Parametros!$B$5+M465*Parametros!$B$6+N465*Parametros!$B$7+O465*Parametros!$B$8)/SUM(Parametros!$B$4:$B$8),2)</f>
        <v>2.4</v>
      </c>
      <c r="S465" s="26">
        <f>IFERROR(INDEX(Parametros!$F$33:$F$42,MATCH(D465,Parametros!$A$33:$A$42,0)),1)</f>
        <v>1.05</v>
      </c>
      <c r="T465" s="27">
        <f>IFERROR(INDEX(Parametros!$B$21:$B$26,MATCH(I465,Parametros!$A$21:$A$26,0)),0)</f>
        <v>0</v>
      </c>
      <c r="U465" s="28">
        <f t="shared" si="29"/>
        <v>2.52</v>
      </c>
      <c r="V465" s="9">
        <f>IF(U465&gt;=Parametros!$B$14,4,IF(U465&gt;=Parametros!$B$13,3,IF(U465&gt;=Parametros!$B$12,2,1)))</f>
        <v>2</v>
      </c>
      <c r="W465" s="5">
        <f>MAX(V465,IF(K465=5,Parametros!$B$17,0),IF(P465="Sim",Parametros!$B$18,0))</f>
        <v>2</v>
      </c>
      <c r="X465" s="5" t="str">
        <f t="shared" si="30"/>
        <v>Normal</v>
      </c>
      <c r="Y465" s="29">
        <f t="shared" si="31"/>
        <v>2024.899535</v>
      </c>
      <c r="Z465" s="4" t="s">
        <v>659</v>
      </c>
    </row>
    <row r="466" spans="1:26" ht="28.05" customHeight="1" x14ac:dyDescent="0.3">
      <c r="A466" s="5">
        <f t="shared" si="28"/>
        <v>462</v>
      </c>
      <c r="B466" s="23" t="s">
        <v>1121</v>
      </c>
      <c r="C466" s="17" t="s">
        <v>1122</v>
      </c>
      <c r="D466" s="4" t="s">
        <v>52</v>
      </c>
      <c r="E466" s="4" t="s">
        <v>66</v>
      </c>
      <c r="F466" s="4" t="s">
        <v>66</v>
      </c>
      <c r="G466" s="4" t="s">
        <v>184</v>
      </c>
      <c r="H466" s="4" t="s">
        <v>185</v>
      </c>
      <c r="I466" s="24" t="s">
        <v>152</v>
      </c>
      <c r="J466" s="15">
        <v>3</v>
      </c>
      <c r="K466" s="15">
        <v>3</v>
      </c>
      <c r="L466" s="15">
        <v>3</v>
      </c>
      <c r="M466" s="15">
        <v>3</v>
      </c>
      <c r="N466" s="15">
        <v>1</v>
      </c>
      <c r="O466" s="15">
        <v>1</v>
      </c>
      <c r="P466" s="15" t="s">
        <v>415</v>
      </c>
      <c r="Q466" s="23" t="s">
        <v>838</v>
      </c>
      <c r="R466" s="25">
        <f>ROUND((K466*Parametros!$B$4+L466*Parametros!$B$5+M466*Parametros!$B$6+N466*Parametros!$B$7+O466*Parametros!$B$8)/SUM(Parametros!$B$4:$B$8),2)</f>
        <v>2.4</v>
      </c>
      <c r="S466" s="26">
        <f>IFERROR(INDEX(Parametros!$F$33:$F$42,MATCH(D466,Parametros!$A$33:$A$42,0)),1)</f>
        <v>1.05</v>
      </c>
      <c r="T466" s="27">
        <f>IFERROR(INDEX(Parametros!$B$21:$B$26,MATCH(I466,Parametros!$A$21:$A$26,0)),0)</f>
        <v>0</v>
      </c>
      <c r="U466" s="28">
        <f t="shared" si="29"/>
        <v>2.52</v>
      </c>
      <c r="V466" s="9">
        <f>IF(U466&gt;=Parametros!$B$14,4,IF(U466&gt;=Parametros!$B$13,3,IF(U466&gt;=Parametros!$B$12,2,1)))</f>
        <v>2</v>
      </c>
      <c r="W466" s="5">
        <f>MAX(V466,IF(K466=5,Parametros!$B$17,0),IF(P466="Sim",Parametros!$B$18,0))</f>
        <v>2</v>
      </c>
      <c r="X466" s="5" t="str">
        <f t="shared" si="30"/>
        <v>Normal</v>
      </c>
      <c r="Y466" s="29">
        <f t="shared" si="31"/>
        <v>2024.8995340000001</v>
      </c>
      <c r="Z466" s="4" t="s">
        <v>659</v>
      </c>
    </row>
    <row r="467" spans="1:26" ht="28.05" customHeight="1" x14ac:dyDescent="0.3">
      <c r="A467" s="5">
        <f t="shared" si="28"/>
        <v>463</v>
      </c>
      <c r="B467" s="23" t="s">
        <v>1123</v>
      </c>
      <c r="C467" s="17" t="s">
        <v>1124</v>
      </c>
      <c r="D467" s="4" t="s">
        <v>52</v>
      </c>
      <c r="E467" s="4" t="s">
        <v>66</v>
      </c>
      <c r="F467" s="4" t="s">
        <v>66</v>
      </c>
      <c r="G467" s="4" t="s">
        <v>171</v>
      </c>
      <c r="H467" s="4" t="s">
        <v>172</v>
      </c>
      <c r="I467" s="24" t="s">
        <v>152</v>
      </c>
      <c r="J467" s="15">
        <v>3</v>
      </c>
      <c r="K467" s="15">
        <v>3</v>
      </c>
      <c r="L467" s="15">
        <v>3</v>
      </c>
      <c r="M467" s="15">
        <v>3</v>
      </c>
      <c r="N467" s="15">
        <v>1</v>
      </c>
      <c r="O467" s="15">
        <v>1</v>
      </c>
      <c r="P467" s="15" t="s">
        <v>415</v>
      </c>
      <c r="Q467" s="23" t="s">
        <v>838</v>
      </c>
      <c r="R467" s="25">
        <f>ROUND((K467*Parametros!$B$4+L467*Parametros!$B$5+M467*Parametros!$B$6+N467*Parametros!$B$7+O467*Parametros!$B$8)/SUM(Parametros!$B$4:$B$8),2)</f>
        <v>2.4</v>
      </c>
      <c r="S467" s="26">
        <f>IFERROR(INDEX(Parametros!$F$33:$F$42,MATCH(D467,Parametros!$A$33:$A$42,0)),1)</f>
        <v>1.05</v>
      </c>
      <c r="T467" s="27">
        <f>IFERROR(INDEX(Parametros!$B$21:$B$26,MATCH(I467,Parametros!$A$21:$A$26,0)),0)</f>
        <v>0</v>
      </c>
      <c r="U467" s="28">
        <f t="shared" si="29"/>
        <v>2.52</v>
      </c>
      <c r="V467" s="9">
        <f>IF(U467&gt;=Parametros!$B$14,4,IF(U467&gt;=Parametros!$B$13,3,IF(U467&gt;=Parametros!$B$12,2,1)))</f>
        <v>2</v>
      </c>
      <c r="W467" s="5">
        <f>MAX(V467,IF(K467=5,Parametros!$B$17,0),IF(P467="Sim",Parametros!$B$18,0))</f>
        <v>2</v>
      </c>
      <c r="X467" s="5" t="str">
        <f t="shared" si="30"/>
        <v>Normal</v>
      </c>
      <c r="Y467" s="29">
        <f t="shared" si="31"/>
        <v>2024.899533</v>
      </c>
      <c r="Z467" s="4" t="s">
        <v>659</v>
      </c>
    </row>
    <row r="468" spans="1:26" ht="28.05" customHeight="1" x14ac:dyDescent="0.3">
      <c r="A468" s="5">
        <f t="shared" si="28"/>
        <v>464</v>
      </c>
      <c r="B468" s="23" t="s">
        <v>1125</v>
      </c>
      <c r="C468" s="17" t="s">
        <v>1126</v>
      </c>
      <c r="D468" s="4" t="s">
        <v>52</v>
      </c>
      <c r="E468" s="4" t="s">
        <v>66</v>
      </c>
      <c r="F468" s="4" t="s">
        <v>66</v>
      </c>
      <c r="G468" s="4" t="s">
        <v>119</v>
      </c>
      <c r="H468" s="4" t="s">
        <v>108</v>
      </c>
      <c r="I468" s="24" t="s">
        <v>131</v>
      </c>
      <c r="J468" s="15">
        <v>3</v>
      </c>
      <c r="K468" s="15">
        <v>2</v>
      </c>
      <c r="L468" s="15">
        <v>3</v>
      </c>
      <c r="M468" s="15">
        <v>3</v>
      </c>
      <c r="N468" s="15">
        <v>1</v>
      </c>
      <c r="O468" s="15">
        <v>3</v>
      </c>
      <c r="P468" s="15" t="s">
        <v>415</v>
      </c>
      <c r="Q468" s="23" t="s">
        <v>416</v>
      </c>
      <c r="R468" s="25">
        <f>ROUND((K468*Parametros!$B$4+L468*Parametros!$B$5+M468*Parametros!$B$6+N468*Parametros!$B$7+O468*Parametros!$B$8)/SUM(Parametros!$B$4:$B$8),2)</f>
        <v>2.4</v>
      </c>
      <c r="S468" s="26">
        <f>IFERROR(INDEX(Parametros!$F$33:$F$42,MATCH(D468,Parametros!$A$33:$A$42,0)),1)</f>
        <v>1.05</v>
      </c>
      <c r="T468" s="27">
        <f>IFERROR(INDEX(Parametros!$B$21:$B$26,MATCH(I468,Parametros!$A$21:$A$26,0)),0)</f>
        <v>0</v>
      </c>
      <c r="U468" s="28">
        <f t="shared" si="29"/>
        <v>2.52</v>
      </c>
      <c r="V468" s="9">
        <f>IF(U468&gt;=Parametros!$B$14,4,IF(U468&gt;=Parametros!$B$13,3,IF(U468&gt;=Parametros!$B$12,2,1)))</f>
        <v>2</v>
      </c>
      <c r="W468" s="5">
        <f>MAX(V468,IF(K468=5,Parametros!$B$17,0),IF(P468="Sim",Parametros!$B$18,0))</f>
        <v>2</v>
      </c>
      <c r="X468" s="5" t="str">
        <f t="shared" si="30"/>
        <v>Normal</v>
      </c>
      <c r="Y468" s="29">
        <f t="shared" si="31"/>
        <v>2024.8995320000001</v>
      </c>
      <c r="Z468" s="4" t="s">
        <v>659</v>
      </c>
    </row>
    <row r="469" spans="1:26" ht="28.05" customHeight="1" x14ac:dyDescent="0.3">
      <c r="A469" s="5">
        <f t="shared" si="28"/>
        <v>465</v>
      </c>
      <c r="B469" s="23" t="s">
        <v>1127</v>
      </c>
      <c r="C469" s="17" t="s">
        <v>1128</v>
      </c>
      <c r="D469" s="4" t="s">
        <v>52</v>
      </c>
      <c r="E469" s="4" t="s">
        <v>66</v>
      </c>
      <c r="F469" s="4" t="s">
        <v>66</v>
      </c>
      <c r="G469" s="4" t="s">
        <v>171</v>
      </c>
      <c r="H469" s="4" t="s">
        <v>172</v>
      </c>
      <c r="I469" s="24" t="s">
        <v>122</v>
      </c>
      <c r="J469" s="15">
        <v>3</v>
      </c>
      <c r="K469" s="15">
        <v>2</v>
      </c>
      <c r="L469" s="15">
        <v>3</v>
      </c>
      <c r="M469" s="15">
        <v>3</v>
      </c>
      <c r="N469" s="15">
        <v>2</v>
      </c>
      <c r="O469" s="15">
        <v>2</v>
      </c>
      <c r="P469" s="15" t="s">
        <v>415</v>
      </c>
      <c r="Q469" s="23" t="s">
        <v>838</v>
      </c>
      <c r="R469" s="25">
        <f>ROUND((K469*Parametros!$B$4+L469*Parametros!$B$5+M469*Parametros!$B$6+N469*Parametros!$B$7+O469*Parametros!$B$8)/SUM(Parametros!$B$4:$B$8),2)</f>
        <v>2.4</v>
      </c>
      <c r="S469" s="26">
        <f>IFERROR(INDEX(Parametros!$F$33:$F$42,MATCH(D469,Parametros!$A$33:$A$42,0)),1)</f>
        <v>1.05</v>
      </c>
      <c r="T469" s="27">
        <f>IFERROR(INDEX(Parametros!$B$21:$B$26,MATCH(I469,Parametros!$A$21:$A$26,0)),0)</f>
        <v>0</v>
      </c>
      <c r="U469" s="28">
        <f t="shared" si="29"/>
        <v>2.52</v>
      </c>
      <c r="V469" s="9">
        <f>IF(U469&gt;=Parametros!$B$14,4,IF(U469&gt;=Parametros!$B$13,3,IF(U469&gt;=Parametros!$B$12,2,1)))</f>
        <v>2</v>
      </c>
      <c r="W469" s="5">
        <f>MAX(V469,IF(K469=5,Parametros!$B$17,0),IF(P469="Sim",Parametros!$B$18,0))</f>
        <v>2</v>
      </c>
      <c r="X469" s="5" t="str">
        <f t="shared" si="30"/>
        <v>Normal</v>
      </c>
      <c r="Y469" s="29">
        <f t="shared" si="31"/>
        <v>2024.899531</v>
      </c>
      <c r="Z469" s="4" t="s">
        <v>659</v>
      </c>
    </row>
    <row r="470" spans="1:26" ht="28.05" customHeight="1" x14ac:dyDescent="0.3">
      <c r="A470" s="5">
        <f t="shared" si="28"/>
        <v>466</v>
      </c>
      <c r="B470" s="23" t="s">
        <v>1129</v>
      </c>
      <c r="C470" s="17" t="s">
        <v>1130</v>
      </c>
      <c r="D470" s="4" t="s">
        <v>55</v>
      </c>
      <c r="E470" s="4" t="s">
        <v>64</v>
      </c>
      <c r="F470" s="4" t="s">
        <v>64</v>
      </c>
      <c r="G470" s="4" t="s">
        <v>134</v>
      </c>
      <c r="H470" s="4" t="s">
        <v>108</v>
      </c>
      <c r="I470" s="24" t="s">
        <v>131</v>
      </c>
      <c r="J470" s="15">
        <v>4</v>
      </c>
      <c r="K470" s="15">
        <v>3</v>
      </c>
      <c r="L470" s="15">
        <v>3</v>
      </c>
      <c r="M470" s="15">
        <v>1</v>
      </c>
      <c r="N470" s="15">
        <v>2</v>
      </c>
      <c r="O470" s="15">
        <v>3</v>
      </c>
      <c r="P470" s="15" t="s">
        <v>415</v>
      </c>
      <c r="Q470" s="23" t="s">
        <v>416</v>
      </c>
      <c r="R470" s="25">
        <f>ROUND((K470*Parametros!$B$4+L470*Parametros!$B$5+M470*Parametros!$B$6+N470*Parametros!$B$7+O470*Parametros!$B$8)/SUM(Parametros!$B$4:$B$8),2)</f>
        <v>2.4500000000000002</v>
      </c>
      <c r="S470" s="26">
        <f>IFERROR(INDEX(Parametros!$F$33:$F$42,MATCH(D470,Parametros!$A$33:$A$42,0)),1)</f>
        <v>1.034</v>
      </c>
      <c r="T470" s="27">
        <f>IFERROR(INDEX(Parametros!$B$21:$B$26,MATCH(I470,Parametros!$A$21:$A$26,0)),0)</f>
        <v>0</v>
      </c>
      <c r="U470" s="28">
        <f t="shared" si="29"/>
        <v>2.5299999999999998</v>
      </c>
      <c r="V470" s="9">
        <f>IF(U470&gt;=Parametros!$B$14,4,IF(U470&gt;=Parametros!$B$13,3,IF(U470&gt;=Parametros!$B$12,2,1)))</f>
        <v>2</v>
      </c>
      <c r="W470" s="5">
        <f>MAX(V470,IF(K470=5,Parametros!$B$17,0),IF(P470="Sim",Parametros!$B$18,0))</f>
        <v>2</v>
      </c>
      <c r="X470" s="5" t="str">
        <f t="shared" si="30"/>
        <v>Normal</v>
      </c>
      <c r="Y470" s="29">
        <f t="shared" si="31"/>
        <v>2024.8995299999999</v>
      </c>
      <c r="Z470" s="4" t="s">
        <v>659</v>
      </c>
    </row>
    <row r="471" spans="1:26" ht="28.05" customHeight="1" x14ac:dyDescent="0.3">
      <c r="A471" s="5">
        <f t="shared" si="28"/>
        <v>467</v>
      </c>
      <c r="B471" s="23" t="s">
        <v>1131</v>
      </c>
      <c r="C471" s="17" t="s">
        <v>1132</v>
      </c>
      <c r="D471" s="4" t="s">
        <v>55</v>
      </c>
      <c r="E471" s="4" t="s">
        <v>64</v>
      </c>
      <c r="F471" s="4" t="s">
        <v>64</v>
      </c>
      <c r="G471" s="4" t="s">
        <v>134</v>
      </c>
      <c r="H471" s="4" t="s">
        <v>108</v>
      </c>
      <c r="I471" s="24" t="s">
        <v>131</v>
      </c>
      <c r="J471" s="15">
        <v>4</v>
      </c>
      <c r="K471" s="15">
        <v>3</v>
      </c>
      <c r="L471" s="15">
        <v>3</v>
      </c>
      <c r="M471" s="15">
        <v>1</v>
      </c>
      <c r="N471" s="15">
        <v>2</v>
      </c>
      <c r="O471" s="15">
        <v>3</v>
      </c>
      <c r="P471" s="15" t="s">
        <v>415</v>
      </c>
      <c r="Q471" s="23" t="s">
        <v>416</v>
      </c>
      <c r="R471" s="25">
        <f>ROUND((K471*Parametros!$B$4+L471*Parametros!$B$5+M471*Parametros!$B$6+N471*Parametros!$B$7+O471*Parametros!$B$8)/SUM(Parametros!$B$4:$B$8),2)</f>
        <v>2.4500000000000002</v>
      </c>
      <c r="S471" s="26">
        <f>IFERROR(INDEX(Parametros!$F$33:$F$42,MATCH(D471,Parametros!$A$33:$A$42,0)),1)</f>
        <v>1.034</v>
      </c>
      <c r="T471" s="27">
        <f>IFERROR(INDEX(Parametros!$B$21:$B$26,MATCH(I471,Parametros!$A$21:$A$26,0)),0)</f>
        <v>0</v>
      </c>
      <c r="U471" s="28">
        <f t="shared" si="29"/>
        <v>2.5299999999999998</v>
      </c>
      <c r="V471" s="9">
        <f>IF(U471&gt;=Parametros!$B$14,4,IF(U471&gt;=Parametros!$B$13,3,IF(U471&gt;=Parametros!$B$12,2,1)))</f>
        <v>2</v>
      </c>
      <c r="W471" s="5">
        <f>MAX(V471,IF(K471=5,Parametros!$B$17,0),IF(P471="Sim",Parametros!$B$18,0))</f>
        <v>2</v>
      </c>
      <c r="X471" s="5" t="str">
        <f t="shared" si="30"/>
        <v>Normal</v>
      </c>
      <c r="Y471" s="29">
        <f t="shared" si="31"/>
        <v>2024.8995289999998</v>
      </c>
      <c r="Z471" s="4" t="s">
        <v>659</v>
      </c>
    </row>
    <row r="472" spans="1:26" ht="28.05" customHeight="1" x14ac:dyDescent="0.3">
      <c r="A472" s="5">
        <f t="shared" si="28"/>
        <v>468</v>
      </c>
      <c r="B472" s="23" t="s">
        <v>1133</v>
      </c>
      <c r="C472" s="17" t="s">
        <v>1134</v>
      </c>
      <c r="D472" s="4" t="s">
        <v>50</v>
      </c>
      <c r="E472" s="4" t="s">
        <v>64</v>
      </c>
      <c r="F472" s="4" t="s">
        <v>64</v>
      </c>
      <c r="G472" s="4" t="s">
        <v>119</v>
      </c>
      <c r="H472" s="4" t="s">
        <v>108</v>
      </c>
      <c r="I472" s="24" t="s">
        <v>131</v>
      </c>
      <c r="J472" s="15">
        <v>2</v>
      </c>
      <c r="K472" s="15">
        <v>3</v>
      </c>
      <c r="L472" s="15">
        <v>3</v>
      </c>
      <c r="M472" s="15">
        <v>1</v>
      </c>
      <c r="N472" s="15">
        <v>1</v>
      </c>
      <c r="O472" s="15">
        <v>3</v>
      </c>
      <c r="P472" s="15" t="s">
        <v>415</v>
      </c>
      <c r="Q472" s="23" t="s">
        <v>838</v>
      </c>
      <c r="R472" s="25">
        <f>ROUND((K472*Parametros!$B$4+L472*Parametros!$B$5+M472*Parametros!$B$6+N472*Parametros!$B$7+O472*Parametros!$B$8)/SUM(Parametros!$B$4:$B$8),2)</f>
        <v>2.2999999999999998</v>
      </c>
      <c r="S472" s="26">
        <f>IFERROR(INDEX(Parametros!$F$33:$F$42,MATCH(D472,Parametros!$A$33:$A$42,0)),1)</f>
        <v>1.0840000000000001</v>
      </c>
      <c r="T472" s="27">
        <f>IFERROR(INDEX(Parametros!$B$21:$B$26,MATCH(I472,Parametros!$A$21:$A$26,0)),0)</f>
        <v>0</v>
      </c>
      <c r="U472" s="28">
        <f t="shared" si="29"/>
        <v>2.4900000000000002</v>
      </c>
      <c r="V472" s="9">
        <f>IF(U472&gt;=Parametros!$B$14,4,IF(U472&gt;=Parametros!$B$13,3,IF(U472&gt;=Parametros!$B$12,2,1)))</f>
        <v>1</v>
      </c>
      <c r="W472" s="5">
        <f>MAX(V472,IF(K472=5,Parametros!$B$17,0),IF(P472="Sim",Parametros!$B$18,0))</f>
        <v>1</v>
      </c>
      <c r="X472" s="5" t="str">
        <f t="shared" si="30"/>
        <v>Baixa</v>
      </c>
      <c r="Y472" s="29">
        <f t="shared" si="31"/>
        <v>1024.6995280000001</v>
      </c>
      <c r="Z472" s="4" t="s">
        <v>659</v>
      </c>
    </row>
    <row r="473" spans="1:26" ht="28.05" customHeight="1" x14ac:dyDescent="0.3">
      <c r="A473" s="5">
        <f t="shared" si="28"/>
        <v>469</v>
      </c>
      <c r="B473" s="23" t="s">
        <v>1135</v>
      </c>
      <c r="C473" s="17" t="s">
        <v>1136</v>
      </c>
      <c r="D473" s="4" t="s">
        <v>50</v>
      </c>
      <c r="E473" s="4" t="s">
        <v>64</v>
      </c>
      <c r="F473" s="4" t="s">
        <v>64</v>
      </c>
      <c r="G473" s="4" t="s">
        <v>184</v>
      </c>
      <c r="H473" s="4" t="s">
        <v>185</v>
      </c>
      <c r="I473" s="24" t="s">
        <v>131</v>
      </c>
      <c r="J473" s="15">
        <v>2</v>
      </c>
      <c r="K473" s="15">
        <v>3</v>
      </c>
      <c r="L473" s="15">
        <v>3</v>
      </c>
      <c r="M473" s="15">
        <v>1</v>
      </c>
      <c r="N473" s="15">
        <v>1</v>
      </c>
      <c r="O473" s="15">
        <v>3</v>
      </c>
      <c r="P473" s="15" t="s">
        <v>415</v>
      </c>
      <c r="Q473" s="23" t="s">
        <v>838</v>
      </c>
      <c r="R473" s="25">
        <f>ROUND((K473*Parametros!$B$4+L473*Parametros!$B$5+M473*Parametros!$B$6+N473*Parametros!$B$7+O473*Parametros!$B$8)/SUM(Parametros!$B$4:$B$8),2)</f>
        <v>2.2999999999999998</v>
      </c>
      <c r="S473" s="26">
        <f>IFERROR(INDEX(Parametros!$F$33:$F$42,MATCH(D473,Parametros!$A$33:$A$42,0)),1)</f>
        <v>1.0840000000000001</v>
      </c>
      <c r="T473" s="27">
        <f>IFERROR(INDEX(Parametros!$B$21:$B$26,MATCH(I473,Parametros!$A$21:$A$26,0)),0)</f>
        <v>0</v>
      </c>
      <c r="U473" s="28">
        <f t="shared" si="29"/>
        <v>2.4900000000000002</v>
      </c>
      <c r="V473" s="9">
        <f>IF(U473&gt;=Parametros!$B$14,4,IF(U473&gt;=Parametros!$B$13,3,IF(U473&gt;=Parametros!$B$12,2,1)))</f>
        <v>1</v>
      </c>
      <c r="W473" s="5">
        <f>MAX(V473,IF(K473=5,Parametros!$B$17,0),IF(P473="Sim",Parametros!$B$18,0))</f>
        <v>1</v>
      </c>
      <c r="X473" s="5" t="str">
        <f t="shared" si="30"/>
        <v>Baixa</v>
      </c>
      <c r="Y473" s="29">
        <f t="shared" si="31"/>
        <v>1024.699527</v>
      </c>
      <c r="Z473" s="4" t="s">
        <v>659</v>
      </c>
    </row>
    <row r="474" spans="1:26" ht="28.05" customHeight="1" x14ac:dyDescent="0.3">
      <c r="A474" s="5">
        <f t="shared" si="28"/>
        <v>470</v>
      </c>
      <c r="B474" s="23" t="s">
        <v>1137</v>
      </c>
      <c r="C474" s="17" t="s">
        <v>1092</v>
      </c>
      <c r="D474" s="4" t="s">
        <v>56</v>
      </c>
      <c r="E474" s="4" t="s">
        <v>64</v>
      </c>
      <c r="F474" s="4" t="s">
        <v>64</v>
      </c>
      <c r="G474" s="4" t="s">
        <v>134</v>
      </c>
      <c r="H474" s="4" t="s">
        <v>108</v>
      </c>
      <c r="I474" s="24" t="s">
        <v>131</v>
      </c>
      <c r="J474" s="15">
        <v>3</v>
      </c>
      <c r="K474" s="15">
        <v>3</v>
      </c>
      <c r="L474" s="15">
        <v>3</v>
      </c>
      <c r="M474" s="15">
        <v>1</v>
      </c>
      <c r="N474" s="15">
        <v>2</v>
      </c>
      <c r="O474" s="15">
        <v>3</v>
      </c>
      <c r="P474" s="15" t="s">
        <v>415</v>
      </c>
      <c r="Q474" s="23" t="s">
        <v>416</v>
      </c>
      <c r="R474" s="25">
        <f>ROUND((K474*Parametros!$B$4+L474*Parametros!$B$5+M474*Parametros!$B$6+N474*Parametros!$B$7+O474*Parametros!$B$8)/SUM(Parametros!$B$4:$B$8),2)</f>
        <v>2.4500000000000002</v>
      </c>
      <c r="S474" s="26">
        <f>IFERROR(INDEX(Parametros!$F$33:$F$42,MATCH(D474,Parametros!$A$33:$A$42,0)),1)</f>
        <v>1.0169999999999999</v>
      </c>
      <c r="T474" s="27">
        <f>IFERROR(INDEX(Parametros!$B$21:$B$26,MATCH(I474,Parametros!$A$21:$A$26,0)),0)</f>
        <v>0</v>
      </c>
      <c r="U474" s="28">
        <f t="shared" si="29"/>
        <v>2.4900000000000002</v>
      </c>
      <c r="V474" s="9">
        <f>IF(U474&gt;=Parametros!$B$14,4,IF(U474&gt;=Parametros!$B$13,3,IF(U474&gt;=Parametros!$B$12,2,1)))</f>
        <v>1</v>
      </c>
      <c r="W474" s="5">
        <f>MAX(V474,IF(K474=5,Parametros!$B$17,0),IF(P474="Sim",Parametros!$B$18,0))</f>
        <v>1</v>
      </c>
      <c r="X474" s="5" t="str">
        <f t="shared" si="30"/>
        <v>Baixa</v>
      </c>
      <c r="Y474" s="29">
        <f t="shared" si="31"/>
        <v>1024.5995260000002</v>
      </c>
      <c r="Z474" s="4" t="s">
        <v>659</v>
      </c>
    </row>
    <row r="475" spans="1:26" ht="28.05" customHeight="1" x14ac:dyDescent="0.3">
      <c r="A475" s="5">
        <f t="shared" si="28"/>
        <v>471</v>
      </c>
      <c r="B475" s="23" t="s">
        <v>1138</v>
      </c>
      <c r="C475" s="17" t="s">
        <v>1139</v>
      </c>
      <c r="D475" s="4" t="s">
        <v>56</v>
      </c>
      <c r="E475" s="4" t="s">
        <v>64</v>
      </c>
      <c r="F475" s="4" t="s">
        <v>64</v>
      </c>
      <c r="G475" s="4" t="s">
        <v>134</v>
      </c>
      <c r="H475" s="4" t="s">
        <v>108</v>
      </c>
      <c r="I475" s="24" t="s">
        <v>131</v>
      </c>
      <c r="J475" s="15">
        <v>3</v>
      </c>
      <c r="K475" s="15">
        <v>3</v>
      </c>
      <c r="L475" s="15">
        <v>3</v>
      </c>
      <c r="M475" s="15">
        <v>1</v>
      </c>
      <c r="N475" s="15">
        <v>2</v>
      </c>
      <c r="O475" s="15">
        <v>3</v>
      </c>
      <c r="P475" s="15" t="s">
        <v>415</v>
      </c>
      <c r="Q475" s="23" t="s">
        <v>416</v>
      </c>
      <c r="R475" s="25">
        <f>ROUND((K475*Parametros!$B$4+L475*Parametros!$B$5+M475*Parametros!$B$6+N475*Parametros!$B$7+O475*Parametros!$B$8)/SUM(Parametros!$B$4:$B$8),2)</f>
        <v>2.4500000000000002</v>
      </c>
      <c r="S475" s="26">
        <f>IFERROR(INDEX(Parametros!$F$33:$F$42,MATCH(D475,Parametros!$A$33:$A$42,0)),1)</f>
        <v>1.0169999999999999</v>
      </c>
      <c r="T475" s="27">
        <f>IFERROR(INDEX(Parametros!$B$21:$B$26,MATCH(I475,Parametros!$A$21:$A$26,0)),0)</f>
        <v>0</v>
      </c>
      <c r="U475" s="28">
        <f t="shared" si="29"/>
        <v>2.4900000000000002</v>
      </c>
      <c r="V475" s="9">
        <f>IF(U475&gt;=Parametros!$B$14,4,IF(U475&gt;=Parametros!$B$13,3,IF(U475&gt;=Parametros!$B$12,2,1)))</f>
        <v>1</v>
      </c>
      <c r="W475" s="5">
        <f>MAX(V475,IF(K475=5,Parametros!$B$17,0),IF(P475="Sim",Parametros!$B$18,0))</f>
        <v>1</v>
      </c>
      <c r="X475" s="5" t="str">
        <f t="shared" si="30"/>
        <v>Baixa</v>
      </c>
      <c r="Y475" s="29">
        <f t="shared" si="31"/>
        <v>1024.5995250000001</v>
      </c>
      <c r="Z475" s="4" t="s">
        <v>659</v>
      </c>
    </row>
    <row r="476" spans="1:26" ht="28.05" customHeight="1" x14ac:dyDescent="0.3">
      <c r="A476" s="5">
        <f t="shared" si="28"/>
        <v>472</v>
      </c>
      <c r="B476" s="23" t="s">
        <v>1140</v>
      </c>
      <c r="C476" s="17" t="s">
        <v>1141</v>
      </c>
      <c r="D476" s="4" t="s">
        <v>50</v>
      </c>
      <c r="E476" s="4" t="s">
        <v>64</v>
      </c>
      <c r="F476" s="4" t="s">
        <v>64</v>
      </c>
      <c r="G476" s="4" t="s">
        <v>171</v>
      </c>
      <c r="H476" s="4" t="s">
        <v>172</v>
      </c>
      <c r="I476" s="24" t="s">
        <v>152</v>
      </c>
      <c r="J476" s="15">
        <v>3</v>
      </c>
      <c r="K476" s="15">
        <v>3</v>
      </c>
      <c r="L476" s="15">
        <v>3</v>
      </c>
      <c r="M476" s="15">
        <v>1</v>
      </c>
      <c r="N476" s="15">
        <v>1</v>
      </c>
      <c r="O476" s="15">
        <v>3</v>
      </c>
      <c r="P476" s="15" t="s">
        <v>415</v>
      </c>
      <c r="Q476" s="23" t="s">
        <v>838</v>
      </c>
      <c r="R476" s="25">
        <f>ROUND((K476*Parametros!$B$4+L476*Parametros!$B$5+M476*Parametros!$B$6+N476*Parametros!$B$7+O476*Parametros!$B$8)/SUM(Parametros!$B$4:$B$8),2)</f>
        <v>2.2999999999999998</v>
      </c>
      <c r="S476" s="26">
        <f>IFERROR(INDEX(Parametros!$F$33:$F$42,MATCH(D476,Parametros!$A$33:$A$42,0)),1)</f>
        <v>1.0840000000000001</v>
      </c>
      <c r="T476" s="27">
        <f>IFERROR(INDEX(Parametros!$B$21:$B$26,MATCH(I476,Parametros!$A$21:$A$26,0)),0)</f>
        <v>0</v>
      </c>
      <c r="U476" s="28">
        <f t="shared" si="29"/>
        <v>2.4900000000000002</v>
      </c>
      <c r="V476" s="9">
        <f>IF(U476&gt;=Parametros!$B$14,4,IF(U476&gt;=Parametros!$B$13,3,IF(U476&gt;=Parametros!$B$12,2,1)))</f>
        <v>1</v>
      </c>
      <c r="W476" s="5">
        <f>MAX(V476,IF(K476=5,Parametros!$B$17,0),IF(P476="Sim",Parametros!$B$18,0))</f>
        <v>1</v>
      </c>
      <c r="X476" s="5" t="str">
        <f t="shared" si="30"/>
        <v>Baixa</v>
      </c>
      <c r="Y476" s="29">
        <f t="shared" si="31"/>
        <v>1024.5995240000002</v>
      </c>
      <c r="Z476" s="4" t="s">
        <v>659</v>
      </c>
    </row>
    <row r="477" spans="1:26" ht="28.05" customHeight="1" x14ac:dyDescent="0.3">
      <c r="A477" s="5">
        <f t="shared" si="28"/>
        <v>473</v>
      </c>
      <c r="B477" s="23" t="s">
        <v>1142</v>
      </c>
      <c r="C477" s="17" t="s">
        <v>1143</v>
      </c>
      <c r="D477" s="4" t="s">
        <v>54</v>
      </c>
      <c r="E477" s="4" t="s">
        <v>345</v>
      </c>
      <c r="F477" s="4" t="s">
        <v>345</v>
      </c>
      <c r="G477" s="4" t="s">
        <v>134</v>
      </c>
      <c r="H477" s="4" t="s">
        <v>108</v>
      </c>
      <c r="I477" s="24" t="s">
        <v>152</v>
      </c>
      <c r="J477" s="15">
        <v>3</v>
      </c>
      <c r="K477" s="15">
        <v>2</v>
      </c>
      <c r="L477" s="15">
        <v>3</v>
      </c>
      <c r="M477" s="15">
        <v>3</v>
      </c>
      <c r="N477" s="15">
        <v>2</v>
      </c>
      <c r="O477" s="15">
        <v>2</v>
      </c>
      <c r="P477" s="15" t="s">
        <v>415</v>
      </c>
      <c r="Q477" s="23" t="s">
        <v>416</v>
      </c>
      <c r="R477" s="25">
        <f>ROUND((K477*Parametros!$B$4+L477*Parametros!$B$5+M477*Parametros!$B$6+N477*Parametros!$B$7+O477*Parametros!$B$8)/SUM(Parametros!$B$4:$B$8),2)</f>
        <v>2.4</v>
      </c>
      <c r="S477" s="26">
        <f>IFERROR(INDEX(Parametros!$F$33:$F$42,MATCH(D477,Parametros!$A$33:$A$42,0)),1)</f>
        <v>1.034</v>
      </c>
      <c r="T477" s="27">
        <f>IFERROR(INDEX(Parametros!$B$21:$B$26,MATCH(I477,Parametros!$A$21:$A$26,0)),0)</f>
        <v>0</v>
      </c>
      <c r="U477" s="28">
        <f t="shared" si="29"/>
        <v>2.48</v>
      </c>
      <c r="V477" s="9">
        <f>IF(U477&gt;=Parametros!$B$14,4,IF(U477&gt;=Parametros!$B$13,3,IF(U477&gt;=Parametros!$B$12,2,1)))</f>
        <v>1</v>
      </c>
      <c r="W477" s="5">
        <f>MAX(V477,IF(K477=5,Parametros!$B$17,0),IF(P477="Sim",Parametros!$B$18,0))</f>
        <v>1</v>
      </c>
      <c r="X477" s="5" t="str">
        <f t="shared" si="30"/>
        <v>Baixa</v>
      </c>
      <c r="Y477" s="29">
        <f t="shared" si="31"/>
        <v>1024.499523</v>
      </c>
      <c r="Z477" s="4" t="s">
        <v>659</v>
      </c>
    </row>
    <row r="478" spans="1:26" ht="28.05" customHeight="1" x14ac:dyDescent="0.3">
      <c r="A478" s="5">
        <f t="shared" si="28"/>
        <v>474</v>
      </c>
      <c r="B478" s="23" t="s">
        <v>1144</v>
      </c>
      <c r="C478" s="17" t="s">
        <v>1130</v>
      </c>
      <c r="D478" s="4" t="s">
        <v>56</v>
      </c>
      <c r="E478" s="4" t="s">
        <v>64</v>
      </c>
      <c r="F478" s="4" t="s">
        <v>64</v>
      </c>
      <c r="G478" s="4" t="s">
        <v>134</v>
      </c>
      <c r="H478" s="4" t="s">
        <v>108</v>
      </c>
      <c r="I478" s="24" t="s">
        <v>131</v>
      </c>
      <c r="J478" s="15">
        <v>4</v>
      </c>
      <c r="K478" s="15">
        <v>3</v>
      </c>
      <c r="L478" s="15">
        <v>3</v>
      </c>
      <c r="M478" s="15">
        <v>1</v>
      </c>
      <c r="N478" s="15">
        <v>2</v>
      </c>
      <c r="O478" s="15">
        <v>3</v>
      </c>
      <c r="P478" s="15" t="s">
        <v>415</v>
      </c>
      <c r="Q478" s="23" t="s">
        <v>416</v>
      </c>
      <c r="R478" s="25">
        <f>ROUND((K478*Parametros!$B$4+L478*Parametros!$B$5+M478*Parametros!$B$6+N478*Parametros!$B$7+O478*Parametros!$B$8)/SUM(Parametros!$B$4:$B$8),2)</f>
        <v>2.4500000000000002</v>
      </c>
      <c r="S478" s="26">
        <f>IFERROR(INDEX(Parametros!$F$33:$F$42,MATCH(D478,Parametros!$A$33:$A$42,0)),1)</f>
        <v>1.0169999999999999</v>
      </c>
      <c r="T478" s="27">
        <f>IFERROR(INDEX(Parametros!$B$21:$B$26,MATCH(I478,Parametros!$A$21:$A$26,0)),0)</f>
        <v>0</v>
      </c>
      <c r="U478" s="28">
        <f t="shared" si="29"/>
        <v>2.4900000000000002</v>
      </c>
      <c r="V478" s="9">
        <f>IF(U478&gt;=Parametros!$B$14,4,IF(U478&gt;=Parametros!$B$13,3,IF(U478&gt;=Parametros!$B$12,2,1)))</f>
        <v>1</v>
      </c>
      <c r="W478" s="5">
        <f>MAX(V478,IF(K478=5,Parametros!$B$17,0),IF(P478="Sim",Parametros!$B$18,0))</f>
        <v>1</v>
      </c>
      <c r="X478" s="5" t="str">
        <f t="shared" si="30"/>
        <v>Baixa</v>
      </c>
      <c r="Y478" s="29">
        <f t="shared" si="31"/>
        <v>1024.4995220000001</v>
      </c>
      <c r="Z478" s="4" t="s">
        <v>659</v>
      </c>
    </row>
    <row r="479" spans="1:26" ht="28.05" customHeight="1" x14ac:dyDescent="0.3">
      <c r="A479" s="5">
        <f t="shared" si="28"/>
        <v>475</v>
      </c>
      <c r="B479" s="23" t="s">
        <v>1145</v>
      </c>
      <c r="C479" s="17" t="s">
        <v>1146</v>
      </c>
      <c r="D479" s="4" t="s">
        <v>56</v>
      </c>
      <c r="E479" s="4" t="s">
        <v>64</v>
      </c>
      <c r="F479" s="4" t="s">
        <v>64</v>
      </c>
      <c r="G479" s="4" t="s">
        <v>134</v>
      </c>
      <c r="H479" s="4" t="s">
        <v>108</v>
      </c>
      <c r="I479" s="24" t="s">
        <v>131</v>
      </c>
      <c r="J479" s="15">
        <v>4</v>
      </c>
      <c r="K479" s="15">
        <v>3</v>
      </c>
      <c r="L479" s="15">
        <v>3</v>
      </c>
      <c r="M479" s="15">
        <v>1</v>
      </c>
      <c r="N479" s="15">
        <v>2</v>
      </c>
      <c r="O479" s="15">
        <v>3</v>
      </c>
      <c r="P479" s="15" t="s">
        <v>415</v>
      </c>
      <c r="Q479" s="23" t="s">
        <v>416</v>
      </c>
      <c r="R479" s="25">
        <f>ROUND((K479*Parametros!$B$4+L479*Parametros!$B$5+M479*Parametros!$B$6+N479*Parametros!$B$7+O479*Parametros!$B$8)/SUM(Parametros!$B$4:$B$8),2)</f>
        <v>2.4500000000000002</v>
      </c>
      <c r="S479" s="26">
        <f>IFERROR(INDEX(Parametros!$F$33:$F$42,MATCH(D479,Parametros!$A$33:$A$42,0)),1)</f>
        <v>1.0169999999999999</v>
      </c>
      <c r="T479" s="27">
        <f>IFERROR(INDEX(Parametros!$B$21:$B$26,MATCH(I479,Parametros!$A$21:$A$26,0)),0)</f>
        <v>0</v>
      </c>
      <c r="U479" s="28">
        <f t="shared" si="29"/>
        <v>2.4900000000000002</v>
      </c>
      <c r="V479" s="9">
        <f>IF(U479&gt;=Parametros!$B$14,4,IF(U479&gt;=Parametros!$B$13,3,IF(U479&gt;=Parametros!$B$12,2,1)))</f>
        <v>1</v>
      </c>
      <c r="W479" s="5">
        <f>MAX(V479,IF(K479=5,Parametros!$B$17,0),IF(P479="Sim",Parametros!$B$18,0))</f>
        <v>1</v>
      </c>
      <c r="X479" s="5" t="str">
        <f t="shared" si="30"/>
        <v>Baixa</v>
      </c>
      <c r="Y479" s="29">
        <f t="shared" si="31"/>
        <v>1024.499521</v>
      </c>
      <c r="Z479" s="4" t="s">
        <v>659</v>
      </c>
    </row>
    <row r="480" spans="1:26" ht="28.05" customHeight="1" x14ac:dyDescent="0.3">
      <c r="A480" s="5">
        <f t="shared" si="28"/>
        <v>476</v>
      </c>
      <c r="B480" s="23" t="s">
        <v>1147</v>
      </c>
      <c r="C480" s="17" t="s">
        <v>1148</v>
      </c>
      <c r="D480" s="4" t="s">
        <v>48</v>
      </c>
      <c r="E480" s="4" t="s">
        <v>871</v>
      </c>
      <c r="F480" s="4" t="s">
        <v>871</v>
      </c>
      <c r="G480" s="4" t="s">
        <v>171</v>
      </c>
      <c r="H480" s="4" t="s">
        <v>172</v>
      </c>
      <c r="I480" s="24" t="s">
        <v>152</v>
      </c>
      <c r="J480" s="15">
        <v>3</v>
      </c>
      <c r="K480" s="15">
        <v>2</v>
      </c>
      <c r="L480" s="15">
        <v>3</v>
      </c>
      <c r="M480" s="15">
        <v>3</v>
      </c>
      <c r="N480" s="15">
        <v>2</v>
      </c>
      <c r="O480" s="15">
        <v>1</v>
      </c>
      <c r="P480" s="15" t="s">
        <v>415</v>
      </c>
      <c r="Q480" s="23" t="s">
        <v>838</v>
      </c>
      <c r="R480" s="25">
        <f>ROUND((K480*Parametros!$B$4+L480*Parametros!$B$5+M480*Parametros!$B$6+N480*Parametros!$B$7+O480*Parametros!$B$8)/SUM(Parametros!$B$4:$B$8),2)</f>
        <v>2.25</v>
      </c>
      <c r="S480" s="26">
        <f>IFERROR(INDEX(Parametros!$F$33:$F$42,MATCH(D480,Parametros!$A$33:$A$42,0)),1)</f>
        <v>1.1000000000000001</v>
      </c>
      <c r="T480" s="27">
        <f>IFERROR(INDEX(Parametros!$B$21:$B$26,MATCH(I480,Parametros!$A$21:$A$26,0)),0)</f>
        <v>0</v>
      </c>
      <c r="U480" s="28">
        <f t="shared" si="29"/>
        <v>2.48</v>
      </c>
      <c r="V480" s="9">
        <f>IF(U480&gt;=Parametros!$B$14,4,IF(U480&gt;=Parametros!$B$13,3,IF(U480&gt;=Parametros!$B$12,2,1)))</f>
        <v>1</v>
      </c>
      <c r="W480" s="5">
        <f>MAX(V480,IF(K480=5,Parametros!$B$17,0),IF(P480="Sim",Parametros!$B$18,0))</f>
        <v>1</v>
      </c>
      <c r="X480" s="5" t="str">
        <f t="shared" si="30"/>
        <v>Baixa</v>
      </c>
      <c r="Y480" s="29">
        <f t="shared" si="31"/>
        <v>1024.4995200000001</v>
      </c>
      <c r="Z480" s="4" t="s">
        <v>659</v>
      </c>
    </row>
    <row r="481" spans="1:26" ht="28.05" customHeight="1" x14ac:dyDescent="0.3">
      <c r="A481" s="5">
        <f t="shared" si="28"/>
        <v>477</v>
      </c>
      <c r="B481" s="23" t="s">
        <v>1149</v>
      </c>
      <c r="C481" s="17" t="s">
        <v>1150</v>
      </c>
      <c r="D481" s="4" t="s">
        <v>54</v>
      </c>
      <c r="E481" s="4" t="s">
        <v>345</v>
      </c>
      <c r="F481" s="4" t="s">
        <v>345</v>
      </c>
      <c r="G481" s="4" t="s">
        <v>184</v>
      </c>
      <c r="H481" s="4" t="s">
        <v>185</v>
      </c>
      <c r="I481" s="24" t="s">
        <v>152</v>
      </c>
      <c r="J481" s="15">
        <v>3</v>
      </c>
      <c r="K481" s="15">
        <v>3</v>
      </c>
      <c r="L481" s="15">
        <v>3</v>
      </c>
      <c r="M481" s="15">
        <v>3</v>
      </c>
      <c r="N481" s="15">
        <v>1</v>
      </c>
      <c r="O481" s="15">
        <v>1</v>
      </c>
      <c r="P481" s="15" t="s">
        <v>415</v>
      </c>
      <c r="Q481" s="23" t="s">
        <v>838</v>
      </c>
      <c r="R481" s="25">
        <f>ROUND((K481*Parametros!$B$4+L481*Parametros!$B$5+M481*Parametros!$B$6+N481*Parametros!$B$7+O481*Parametros!$B$8)/SUM(Parametros!$B$4:$B$8),2)</f>
        <v>2.4</v>
      </c>
      <c r="S481" s="26">
        <f>IFERROR(INDEX(Parametros!$F$33:$F$42,MATCH(D481,Parametros!$A$33:$A$42,0)),1)</f>
        <v>1.034</v>
      </c>
      <c r="T481" s="27">
        <f>IFERROR(INDEX(Parametros!$B$21:$B$26,MATCH(I481,Parametros!$A$21:$A$26,0)),0)</f>
        <v>0</v>
      </c>
      <c r="U481" s="28">
        <f t="shared" si="29"/>
        <v>2.48</v>
      </c>
      <c r="V481" s="9">
        <f>IF(U481&gt;=Parametros!$B$14,4,IF(U481&gt;=Parametros!$B$13,3,IF(U481&gt;=Parametros!$B$12,2,1)))</f>
        <v>1</v>
      </c>
      <c r="W481" s="5">
        <f>MAX(V481,IF(K481=5,Parametros!$B$17,0),IF(P481="Sim",Parametros!$B$18,0))</f>
        <v>1</v>
      </c>
      <c r="X481" s="5" t="str">
        <f t="shared" si="30"/>
        <v>Baixa</v>
      </c>
      <c r="Y481" s="29">
        <f t="shared" si="31"/>
        <v>1024.499519</v>
      </c>
      <c r="Z481" s="4" t="s">
        <v>659</v>
      </c>
    </row>
    <row r="482" spans="1:26" ht="28.05" customHeight="1" x14ac:dyDescent="0.3">
      <c r="A482" s="5">
        <f t="shared" si="28"/>
        <v>478</v>
      </c>
      <c r="B482" s="23" t="s">
        <v>1151</v>
      </c>
      <c r="C482" s="17" t="s">
        <v>1152</v>
      </c>
      <c r="D482" s="4" t="s">
        <v>52</v>
      </c>
      <c r="E482" s="4" t="s">
        <v>64</v>
      </c>
      <c r="F482" s="4" t="s">
        <v>64</v>
      </c>
      <c r="G482" s="4" t="s">
        <v>171</v>
      </c>
      <c r="H482" s="4" t="s">
        <v>172</v>
      </c>
      <c r="I482" s="24" t="s">
        <v>152</v>
      </c>
      <c r="J482" s="15">
        <v>2</v>
      </c>
      <c r="K482" s="15">
        <v>3</v>
      </c>
      <c r="L482" s="15">
        <v>3</v>
      </c>
      <c r="M482" s="15">
        <v>2</v>
      </c>
      <c r="N482" s="15">
        <v>1</v>
      </c>
      <c r="O482" s="15">
        <v>2</v>
      </c>
      <c r="P482" s="15" t="s">
        <v>415</v>
      </c>
      <c r="Q482" s="23" t="s">
        <v>838</v>
      </c>
      <c r="R482" s="25">
        <f>ROUND((K482*Parametros!$B$4+L482*Parametros!$B$5+M482*Parametros!$B$6+N482*Parametros!$B$7+O482*Parametros!$B$8)/SUM(Parametros!$B$4:$B$8),2)</f>
        <v>2.35</v>
      </c>
      <c r="S482" s="26">
        <f>IFERROR(INDEX(Parametros!$F$33:$F$42,MATCH(D482,Parametros!$A$33:$A$42,0)),1)</f>
        <v>1.05</v>
      </c>
      <c r="T482" s="27">
        <f>IFERROR(INDEX(Parametros!$B$21:$B$26,MATCH(I482,Parametros!$A$21:$A$26,0)),0)</f>
        <v>0</v>
      </c>
      <c r="U482" s="28">
        <f t="shared" si="29"/>
        <v>2.4700000000000002</v>
      </c>
      <c r="V482" s="9">
        <f>IF(U482&gt;=Parametros!$B$14,4,IF(U482&gt;=Parametros!$B$13,3,IF(U482&gt;=Parametros!$B$12,2,1)))</f>
        <v>1</v>
      </c>
      <c r="W482" s="5">
        <f>MAX(V482,IF(K482=5,Parametros!$B$17,0),IF(P482="Sim",Parametros!$B$18,0))</f>
        <v>1</v>
      </c>
      <c r="X482" s="5" t="str">
        <f t="shared" si="30"/>
        <v>Baixa</v>
      </c>
      <c r="Y482" s="29">
        <f t="shared" si="31"/>
        <v>1024.4995180000001</v>
      </c>
      <c r="Z482" s="4" t="s">
        <v>659</v>
      </c>
    </row>
    <row r="483" spans="1:26" ht="28.05" customHeight="1" x14ac:dyDescent="0.3">
      <c r="A483" s="5">
        <f t="shared" si="28"/>
        <v>479</v>
      </c>
      <c r="B483" s="23" t="s">
        <v>1153</v>
      </c>
      <c r="C483" s="17" t="s">
        <v>1154</v>
      </c>
      <c r="D483" s="4" t="s">
        <v>52</v>
      </c>
      <c r="E483" s="4" t="s">
        <v>66</v>
      </c>
      <c r="F483" s="4" t="s">
        <v>66</v>
      </c>
      <c r="G483" s="4" t="s">
        <v>119</v>
      </c>
      <c r="H483" s="4" t="s">
        <v>108</v>
      </c>
      <c r="I483" s="24" t="s">
        <v>131</v>
      </c>
      <c r="J483" s="15">
        <v>2</v>
      </c>
      <c r="K483" s="15">
        <v>3</v>
      </c>
      <c r="L483" s="15">
        <v>3</v>
      </c>
      <c r="M483" s="15">
        <v>2</v>
      </c>
      <c r="N483" s="15">
        <v>1</v>
      </c>
      <c r="O483" s="15">
        <v>2</v>
      </c>
      <c r="P483" s="15" t="s">
        <v>415</v>
      </c>
      <c r="Q483" s="23" t="s">
        <v>838</v>
      </c>
      <c r="R483" s="25">
        <f>ROUND((K483*Parametros!$B$4+L483*Parametros!$B$5+M483*Parametros!$B$6+N483*Parametros!$B$7+O483*Parametros!$B$8)/SUM(Parametros!$B$4:$B$8),2)</f>
        <v>2.35</v>
      </c>
      <c r="S483" s="26">
        <f>IFERROR(INDEX(Parametros!$F$33:$F$42,MATCH(D483,Parametros!$A$33:$A$42,0)),1)</f>
        <v>1.05</v>
      </c>
      <c r="T483" s="27">
        <f>IFERROR(INDEX(Parametros!$B$21:$B$26,MATCH(I483,Parametros!$A$21:$A$26,0)),0)</f>
        <v>0</v>
      </c>
      <c r="U483" s="28">
        <f t="shared" si="29"/>
        <v>2.4700000000000002</v>
      </c>
      <c r="V483" s="9">
        <f>IF(U483&gt;=Parametros!$B$14,4,IF(U483&gt;=Parametros!$B$13,3,IF(U483&gt;=Parametros!$B$12,2,1)))</f>
        <v>1</v>
      </c>
      <c r="W483" s="5">
        <f>MAX(V483,IF(K483=5,Parametros!$B$17,0),IF(P483="Sim",Parametros!$B$18,0))</f>
        <v>1</v>
      </c>
      <c r="X483" s="5" t="str">
        <f t="shared" si="30"/>
        <v>Baixa</v>
      </c>
      <c r="Y483" s="29">
        <f t="shared" si="31"/>
        <v>1024.499517</v>
      </c>
      <c r="Z483" s="4" t="s">
        <v>659</v>
      </c>
    </row>
    <row r="484" spans="1:26" ht="28.05" customHeight="1" x14ac:dyDescent="0.3">
      <c r="A484" s="5">
        <f t="shared" si="28"/>
        <v>480</v>
      </c>
      <c r="B484" s="23" t="s">
        <v>1155</v>
      </c>
      <c r="C484" s="17" t="s">
        <v>1156</v>
      </c>
      <c r="D484" s="4" t="s">
        <v>48</v>
      </c>
      <c r="E484" s="4" t="s">
        <v>82</v>
      </c>
      <c r="F484" s="4" t="s">
        <v>82</v>
      </c>
      <c r="G484" s="4" t="s">
        <v>171</v>
      </c>
      <c r="H484" s="4" t="s">
        <v>172</v>
      </c>
      <c r="I484" s="24" t="s">
        <v>152</v>
      </c>
      <c r="J484" s="15">
        <v>3</v>
      </c>
      <c r="K484" s="15">
        <v>2</v>
      </c>
      <c r="L484" s="15">
        <v>3</v>
      </c>
      <c r="M484" s="15">
        <v>3</v>
      </c>
      <c r="N484" s="15">
        <v>2</v>
      </c>
      <c r="O484" s="15">
        <v>1</v>
      </c>
      <c r="P484" s="15" t="s">
        <v>415</v>
      </c>
      <c r="Q484" s="23" t="s">
        <v>838</v>
      </c>
      <c r="R484" s="25">
        <f>ROUND((K484*Parametros!$B$4+L484*Parametros!$B$5+M484*Parametros!$B$6+N484*Parametros!$B$7+O484*Parametros!$B$8)/SUM(Parametros!$B$4:$B$8),2)</f>
        <v>2.25</v>
      </c>
      <c r="S484" s="26">
        <f>IFERROR(INDEX(Parametros!$F$33:$F$42,MATCH(D484,Parametros!$A$33:$A$42,0)),1)</f>
        <v>1.1000000000000001</v>
      </c>
      <c r="T484" s="27">
        <f>IFERROR(INDEX(Parametros!$B$21:$B$26,MATCH(I484,Parametros!$A$21:$A$26,0)),0)</f>
        <v>0</v>
      </c>
      <c r="U484" s="28">
        <f t="shared" si="29"/>
        <v>2.48</v>
      </c>
      <c r="V484" s="9">
        <f>IF(U484&gt;=Parametros!$B$14,4,IF(U484&gt;=Parametros!$B$13,3,IF(U484&gt;=Parametros!$B$12,2,1)))</f>
        <v>1</v>
      </c>
      <c r="W484" s="5">
        <f>MAX(V484,IF(K484=5,Parametros!$B$17,0),IF(P484="Sim",Parametros!$B$18,0))</f>
        <v>1</v>
      </c>
      <c r="X484" s="5" t="str">
        <f t="shared" si="30"/>
        <v>Baixa</v>
      </c>
      <c r="Y484" s="29">
        <f t="shared" si="31"/>
        <v>1024.4995160000001</v>
      </c>
      <c r="Z484" s="4" t="s">
        <v>659</v>
      </c>
    </row>
    <row r="485" spans="1:26" ht="28.05" customHeight="1" x14ac:dyDescent="0.3">
      <c r="A485" s="5">
        <f t="shared" si="28"/>
        <v>481</v>
      </c>
      <c r="B485" s="23" t="s">
        <v>1157</v>
      </c>
      <c r="C485" s="17" t="s">
        <v>1158</v>
      </c>
      <c r="D485" s="4" t="s">
        <v>54</v>
      </c>
      <c r="E485" s="4" t="s">
        <v>69</v>
      </c>
      <c r="F485" s="4" t="s">
        <v>69</v>
      </c>
      <c r="G485" s="4" t="s">
        <v>171</v>
      </c>
      <c r="H485" s="4" t="s">
        <v>172</v>
      </c>
      <c r="I485" s="24" t="s">
        <v>152</v>
      </c>
      <c r="J485" s="15">
        <v>1</v>
      </c>
      <c r="K485" s="15">
        <v>2</v>
      </c>
      <c r="L485" s="15">
        <v>3</v>
      </c>
      <c r="M485" s="15">
        <v>2</v>
      </c>
      <c r="N485" s="15">
        <v>3</v>
      </c>
      <c r="O485" s="15">
        <v>2</v>
      </c>
      <c r="P485" s="15" t="s">
        <v>415</v>
      </c>
      <c r="Q485" s="23" t="s">
        <v>416</v>
      </c>
      <c r="R485" s="25">
        <f>ROUND((K485*Parametros!$B$4+L485*Parametros!$B$5+M485*Parametros!$B$6+N485*Parametros!$B$7+O485*Parametros!$B$8)/SUM(Parametros!$B$4:$B$8),2)</f>
        <v>2.35</v>
      </c>
      <c r="S485" s="26">
        <f>IFERROR(INDEX(Parametros!$F$33:$F$42,MATCH(D485,Parametros!$A$33:$A$42,0)),1)</f>
        <v>1.034</v>
      </c>
      <c r="T485" s="27">
        <f>IFERROR(INDEX(Parametros!$B$21:$B$26,MATCH(I485,Parametros!$A$21:$A$26,0)),0)</f>
        <v>0</v>
      </c>
      <c r="U485" s="28">
        <f t="shared" si="29"/>
        <v>2.4300000000000002</v>
      </c>
      <c r="V485" s="9">
        <f>IF(U485&gt;=Parametros!$B$14,4,IF(U485&gt;=Parametros!$B$13,3,IF(U485&gt;=Parametros!$B$12,2,1)))</f>
        <v>1</v>
      </c>
      <c r="W485" s="5">
        <f>MAX(V485,IF(K485=5,Parametros!$B$17,0),IF(P485="Sim",Parametros!$B$18,0))</f>
        <v>1</v>
      </c>
      <c r="X485" s="5" t="str">
        <f t="shared" si="30"/>
        <v>Baixa</v>
      </c>
      <c r="Y485" s="29">
        <f t="shared" si="31"/>
        <v>1024.199515</v>
      </c>
      <c r="Z485" s="4" t="s">
        <v>659</v>
      </c>
    </row>
    <row r="486" spans="1:26" ht="28.05" customHeight="1" x14ac:dyDescent="0.3">
      <c r="A486" s="5">
        <f t="shared" si="28"/>
        <v>482</v>
      </c>
      <c r="B486" s="23" t="s">
        <v>1159</v>
      </c>
      <c r="C486" s="17" t="s">
        <v>1160</v>
      </c>
      <c r="D486" s="4" t="s">
        <v>50</v>
      </c>
      <c r="E486" s="4" t="s">
        <v>75</v>
      </c>
      <c r="F486" s="4" t="s">
        <v>75</v>
      </c>
      <c r="G486" s="4" t="s">
        <v>171</v>
      </c>
      <c r="H486" s="4" t="s">
        <v>172</v>
      </c>
      <c r="I486" s="24" t="s">
        <v>152</v>
      </c>
      <c r="J486" s="15">
        <v>2</v>
      </c>
      <c r="K486" s="15">
        <v>1</v>
      </c>
      <c r="L486" s="15">
        <v>3</v>
      </c>
      <c r="M486" s="15">
        <v>3</v>
      </c>
      <c r="N486" s="15">
        <v>3</v>
      </c>
      <c r="O486" s="15">
        <v>2</v>
      </c>
      <c r="P486" s="15" t="s">
        <v>415</v>
      </c>
      <c r="Q486" s="23" t="s">
        <v>838</v>
      </c>
      <c r="R486" s="25">
        <f>ROUND((K486*Parametros!$B$4+L486*Parametros!$B$5+M486*Parametros!$B$6+N486*Parametros!$B$7+O486*Parametros!$B$8)/SUM(Parametros!$B$4:$B$8),2)</f>
        <v>2.25</v>
      </c>
      <c r="S486" s="26">
        <f>IFERROR(INDEX(Parametros!$F$33:$F$42,MATCH(D486,Parametros!$A$33:$A$42,0)),1)</f>
        <v>1.0840000000000001</v>
      </c>
      <c r="T486" s="27">
        <f>IFERROR(INDEX(Parametros!$B$21:$B$26,MATCH(I486,Parametros!$A$21:$A$26,0)),0)</f>
        <v>0</v>
      </c>
      <c r="U486" s="28">
        <f t="shared" si="29"/>
        <v>2.44</v>
      </c>
      <c r="V486" s="9">
        <f>IF(U486&gt;=Parametros!$B$14,4,IF(U486&gt;=Parametros!$B$13,3,IF(U486&gt;=Parametros!$B$12,2,1)))</f>
        <v>1</v>
      </c>
      <c r="W486" s="5">
        <f>MAX(V486,IF(K486=5,Parametros!$B$17,0),IF(P486="Sim",Parametros!$B$18,0))</f>
        <v>1</v>
      </c>
      <c r="X486" s="5" t="str">
        <f t="shared" si="30"/>
        <v>Baixa</v>
      </c>
      <c r="Y486" s="29">
        <f t="shared" si="31"/>
        <v>1024.1995140000001</v>
      </c>
      <c r="Z486" s="4" t="s">
        <v>659</v>
      </c>
    </row>
    <row r="487" spans="1:26" ht="28.05" customHeight="1" x14ac:dyDescent="0.3">
      <c r="A487" s="5">
        <f t="shared" si="28"/>
        <v>483</v>
      </c>
      <c r="B487" s="23" t="s">
        <v>1161</v>
      </c>
      <c r="C487" s="17" t="s">
        <v>1162</v>
      </c>
      <c r="D487" s="4" t="s">
        <v>50</v>
      </c>
      <c r="E487" s="4" t="s">
        <v>389</v>
      </c>
      <c r="F487" s="4" t="s">
        <v>389</v>
      </c>
      <c r="G487" s="4" t="s">
        <v>171</v>
      </c>
      <c r="H487" s="4" t="s">
        <v>172</v>
      </c>
      <c r="I487" s="24" t="s">
        <v>152</v>
      </c>
      <c r="J487" s="15">
        <v>2</v>
      </c>
      <c r="K487" s="15">
        <v>2</v>
      </c>
      <c r="L487" s="15">
        <v>3</v>
      </c>
      <c r="M487" s="15">
        <v>3</v>
      </c>
      <c r="N487" s="15">
        <v>1</v>
      </c>
      <c r="O487" s="15">
        <v>2</v>
      </c>
      <c r="P487" s="15" t="s">
        <v>415</v>
      </c>
      <c r="Q487" s="23" t="s">
        <v>416</v>
      </c>
      <c r="R487" s="25">
        <f>ROUND((K487*Parametros!$B$4+L487*Parametros!$B$5+M487*Parametros!$B$6+N487*Parametros!$B$7+O487*Parametros!$B$8)/SUM(Parametros!$B$4:$B$8),2)</f>
        <v>2.25</v>
      </c>
      <c r="S487" s="26">
        <f>IFERROR(INDEX(Parametros!$F$33:$F$42,MATCH(D487,Parametros!$A$33:$A$42,0)),1)</f>
        <v>1.0840000000000001</v>
      </c>
      <c r="T487" s="27">
        <f>IFERROR(INDEX(Parametros!$B$21:$B$26,MATCH(I487,Parametros!$A$21:$A$26,0)),0)</f>
        <v>0</v>
      </c>
      <c r="U487" s="28">
        <f t="shared" si="29"/>
        <v>2.44</v>
      </c>
      <c r="V487" s="9">
        <f>IF(U487&gt;=Parametros!$B$14,4,IF(U487&gt;=Parametros!$B$13,3,IF(U487&gt;=Parametros!$B$12,2,1)))</f>
        <v>1</v>
      </c>
      <c r="W487" s="5">
        <f>MAX(V487,IF(K487=5,Parametros!$B$17,0),IF(P487="Sim",Parametros!$B$18,0))</f>
        <v>1</v>
      </c>
      <c r="X487" s="5" t="str">
        <f t="shared" si="30"/>
        <v>Baixa</v>
      </c>
      <c r="Y487" s="29">
        <f t="shared" si="31"/>
        <v>1024.199513</v>
      </c>
      <c r="Z487" s="4" t="s">
        <v>659</v>
      </c>
    </row>
    <row r="488" spans="1:26" ht="28.05" customHeight="1" x14ac:dyDescent="0.3">
      <c r="A488" s="5">
        <f t="shared" si="28"/>
        <v>484</v>
      </c>
      <c r="B488" s="23" t="s">
        <v>1163</v>
      </c>
      <c r="C488" s="17" t="s">
        <v>1164</v>
      </c>
      <c r="D488" s="4" t="s">
        <v>50</v>
      </c>
      <c r="E488" s="4" t="s">
        <v>345</v>
      </c>
      <c r="F488" s="4" t="s">
        <v>345</v>
      </c>
      <c r="G488" s="4" t="s">
        <v>171</v>
      </c>
      <c r="H488" s="4" t="s">
        <v>172</v>
      </c>
      <c r="I488" s="24" t="s">
        <v>152</v>
      </c>
      <c r="J488" s="15">
        <v>2</v>
      </c>
      <c r="K488" s="15">
        <v>2</v>
      </c>
      <c r="L488" s="15">
        <v>3</v>
      </c>
      <c r="M488" s="15">
        <v>3</v>
      </c>
      <c r="N488" s="15">
        <v>1</v>
      </c>
      <c r="O488" s="15">
        <v>2</v>
      </c>
      <c r="P488" s="15" t="s">
        <v>415</v>
      </c>
      <c r="Q488" s="23" t="s">
        <v>416</v>
      </c>
      <c r="R488" s="25">
        <f>ROUND((K488*Parametros!$B$4+L488*Parametros!$B$5+M488*Parametros!$B$6+N488*Parametros!$B$7+O488*Parametros!$B$8)/SUM(Parametros!$B$4:$B$8),2)</f>
        <v>2.25</v>
      </c>
      <c r="S488" s="26">
        <f>IFERROR(INDEX(Parametros!$F$33:$F$42,MATCH(D488,Parametros!$A$33:$A$42,0)),1)</f>
        <v>1.0840000000000001</v>
      </c>
      <c r="T488" s="27">
        <f>IFERROR(INDEX(Parametros!$B$21:$B$26,MATCH(I488,Parametros!$A$21:$A$26,0)),0)</f>
        <v>0</v>
      </c>
      <c r="U488" s="28">
        <f t="shared" si="29"/>
        <v>2.44</v>
      </c>
      <c r="V488" s="9">
        <f>IF(U488&gt;=Parametros!$B$14,4,IF(U488&gt;=Parametros!$B$13,3,IF(U488&gt;=Parametros!$B$12,2,1)))</f>
        <v>1</v>
      </c>
      <c r="W488" s="5">
        <f>MAX(V488,IF(K488=5,Parametros!$B$17,0),IF(P488="Sim",Parametros!$B$18,0))</f>
        <v>1</v>
      </c>
      <c r="X488" s="5" t="str">
        <f t="shared" si="30"/>
        <v>Baixa</v>
      </c>
      <c r="Y488" s="29">
        <f t="shared" si="31"/>
        <v>1024.1995120000001</v>
      </c>
      <c r="Z488" s="4" t="s">
        <v>659</v>
      </c>
    </row>
    <row r="489" spans="1:26" ht="28.05" customHeight="1" x14ac:dyDescent="0.3">
      <c r="A489" s="5">
        <f t="shared" si="28"/>
        <v>485</v>
      </c>
      <c r="B489" s="23" t="s">
        <v>1165</v>
      </c>
      <c r="C489" s="17" t="s">
        <v>1166</v>
      </c>
      <c r="D489" s="4" t="s">
        <v>51</v>
      </c>
      <c r="E489" s="4" t="s">
        <v>63</v>
      </c>
      <c r="F489" s="4" t="s">
        <v>63</v>
      </c>
      <c r="G489" s="4" t="s">
        <v>107</v>
      </c>
      <c r="H489" s="4" t="s">
        <v>108</v>
      </c>
      <c r="I489" s="24" t="s">
        <v>152</v>
      </c>
      <c r="J489" s="15">
        <v>3</v>
      </c>
      <c r="K489" s="15">
        <v>2</v>
      </c>
      <c r="L489" s="15">
        <v>2</v>
      </c>
      <c r="M489" s="15">
        <v>2</v>
      </c>
      <c r="N489" s="15">
        <v>3</v>
      </c>
      <c r="O489" s="15">
        <v>3</v>
      </c>
      <c r="P489" s="15" t="s">
        <v>415</v>
      </c>
      <c r="Q489" s="23" t="s">
        <v>416</v>
      </c>
      <c r="R489" s="25">
        <f>ROUND((K489*Parametros!$B$4+L489*Parametros!$B$5+M489*Parametros!$B$6+N489*Parametros!$B$7+O489*Parametros!$B$8)/SUM(Parametros!$B$4:$B$8),2)</f>
        <v>2.2999999999999998</v>
      </c>
      <c r="S489" s="26">
        <f>IFERROR(INDEX(Parametros!$F$33:$F$42,MATCH(D489,Parametros!$A$33:$A$42,0)),1)</f>
        <v>1.0669999999999999</v>
      </c>
      <c r="T489" s="27">
        <f>IFERROR(INDEX(Parametros!$B$21:$B$26,MATCH(I489,Parametros!$A$21:$A$26,0)),0)</f>
        <v>0</v>
      </c>
      <c r="U489" s="28">
        <f t="shared" si="29"/>
        <v>2.4500000000000002</v>
      </c>
      <c r="V489" s="9">
        <f>IF(U489&gt;=Parametros!$B$14,4,IF(U489&gt;=Parametros!$B$13,3,IF(U489&gt;=Parametros!$B$12,2,1)))</f>
        <v>1</v>
      </c>
      <c r="W489" s="5">
        <f>MAX(V489,IF(K489=5,Parametros!$B$17,0),IF(P489="Sim",Parametros!$B$18,0))</f>
        <v>1</v>
      </c>
      <c r="X489" s="5" t="str">
        <f t="shared" si="30"/>
        <v>Baixa</v>
      </c>
      <c r="Y489" s="29">
        <f t="shared" si="31"/>
        <v>1024.199511</v>
      </c>
      <c r="Z489" s="4" t="s">
        <v>659</v>
      </c>
    </row>
    <row r="490" spans="1:26" ht="28.05" customHeight="1" x14ac:dyDescent="0.3">
      <c r="A490" s="5">
        <f t="shared" si="28"/>
        <v>486</v>
      </c>
      <c r="B490" s="23" t="s">
        <v>1167</v>
      </c>
      <c r="C490" s="17" t="s">
        <v>1168</v>
      </c>
      <c r="D490" s="4" t="s">
        <v>51</v>
      </c>
      <c r="E490" s="4" t="s">
        <v>66</v>
      </c>
      <c r="F490" s="4" t="s">
        <v>66</v>
      </c>
      <c r="G490" s="4" t="s">
        <v>171</v>
      </c>
      <c r="H490" s="4" t="s">
        <v>172</v>
      </c>
      <c r="I490" s="24" t="s">
        <v>152</v>
      </c>
      <c r="J490" s="15">
        <v>3</v>
      </c>
      <c r="K490" s="15">
        <v>3</v>
      </c>
      <c r="L490" s="15">
        <v>1</v>
      </c>
      <c r="M490" s="15">
        <v>3</v>
      </c>
      <c r="N490" s="15">
        <v>1</v>
      </c>
      <c r="O490" s="15">
        <v>3</v>
      </c>
      <c r="P490" s="15" t="s">
        <v>415</v>
      </c>
      <c r="Q490" s="23" t="s">
        <v>838</v>
      </c>
      <c r="R490" s="25">
        <f>ROUND((K490*Parametros!$B$4+L490*Parametros!$B$5+M490*Parametros!$B$6+N490*Parametros!$B$7+O490*Parametros!$B$8)/SUM(Parametros!$B$4:$B$8),2)</f>
        <v>2.2999999999999998</v>
      </c>
      <c r="S490" s="26">
        <f>IFERROR(INDEX(Parametros!$F$33:$F$42,MATCH(D490,Parametros!$A$33:$A$42,0)),1)</f>
        <v>1.0669999999999999</v>
      </c>
      <c r="T490" s="27">
        <f>IFERROR(INDEX(Parametros!$B$21:$B$26,MATCH(I490,Parametros!$A$21:$A$26,0)),0)</f>
        <v>0</v>
      </c>
      <c r="U490" s="28">
        <f t="shared" si="29"/>
        <v>2.4500000000000002</v>
      </c>
      <c r="V490" s="9">
        <f>IF(U490&gt;=Parametros!$B$14,4,IF(U490&gt;=Parametros!$B$13,3,IF(U490&gt;=Parametros!$B$12,2,1)))</f>
        <v>1</v>
      </c>
      <c r="W490" s="5">
        <f>MAX(V490,IF(K490=5,Parametros!$B$17,0),IF(P490="Sim",Parametros!$B$18,0))</f>
        <v>1</v>
      </c>
      <c r="X490" s="5" t="str">
        <f t="shared" si="30"/>
        <v>Baixa</v>
      </c>
      <c r="Y490" s="29">
        <f t="shared" si="31"/>
        <v>1024.1995100000001</v>
      </c>
      <c r="Z490" s="4" t="s">
        <v>659</v>
      </c>
    </row>
    <row r="491" spans="1:26" ht="28.05" customHeight="1" x14ac:dyDescent="0.3">
      <c r="A491" s="5">
        <f t="shared" si="28"/>
        <v>487</v>
      </c>
      <c r="B491" s="23" t="s">
        <v>1169</v>
      </c>
      <c r="C491" s="17" t="s">
        <v>1170</v>
      </c>
      <c r="D491" s="4" t="s">
        <v>51</v>
      </c>
      <c r="E491" s="4" t="s">
        <v>170</v>
      </c>
      <c r="F491" s="4" t="s">
        <v>170</v>
      </c>
      <c r="G491" s="4" t="s">
        <v>171</v>
      </c>
      <c r="H491" s="4" t="s">
        <v>172</v>
      </c>
      <c r="I491" s="24" t="s">
        <v>131</v>
      </c>
      <c r="J491" s="15">
        <v>3</v>
      </c>
      <c r="K491" s="15">
        <v>3</v>
      </c>
      <c r="L491" s="15">
        <v>3</v>
      </c>
      <c r="M491" s="15">
        <v>1</v>
      </c>
      <c r="N491" s="15">
        <v>1</v>
      </c>
      <c r="O491" s="15">
        <v>3</v>
      </c>
      <c r="P491" s="15" t="s">
        <v>415</v>
      </c>
      <c r="Q491" s="23" t="s">
        <v>838</v>
      </c>
      <c r="R491" s="25">
        <f>ROUND((K491*Parametros!$B$4+L491*Parametros!$B$5+M491*Parametros!$B$6+N491*Parametros!$B$7+O491*Parametros!$B$8)/SUM(Parametros!$B$4:$B$8),2)</f>
        <v>2.2999999999999998</v>
      </c>
      <c r="S491" s="26">
        <f>IFERROR(INDEX(Parametros!$F$33:$F$42,MATCH(D491,Parametros!$A$33:$A$42,0)),1)</f>
        <v>1.0669999999999999</v>
      </c>
      <c r="T491" s="27">
        <f>IFERROR(INDEX(Parametros!$B$21:$B$26,MATCH(I491,Parametros!$A$21:$A$26,0)),0)</f>
        <v>0</v>
      </c>
      <c r="U491" s="28">
        <f t="shared" si="29"/>
        <v>2.4500000000000002</v>
      </c>
      <c r="V491" s="9">
        <f>IF(U491&gt;=Parametros!$B$14,4,IF(U491&gt;=Parametros!$B$13,3,IF(U491&gt;=Parametros!$B$12,2,1)))</f>
        <v>1</v>
      </c>
      <c r="W491" s="5">
        <f>MAX(V491,IF(K491=5,Parametros!$B$17,0),IF(P491="Sim",Parametros!$B$18,0))</f>
        <v>1</v>
      </c>
      <c r="X491" s="5" t="str">
        <f t="shared" si="30"/>
        <v>Baixa</v>
      </c>
      <c r="Y491" s="29">
        <f t="shared" si="31"/>
        <v>1024.199509</v>
      </c>
      <c r="Z491" s="4" t="s">
        <v>659</v>
      </c>
    </row>
    <row r="492" spans="1:26" ht="28.05" customHeight="1" x14ac:dyDescent="0.3">
      <c r="A492" s="5">
        <f t="shared" si="28"/>
        <v>488</v>
      </c>
      <c r="B492" s="23" t="s">
        <v>1171</v>
      </c>
      <c r="C492" s="17" t="s">
        <v>1172</v>
      </c>
      <c r="D492" s="4" t="s">
        <v>56</v>
      </c>
      <c r="E492" s="4" t="s">
        <v>65</v>
      </c>
      <c r="F492" s="4" t="s">
        <v>65</v>
      </c>
      <c r="G492" s="4" t="s">
        <v>112</v>
      </c>
      <c r="H492" s="4" t="s">
        <v>108</v>
      </c>
      <c r="I492" s="24" t="s">
        <v>152</v>
      </c>
      <c r="J492" s="15">
        <v>3</v>
      </c>
      <c r="K492" s="15">
        <v>2</v>
      </c>
      <c r="L492" s="15">
        <v>3</v>
      </c>
      <c r="M492" s="15">
        <v>3</v>
      </c>
      <c r="N492" s="15">
        <v>2</v>
      </c>
      <c r="O492" s="15">
        <v>2</v>
      </c>
      <c r="P492" s="15" t="s">
        <v>415</v>
      </c>
      <c r="Q492" s="23" t="s">
        <v>416</v>
      </c>
      <c r="R492" s="25">
        <f>ROUND((K492*Parametros!$B$4+L492*Parametros!$B$5+M492*Parametros!$B$6+N492*Parametros!$B$7+O492*Parametros!$B$8)/SUM(Parametros!$B$4:$B$8),2)</f>
        <v>2.4</v>
      </c>
      <c r="S492" s="26">
        <f>IFERROR(INDEX(Parametros!$F$33:$F$42,MATCH(D492,Parametros!$A$33:$A$42,0)),1)</f>
        <v>1.0169999999999999</v>
      </c>
      <c r="T492" s="27">
        <f>IFERROR(INDEX(Parametros!$B$21:$B$26,MATCH(I492,Parametros!$A$21:$A$26,0)),0)</f>
        <v>0</v>
      </c>
      <c r="U492" s="28">
        <f t="shared" si="29"/>
        <v>2.44</v>
      </c>
      <c r="V492" s="9">
        <f>IF(U492&gt;=Parametros!$B$14,4,IF(U492&gt;=Parametros!$B$13,3,IF(U492&gt;=Parametros!$B$12,2,1)))</f>
        <v>1</v>
      </c>
      <c r="W492" s="5">
        <f>MAX(V492,IF(K492=5,Parametros!$B$17,0),IF(P492="Sim",Parametros!$B$18,0))</f>
        <v>1</v>
      </c>
      <c r="X492" s="5" t="str">
        <f t="shared" si="30"/>
        <v>Baixa</v>
      </c>
      <c r="Y492" s="29">
        <f t="shared" si="31"/>
        <v>1024.0995080000002</v>
      </c>
      <c r="Z492" s="4" t="s">
        <v>659</v>
      </c>
    </row>
    <row r="493" spans="1:26" ht="28.05" customHeight="1" x14ac:dyDescent="0.3">
      <c r="A493" s="5">
        <f t="shared" si="28"/>
        <v>489</v>
      </c>
      <c r="B493" s="23" t="s">
        <v>1173</v>
      </c>
      <c r="C493" s="17" t="s">
        <v>1174</v>
      </c>
      <c r="D493" s="4" t="s">
        <v>50</v>
      </c>
      <c r="E493" s="4" t="s">
        <v>1175</v>
      </c>
      <c r="F493" s="4" t="s">
        <v>1176</v>
      </c>
      <c r="G493" s="4" t="s">
        <v>171</v>
      </c>
      <c r="H493" s="4" t="s">
        <v>172</v>
      </c>
      <c r="I493" s="24" t="s">
        <v>152</v>
      </c>
      <c r="J493" s="15">
        <v>3</v>
      </c>
      <c r="K493" s="15">
        <v>2</v>
      </c>
      <c r="L493" s="15">
        <v>3</v>
      </c>
      <c r="M493" s="15">
        <v>3</v>
      </c>
      <c r="N493" s="15">
        <v>2</v>
      </c>
      <c r="O493" s="15">
        <v>1</v>
      </c>
      <c r="P493" s="15" t="s">
        <v>415</v>
      </c>
      <c r="Q493" s="23" t="s">
        <v>838</v>
      </c>
      <c r="R493" s="25">
        <f>ROUND((K493*Parametros!$B$4+L493*Parametros!$B$5+M493*Parametros!$B$6+N493*Parametros!$B$7+O493*Parametros!$B$8)/SUM(Parametros!$B$4:$B$8),2)</f>
        <v>2.25</v>
      </c>
      <c r="S493" s="26">
        <f>IFERROR(INDEX(Parametros!$F$33:$F$42,MATCH(D493,Parametros!$A$33:$A$42,0)),1)</f>
        <v>1.0840000000000001</v>
      </c>
      <c r="T493" s="27">
        <f>IFERROR(INDEX(Parametros!$B$21:$B$26,MATCH(I493,Parametros!$A$21:$A$26,0)),0)</f>
        <v>0</v>
      </c>
      <c r="U493" s="28">
        <f t="shared" si="29"/>
        <v>2.44</v>
      </c>
      <c r="V493" s="9">
        <f>IF(U493&gt;=Parametros!$B$14,4,IF(U493&gt;=Parametros!$B$13,3,IF(U493&gt;=Parametros!$B$12,2,1)))</f>
        <v>1</v>
      </c>
      <c r="W493" s="5">
        <f>MAX(V493,IF(K493=5,Parametros!$B$17,0),IF(P493="Sim",Parametros!$B$18,0))</f>
        <v>1</v>
      </c>
      <c r="X493" s="5" t="str">
        <f t="shared" si="30"/>
        <v>Baixa</v>
      </c>
      <c r="Y493" s="29">
        <f t="shared" si="31"/>
        <v>1024.0995070000001</v>
      </c>
      <c r="Z493" s="4" t="s">
        <v>659</v>
      </c>
    </row>
    <row r="494" spans="1:26" ht="28.05" customHeight="1" x14ac:dyDescent="0.3">
      <c r="A494" s="5">
        <f t="shared" si="28"/>
        <v>490</v>
      </c>
      <c r="B494" s="23" t="s">
        <v>1177</v>
      </c>
      <c r="C494" s="17" t="s">
        <v>1178</v>
      </c>
      <c r="D494" s="4" t="s">
        <v>50</v>
      </c>
      <c r="E494" s="4" t="s">
        <v>75</v>
      </c>
      <c r="F494" s="4" t="s">
        <v>75</v>
      </c>
      <c r="G494" s="4" t="s">
        <v>171</v>
      </c>
      <c r="H494" s="4" t="s">
        <v>172</v>
      </c>
      <c r="I494" s="24" t="s">
        <v>152</v>
      </c>
      <c r="J494" s="15">
        <v>3</v>
      </c>
      <c r="K494" s="15">
        <v>2</v>
      </c>
      <c r="L494" s="15">
        <v>3</v>
      </c>
      <c r="M494" s="15">
        <v>3</v>
      </c>
      <c r="N494" s="15">
        <v>2</v>
      </c>
      <c r="O494" s="15">
        <v>1</v>
      </c>
      <c r="P494" s="15" t="s">
        <v>415</v>
      </c>
      <c r="Q494" s="23" t="s">
        <v>838</v>
      </c>
      <c r="R494" s="25">
        <f>ROUND((K494*Parametros!$B$4+L494*Parametros!$B$5+M494*Parametros!$B$6+N494*Parametros!$B$7+O494*Parametros!$B$8)/SUM(Parametros!$B$4:$B$8),2)</f>
        <v>2.25</v>
      </c>
      <c r="S494" s="26">
        <f>IFERROR(INDEX(Parametros!$F$33:$F$42,MATCH(D494,Parametros!$A$33:$A$42,0)),1)</f>
        <v>1.0840000000000001</v>
      </c>
      <c r="T494" s="27">
        <f>IFERROR(INDEX(Parametros!$B$21:$B$26,MATCH(I494,Parametros!$A$21:$A$26,0)),0)</f>
        <v>0</v>
      </c>
      <c r="U494" s="28">
        <f t="shared" si="29"/>
        <v>2.44</v>
      </c>
      <c r="V494" s="9">
        <f>IF(U494&gt;=Parametros!$B$14,4,IF(U494&gt;=Parametros!$B$13,3,IF(U494&gt;=Parametros!$B$12,2,1)))</f>
        <v>1</v>
      </c>
      <c r="W494" s="5">
        <f>MAX(V494,IF(K494=5,Parametros!$B$17,0),IF(P494="Sim",Parametros!$B$18,0))</f>
        <v>1</v>
      </c>
      <c r="X494" s="5" t="str">
        <f t="shared" si="30"/>
        <v>Baixa</v>
      </c>
      <c r="Y494" s="29">
        <f t="shared" si="31"/>
        <v>1024.0995060000002</v>
      </c>
      <c r="Z494" s="4" t="s">
        <v>659</v>
      </c>
    </row>
    <row r="495" spans="1:26" ht="28.05" customHeight="1" x14ac:dyDescent="0.3">
      <c r="A495" s="5">
        <f t="shared" si="28"/>
        <v>491</v>
      </c>
      <c r="B495" s="23" t="s">
        <v>1179</v>
      </c>
      <c r="C495" s="17" t="s">
        <v>1180</v>
      </c>
      <c r="D495" s="4" t="s">
        <v>50</v>
      </c>
      <c r="E495" s="4" t="s">
        <v>70</v>
      </c>
      <c r="F495" s="4" t="s">
        <v>70</v>
      </c>
      <c r="G495" s="4" t="s">
        <v>171</v>
      </c>
      <c r="H495" s="4" t="s">
        <v>172</v>
      </c>
      <c r="I495" s="24" t="s">
        <v>152</v>
      </c>
      <c r="J495" s="15">
        <v>3</v>
      </c>
      <c r="K495" s="15">
        <v>2</v>
      </c>
      <c r="L495" s="15">
        <v>3</v>
      </c>
      <c r="M495" s="15">
        <v>3</v>
      </c>
      <c r="N495" s="15">
        <v>1</v>
      </c>
      <c r="O495" s="15">
        <v>2</v>
      </c>
      <c r="P495" s="15" t="s">
        <v>415</v>
      </c>
      <c r="Q495" s="23" t="s">
        <v>838</v>
      </c>
      <c r="R495" s="25">
        <f>ROUND((K495*Parametros!$B$4+L495*Parametros!$B$5+M495*Parametros!$B$6+N495*Parametros!$B$7+O495*Parametros!$B$8)/SUM(Parametros!$B$4:$B$8),2)</f>
        <v>2.25</v>
      </c>
      <c r="S495" s="26">
        <f>IFERROR(INDEX(Parametros!$F$33:$F$42,MATCH(D495,Parametros!$A$33:$A$42,0)),1)</f>
        <v>1.0840000000000001</v>
      </c>
      <c r="T495" s="27">
        <f>IFERROR(INDEX(Parametros!$B$21:$B$26,MATCH(I495,Parametros!$A$21:$A$26,0)),0)</f>
        <v>0</v>
      </c>
      <c r="U495" s="28">
        <f t="shared" si="29"/>
        <v>2.44</v>
      </c>
      <c r="V495" s="9">
        <f>IF(U495&gt;=Parametros!$B$14,4,IF(U495&gt;=Parametros!$B$13,3,IF(U495&gt;=Parametros!$B$12,2,1)))</f>
        <v>1</v>
      </c>
      <c r="W495" s="5">
        <f>MAX(V495,IF(K495=5,Parametros!$B$17,0),IF(P495="Sim",Parametros!$B$18,0))</f>
        <v>1</v>
      </c>
      <c r="X495" s="5" t="str">
        <f t="shared" si="30"/>
        <v>Baixa</v>
      </c>
      <c r="Y495" s="29">
        <f t="shared" si="31"/>
        <v>1024.0995050000001</v>
      </c>
      <c r="Z495" s="4" t="s">
        <v>659</v>
      </c>
    </row>
    <row r="496" spans="1:26" ht="28.05" customHeight="1" x14ac:dyDescent="0.3">
      <c r="A496" s="5">
        <f t="shared" si="28"/>
        <v>492</v>
      </c>
      <c r="B496" s="23" t="s">
        <v>1181</v>
      </c>
      <c r="C496" s="17" t="s">
        <v>1182</v>
      </c>
      <c r="D496" s="4" t="s">
        <v>50</v>
      </c>
      <c r="E496" s="4" t="s">
        <v>70</v>
      </c>
      <c r="F496" s="4" t="s">
        <v>70</v>
      </c>
      <c r="G496" s="4" t="s">
        <v>184</v>
      </c>
      <c r="H496" s="4" t="s">
        <v>185</v>
      </c>
      <c r="I496" s="24" t="s">
        <v>152</v>
      </c>
      <c r="J496" s="15">
        <v>3</v>
      </c>
      <c r="K496" s="15">
        <v>2</v>
      </c>
      <c r="L496" s="15">
        <v>3</v>
      </c>
      <c r="M496" s="15">
        <v>3</v>
      </c>
      <c r="N496" s="15">
        <v>2</v>
      </c>
      <c r="O496" s="15">
        <v>1</v>
      </c>
      <c r="P496" s="15" t="s">
        <v>415</v>
      </c>
      <c r="Q496" s="23" t="s">
        <v>838</v>
      </c>
      <c r="R496" s="25">
        <f>ROUND((K496*Parametros!$B$4+L496*Parametros!$B$5+M496*Parametros!$B$6+N496*Parametros!$B$7+O496*Parametros!$B$8)/SUM(Parametros!$B$4:$B$8),2)</f>
        <v>2.25</v>
      </c>
      <c r="S496" s="26">
        <f>IFERROR(INDEX(Parametros!$F$33:$F$42,MATCH(D496,Parametros!$A$33:$A$42,0)),1)</f>
        <v>1.0840000000000001</v>
      </c>
      <c r="T496" s="27">
        <f>IFERROR(INDEX(Parametros!$B$21:$B$26,MATCH(I496,Parametros!$A$21:$A$26,0)),0)</f>
        <v>0</v>
      </c>
      <c r="U496" s="28">
        <f t="shared" si="29"/>
        <v>2.44</v>
      </c>
      <c r="V496" s="9">
        <f>IF(U496&gt;=Parametros!$B$14,4,IF(U496&gt;=Parametros!$B$13,3,IF(U496&gt;=Parametros!$B$12,2,1)))</f>
        <v>1</v>
      </c>
      <c r="W496" s="5">
        <f>MAX(V496,IF(K496=5,Parametros!$B$17,0),IF(P496="Sim",Parametros!$B$18,0))</f>
        <v>1</v>
      </c>
      <c r="X496" s="5" t="str">
        <f t="shared" si="30"/>
        <v>Baixa</v>
      </c>
      <c r="Y496" s="29">
        <f t="shared" si="31"/>
        <v>1024.099504</v>
      </c>
      <c r="Z496" s="4" t="s">
        <v>659</v>
      </c>
    </row>
    <row r="497" spans="1:26" ht="28.05" customHeight="1" x14ac:dyDescent="0.3">
      <c r="A497" s="5">
        <f t="shared" si="28"/>
        <v>493</v>
      </c>
      <c r="B497" s="23" t="s">
        <v>1183</v>
      </c>
      <c r="C497" s="17" t="s">
        <v>1184</v>
      </c>
      <c r="D497" s="4" t="s">
        <v>50</v>
      </c>
      <c r="E497" s="4" t="s">
        <v>64</v>
      </c>
      <c r="F497" s="4" t="s">
        <v>64</v>
      </c>
      <c r="G497" s="4" t="s">
        <v>184</v>
      </c>
      <c r="H497" s="4" t="s">
        <v>185</v>
      </c>
      <c r="I497" s="24" t="s">
        <v>131</v>
      </c>
      <c r="J497" s="15">
        <v>3</v>
      </c>
      <c r="K497" s="15">
        <v>2</v>
      </c>
      <c r="L497" s="15">
        <v>3</v>
      </c>
      <c r="M497" s="15">
        <v>3</v>
      </c>
      <c r="N497" s="15">
        <v>1</v>
      </c>
      <c r="O497" s="15">
        <v>2</v>
      </c>
      <c r="P497" s="15" t="s">
        <v>415</v>
      </c>
      <c r="Q497" s="23" t="s">
        <v>416</v>
      </c>
      <c r="R497" s="25">
        <f>ROUND((K497*Parametros!$B$4+L497*Parametros!$B$5+M497*Parametros!$B$6+N497*Parametros!$B$7+O497*Parametros!$B$8)/SUM(Parametros!$B$4:$B$8),2)</f>
        <v>2.25</v>
      </c>
      <c r="S497" s="26">
        <f>IFERROR(INDEX(Parametros!$F$33:$F$42,MATCH(D497,Parametros!$A$33:$A$42,0)),1)</f>
        <v>1.0840000000000001</v>
      </c>
      <c r="T497" s="27">
        <f>IFERROR(INDEX(Parametros!$B$21:$B$26,MATCH(I497,Parametros!$A$21:$A$26,0)),0)</f>
        <v>0</v>
      </c>
      <c r="U497" s="28">
        <f t="shared" si="29"/>
        <v>2.44</v>
      </c>
      <c r="V497" s="9">
        <f>IF(U497&gt;=Parametros!$B$14,4,IF(U497&gt;=Parametros!$B$13,3,IF(U497&gt;=Parametros!$B$12,2,1)))</f>
        <v>1</v>
      </c>
      <c r="W497" s="5">
        <f>MAX(V497,IF(K497=5,Parametros!$B$17,0),IF(P497="Sim",Parametros!$B$18,0))</f>
        <v>1</v>
      </c>
      <c r="X497" s="5" t="str">
        <f t="shared" si="30"/>
        <v>Baixa</v>
      </c>
      <c r="Y497" s="29">
        <f t="shared" si="31"/>
        <v>1024.0995030000001</v>
      </c>
      <c r="Z497" s="4" t="s">
        <v>659</v>
      </c>
    </row>
    <row r="498" spans="1:26" ht="28.05" customHeight="1" x14ac:dyDescent="0.3">
      <c r="A498" s="5">
        <f t="shared" si="28"/>
        <v>494</v>
      </c>
      <c r="B498" s="23" t="s">
        <v>1185</v>
      </c>
      <c r="C498" s="17" t="s">
        <v>1186</v>
      </c>
      <c r="D498" s="4" t="s">
        <v>54</v>
      </c>
      <c r="E498" s="4" t="s">
        <v>72</v>
      </c>
      <c r="F498" s="4" t="s">
        <v>72</v>
      </c>
      <c r="G498" s="4" t="s">
        <v>134</v>
      </c>
      <c r="H498" s="4" t="s">
        <v>108</v>
      </c>
      <c r="I498" s="24" t="s">
        <v>152</v>
      </c>
      <c r="J498" s="15">
        <v>3</v>
      </c>
      <c r="K498" s="15">
        <v>2</v>
      </c>
      <c r="L498" s="15">
        <v>2</v>
      </c>
      <c r="M498" s="15">
        <v>3</v>
      </c>
      <c r="N498" s="15">
        <v>2</v>
      </c>
      <c r="O498" s="15">
        <v>3</v>
      </c>
      <c r="P498" s="15" t="s">
        <v>415</v>
      </c>
      <c r="Q498" s="23" t="s">
        <v>416</v>
      </c>
      <c r="R498" s="25">
        <f>ROUND((K498*Parametros!$B$4+L498*Parametros!$B$5+M498*Parametros!$B$6+N498*Parametros!$B$7+O498*Parametros!$B$8)/SUM(Parametros!$B$4:$B$8),2)</f>
        <v>2.35</v>
      </c>
      <c r="S498" s="26">
        <f>IFERROR(INDEX(Parametros!$F$33:$F$42,MATCH(D498,Parametros!$A$33:$A$42,0)),1)</f>
        <v>1.034</v>
      </c>
      <c r="T498" s="27">
        <f>IFERROR(INDEX(Parametros!$B$21:$B$26,MATCH(I498,Parametros!$A$21:$A$26,0)),0)</f>
        <v>0</v>
      </c>
      <c r="U498" s="28">
        <f t="shared" si="29"/>
        <v>2.4300000000000002</v>
      </c>
      <c r="V498" s="9">
        <f>IF(U498&gt;=Parametros!$B$14,4,IF(U498&gt;=Parametros!$B$13,3,IF(U498&gt;=Parametros!$B$12,2,1)))</f>
        <v>1</v>
      </c>
      <c r="W498" s="5">
        <f>MAX(V498,IF(K498=5,Parametros!$B$17,0),IF(P498="Sim",Parametros!$B$18,0))</f>
        <v>1</v>
      </c>
      <c r="X498" s="5" t="str">
        <f t="shared" si="30"/>
        <v>Baixa</v>
      </c>
      <c r="Y498" s="29">
        <f t="shared" si="31"/>
        <v>1023.999502</v>
      </c>
      <c r="Z498" s="4" t="s">
        <v>659</v>
      </c>
    </row>
    <row r="499" spans="1:26" ht="28.05" customHeight="1" x14ac:dyDescent="0.3">
      <c r="A499" s="5">
        <f t="shared" si="28"/>
        <v>495</v>
      </c>
      <c r="B499" s="23" t="s">
        <v>1187</v>
      </c>
      <c r="C499" s="17" t="s">
        <v>1188</v>
      </c>
      <c r="D499" s="4" t="s">
        <v>55</v>
      </c>
      <c r="E499" s="4" t="s">
        <v>64</v>
      </c>
      <c r="F499" s="4" t="s">
        <v>64</v>
      </c>
      <c r="G499" s="4" t="s">
        <v>134</v>
      </c>
      <c r="H499" s="4" t="s">
        <v>108</v>
      </c>
      <c r="I499" s="24" t="s">
        <v>131</v>
      </c>
      <c r="J499" s="15">
        <v>3</v>
      </c>
      <c r="K499" s="15">
        <v>2</v>
      </c>
      <c r="L499" s="15">
        <v>2</v>
      </c>
      <c r="M499" s="15">
        <v>3</v>
      </c>
      <c r="N499" s="15">
        <v>2</v>
      </c>
      <c r="O499" s="15">
        <v>3</v>
      </c>
      <c r="P499" s="15" t="s">
        <v>415</v>
      </c>
      <c r="Q499" s="23" t="s">
        <v>416</v>
      </c>
      <c r="R499" s="25">
        <f>ROUND((K499*Parametros!$B$4+L499*Parametros!$B$5+M499*Parametros!$B$6+N499*Parametros!$B$7+O499*Parametros!$B$8)/SUM(Parametros!$B$4:$B$8),2)</f>
        <v>2.35</v>
      </c>
      <c r="S499" s="26">
        <f>IFERROR(INDEX(Parametros!$F$33:$F$42,MATCH(D499,Parametros!$A$33:$A$42,0)),1)</f>
        <v>1.034</v>
      </c>
      <c r="T499" s="27">
        <f>IFERROR(INDEX(Parametros!$B$21:$B$26,MATCH(I499,Parametros!$A$21:$A$26,0)),0)</f>
        <v>0</v>
      </c>
      <c r="U499" s="28">
        <f t="shared" si="29"/>
        <v>2.4300000000000002</v>
      </c>
      <c r="V499" s="9">
        <f>IF(U499&gt;=Parametros!$B$14,4,IF(U499&gt;=Parametros!$B$13,3,IF(U499&gt;=Parametros!$B$12,2,1)))</f>
        <v>1</v>
      </c>
      <c r="W499" s="5">
        <f>MAX(V499,IF(K499=5,Parametros!$B$17,0),IF(P499="Sim",Parametros!$B$18,0))</f>
        <v>1</v>
      </c>
      <c r="X499" s="5" t="str">
        <f t="shared" si="30"/>
        <v>Baixa</v>
      </c>
      <c r="Y499" s="29">
        <f t="shared" si="31"/>
        <v>1023.999501</v>
      </c>
      <c r="Z499" s="4" t="s">
        <v>659</v>
      </c>
    </row>
    <row r="500" spans="1:26" ht="28.05" customHeight="1" x14ac:dyDescent="0.3">
      <c r="A500" s="5">
        <f t="shared" si="28"/>
        <v>496</v>
      </c>
      <c r="B500" s="23" t="s">
        <v>1189</v>
      </c>
      <c r="C500" s="17" t="s">
        <v>1190</v>
      </c>
      <c r="D500" s="4" t="s">
        <v>52</v>
      </c>
      <c r="E500" s="4" t="s">
        <v>66</v>
      </c>
      <c r="F500" s="4" t="s">
        <v>66</v>
      </c>
      <c r="G500" s="4" t="s">
        <v>171</v>
      </c>
      <c r="H500" s="4" t="s">
        <v>172</v>
      </c>
      <c r="I500" s="24" t="s">
        <v>131</v>
      </c>
      <c r="J500" s="15">
        <v>2</v>
      </c>
      <c r="K500" s="15">
        <v>3</v>
      </c>
      <c r="L500" s="15">
        <v>3</v>
      </c>
      <c r="M500" s="15">
        <v>1</v>
      </c>
      <c r="N500" s="15">
        <v>1</v>
      </c>
      <c r="O500" s="15">
        <v>3</v>
      </c>
      <c r="P500" s="15" t="s">
        <v>415</v>
      </c>
      <c r="Q500" s="23" t="s">
        <v>838</v>
      </c>
      <c r="R500" s="25">
        <f>ROUND((K500*Parametros!$B$4+L500*Parametros!$B$5+M500*Parametros!$B$6+N500*Parametros!$B$7+O500*Parametros!$B$8)/SUM(Parametros!$B$4:$B$8),2)</f>
        <v>2.2999999999999998</v>
      </c>
      <c r="S500" s="26">
        <f>IFERROR(INDEX(Parametros!$F$33:$F$42,MATCH(D500,Parametros!$A$33:$A$42,0)),1)</f>
        <v>1.05</v>
      </c>
      <c r="T500" s="27">
        <f>IFERROR(INDEX(Parametros!$B$21:$B$26,MATCH(I500,Parametros!$A$21:$A$26,0)),0)</f>
        <v>0</v>
      </c>
      <c r="U500" s="28">
        <f t="shared" si="29"/>
        <v>2.42</v>
      </c>
      <c r="V500" s="9">
        <f>IF(U500&gt;=Parametros!$B$14,4,IF(U500&gt;=Parametros!$B$13,3,IF(U500&gt;=Parametros!$B$12,2,1)))</f>
        <v>1</v>
      </c>
      <c r="W500" s="5">
        <f>MAX(V500,IF(K500=5,Parametros!$B$17,0),IF(P500="Sim",Parametros!$B$18,0))</f>
        <v>1</v>
      </c>
      <c r="X500" s="5" t="str">
        <f t="shared" si="30"/>
        <v>Baixa</v>
      </c>
      <c r="Y500" s="29">
        <f t="shared" si="31"/>
        <v>1023.9995</v>
      </c>
      <c r="Z500" s="4" t="s">
        <v>659</v>
      </c>
    </row>
    <row r="501" spans="1:26" ht="28.05" customHeight="1" x14ac:dyDescent="0.3">
      <c r="A501" s="5">
        <f t="shared" si="28"/>
        <v>497</v>
      </c>
      <c r="B501" s="23" t="s">
        <v>1191</v>
      </c>
      <c r="C501" s="17" t="s">
        <v>1192</v>
      </c>
      <c r="D501" s="4" t="s">
        <v>48</v>
      </c>
      <c r="E501" s="4" t="s">
        <v>87</v>
      </c>
      <c r="F501" s="4" t="s">
        <v>87</v>
      </c>
      <c r="G501" s="4" t="s">
        <v>171</v>
      </c>
      <c r="H501" s="4" t="s">
        <v>172</v>
      </c>
      <c r="I501" s="24" t="s">
        <v>131</v>
      </c>
      <c r="J501" s="15">
        <v>2</v>
      </c>
      <c r="K501" s="15">
        <v>2</v>
      </c>
      <c r="L501" s="15">
        <v>2</v>
      </c>
      <c r="M501" s="15">
        <v>3</v>
      </c>
      <c r="N501" s="15">
        <v>1</v>
      </c>
      <c r="O501" s="15">
        <v>3</v>
      </c>
      <c r="P501" s="15" t="s">
        <v>415</v>
      </c>
      <c r="Q501" s="23" t="s">
        <v>838</v>
      </c>
      <c r="R501" s="25">
        <f>ROUND((K501*Parametros!$B$4+L501*Parametros!$B$5+M501*Parametros!$B$6+N501*Parametros!$B$7+O501*Parametros!$B$8)/SUM(Parametros!$B$4:$B$8),2)</f>
        <v>2.2000000000000002</v>
      </c>
      <c r="S501" s="26">
        <f>IFERROR(INDEX(Parametros!$F$33:$F$42,MATCH(D501,Parametros!$A$33:$A$42,0)),1)</f>
        <v>1.1000000000000001</v>
      </c>
      <c r="T501" s="27">
        <f>IFERROR(INDEX(Parametros!$B$21:$B$26,MATCH(I501,Parametros!$A$21:$A$26,0)),0)</f>
        <v>0</v>
      </c>
      <c r="U501" s="28">
        <f t="shared" si="29"/>
        <v>2.42</v>
      </c>
      <c r="V501" s="9">
        <f>IF(U501&gt;=Parametros!$B$14,4,IF(U501&gt;=Parametros!$B$13,3,IF(U501&gt;=Parametros!$B$12,2,1)))</f>
        <v>1</v>
      </c>
      <c r="W501" s="5">
        <f>MAX(V501,IF(K501=5,Parametros!$B$17,0),IF(P501="Sim",Parametros!$B$18,0))</f>
        <v>1</v>
      </c>
      <c r="X501" s="5" t="str">
        <f t="shared" si="30"/>
        <v>Baixa</v>
      </c>
      <c r="Y501" s="29">
        <f t="shared" si="31"/>
        <v>1023.999499</v>
      </c>
      <c r="Z501" s="4" t="s">
        <v>659</v>
      </c>
    </row>
    <row r="502" spans="1:26" ht="28.05" customHeight="1" x14ac:dyDescent="0.3">
      <c r="A502" s="5">
        <f t="shared" si="28"/>
        <v>498</v>
      </c>
      <c r="B502" s="23" t="s">
        <v>1193</v>
      </c>
      <c r="C502" s="17" t="s">
        <v>1194</v>
      </c>
      <c r="D502" s="4" t="s">
        <v>53</v>
      </c>
      <c r="E502" s="4" t="s">
        <v>64</v>
      </c>
      <c r="F502" s="4" t="s">
        <v>64</v>
      </c>
      <c r="G502" s="4" t="s">
        <v>112</v>
      </c>
      <c r="H502" s="4" t="s">
        <v>108</v>
      </c>
      <c r="I502" s="24" t="s">
        <v>131</v>
      </c>
      <c r="J502" s="15">
        <v>3</v>
      </c>
      <c r="K502" s="15">
        <v>3</v>
      </c>
      <c r="L502" s="15">
        <v>3</v>
      </c>
      <c r="M502" s="15">
        <v>1</v>
      </c>
      <c r="N502" s="15">
        <v>2</v>
      </c>
      <c r="O502" s="15">
        <v>2</v>
      </c>
      <c r="P502" s="15" t="s">
        <v>415</v>
      </c>
      <c r="Q502" s="23" t="s">
        <v>416</v>
      </c>
      <c r="R502" s="25">
        <f>ROUND((K502*Parametros!$B$4+L502*Parametros!$B$5+M502*Parametros!$B$6+N502*Parametros!$B$7+O502*Parametros!$B$8)/SUM(Parametros!$B$4:$B$8),2)</f>
        <v>2.2999999999999998</v>
      </c>
      <c r="S502" s="26">
        <f>IFERROR(INDEX(Parametros!$F$33:$F$42,MATCH(D502,Parametros!$A$33:$A$42,0)),1)</f>
        <v>1.05</v>
      </c>
      <c r="T502" s="27">
        <f>IFERROR(INDEX(Parametros!$B$21:$B$26,MATCH(I502,Parametros!$A$21:$A$26,0)),0)</f>
        <v>0</v>
      </c>
      <c r="U502" s="28">
        <f t="shared" si="29"/>
        <v>2.42</v>
      </c>
      <c r="V502" s="9">
        <f>IF(U502&gt;=Parametros!$B$14,4,IF(U502&gt;=Parametros!$B$13,3,IF(U502&gt;=Parametros!$B$12,2,1)))</f>
        <v>1</v>
      </c>
      <c r="W502" s="5">
        <f>MAX(V502,IF(K502=5,Parametros!$B$17,0),IF(P502="Sim",Parametros!$B$18,0))</f>
        <v>1</v>
      </c>
      <c r="X502" s="5" t="str">
        <f t="shared" si="30"/>
        <v>Baixa</v>
      </c>
      <c r="Y502" s="29">
        <f t="shared" si="31"/>
        <v>1023.8994980000001</v>
      </c>
      <c r="Z502" s="4" t="s">
        <v>659</v>
      </c>
    </row>
    <row r="503" spans="1:26" ht="28.05" customHeight="1" x14ac:dyDescent="0.3">
      <c r="A503" s="5">
        <f t="shared" si="28"/>
        <v>499</v>
      </c>
      <c r="B503" s="23" t="s">
        <v>1195</v>
      </c>
      <c r="C503" s="17" t="s">
        <v>1196</v>
      </c>
      <c r="D503" s="4" t="s">
        <v>49</v>
      </c>
      <c r="E503" s="4" t="s">
        <v>81</v>
      </c>
      <c r="F503" s="4" t="s">
        <v>81</v>
      </c>
      <c r="G503" s="4" t="s">
        <v>171</v>
      </c>
      <c r="H503" s="4" t="s">
        <v>172</v>
      </c>
      <c r="I503" s="24" t="s">
        <v>131</v>
      </c>
      <c r="J503" s="15">
        <v>3</v>
      </c>
      <c r="K503" s="15">
        <v>2</v>
      </c>
      <c r="L503" s="15">
        <v>2</v>
      </c>
      <c r="M503" s="15">
        <v>3</v>
      </c>
      <c r="N503" s="15">
        <v>1</v>
      </c>
      <c r="O503" s="15">
        <v>3</v>
      </c>
      <c r="P503" s="15" t="s">
        <v>415</v>
      </c>
      <c r="Q503" s="23" t="s">
        <v>838</v>
      </c>
      <c r="R503" s="25">
        <f>ROUND((K503*Parametros!$B$4+L503*Parametros!$B$5+M503*Parametros!$B$6+N503*Parametros!$B$7+O503*Parametros!$B$8)/SUM(Parametros!$B$4:$B$8),2)</f>
        <v>2.2000000000000002</v>
      </c>
      <c r="S503" s="26">
        <f>IFERROR(INDEX(Parametros!$F$33:$F$42,MATCH(D503,Parametros!$A$33:$A$42,0)),1)</f>
        <v>1.1000000000000001</v>
      </c>
      <c r="T503" s="27">
        <f>IFERROR(INDEX(Parametros!$B$21:$B$26,MATCH(I503,Parametros!$A$21:$A$26,0)),0)</f>
        <v>0</v>
      </c>
      <c r="U503" s="28">
        <f t="shared" si="29"/>
        <v>2.42</v>
      </c>
      <c r="V503" s="9">
        <f>IF(U503&gt;=Parametros!$B$14,4,IF(U503&gt;=Parametros!$B$13,3,IF(U503&gt;=Parametros!$B$12,2,1)))</f>
        <v>1</v>
      </c>
      <c r="W503" s="5">
        <f>MAX(V503,IF(K503=5,Parametros!$B$17,0),IF(P503="Sim",Parametros!$B$18,0))</f>
        <v>1</v>
      </c>
      <c r="X503" s="5" t="str">
        <f t="shared" si="30"/>
        <v>Baixa</v>
      </c>
      <c r="Y503" s="29">
        <f t="shared" si="31"/>
        <v>1023.8994970000001</v>
      </c>
      <c r="Z503" s="4" t="s">
        <v>659</v>
      </c>
    </row>
    <row r="504" spans="1:26" ht="28.05" customHeight="1" x14ac:dyDescent="0.3">
      <c r="A504" s="5">
        <f t="shared" si="28"/>
        <v>500</v>
      </c>
      <c r="B504" s="23" t="s">
        <v>1197</v>
      </c>
      <c r="C504" s="17" t="s">
        <v>1198</v>
      </c>
      <c r="D504" s="4" t="s">
        <v>53</v>
      </c>
      <c r="E504" s="4" t="s">
        <v>64</v>
      </c>
      <c r="F504" s="4" t="s">
        <v>64</v>
      </c>
      <c r="G504" s="4" t="s">
        <v>107</v>
      </c>
      <c r="H504" s="4" t="s">
        <v>108</v>
      </c>
      <c r="I504" s="24" t="s">
        <v>131</v>
      </c>
      <c r="J504" s="15">
        <v>3</v>
      </c>
      <c r="K504" s="15">
        <v>3</v>
      </c>
      <c r="L504" s="15">
        <v>3</v>
      </c>
      <c r="M504" s="15">
        <v>1</v>
      </c>
      <c r="N504" s="15">
        <v>2</v>
      </c>
      <c r="O504" s="15">
        <v>2</v>
      </c>
      <c r="P504" s="15" t="s">
        <v>415</v>
      </c>
      <c r="Q504" s="23" t="s">
        <v>416</v>
      </c>
      <c r="R504" s="25">
        <f>ROUND((K504*Parametros!$B$4+L504*Parametros!$B$5+M504*Parametros!$B$6+N504*Parametros!$B$7+O504*Parametros!$B$8)/SUM(Parametros!$B$4:$B$8),2)</f>
        <v>2.2999999999999998</v>
      </c>
      <c r="S504" s="26">
        <f>IFERROR(INDEX(Parametros!$F$33:$F$42,MATCH(D504,Parametros!$A$33:$A$42,0)),1)</f>
        <v>1.05</v>
      </c>
      <c r="T504" s="27">
        <f>IFERROR(INDEX(Parametros!$B$21:$B$26,MATCH(I504,Parametros!$A$21:$A$26,0)),0)</f>
        <v>0</v>
      </c>
      <c r="U504" s="28">
        <f t="shared" si="29"/>
        <v>2.42</v>
      </c>
      <c r="V504" s="9">
        <f>IF(U504&gt;=Parametros!$B$14,4,IF(U504&gt;=Parametros!$B$13,3,IF(U504&gt;=Parametros!$B$12,2,1)))</f>
        <v>1</v>
      </c>
      <c r="W504" s="5">
        <f>MAX(V504,IF(K504=5,Parametros!$B$17,0),IF(P504="Sim",Parametros!$B$18,0))</f>
        <v>1</v>
      </c>
      <c r="X504" s="5" t="str">
        <f t="shared" si="30"/>
        <v>Baixa</v>
      </c>
      <c r="Y504" s="29">
        <f t="shared" si="31"/>
        <v>1023.8994960000001</v>
      </c>
      <c r="Z504" s="4" t="s">
        <v>659</v>
      </c>
    </row>
    <row r="505" spans="1:26" ht="28.05" customHeight="1" x14ac:dyDescent="0.3">
      <c r="A505" s="5">
        <f t="shared" si="28"/>
        <v>501</v>
      </c>
      <c r="B505" s="23" t="s">
        <v>1199</v>
      </c>
      <c r="C505" s="17" t="s">
        <v>1200</v>
      </c>
      <c r="D505" s="4" t="s">
        <v>52</v>
      </c>
      <c r="E505" s="4" t="s">
        <v>64</v>
      </c>
      <c r="F505" s="4" t="s">
        <v>64</v>
      </c>
      <c r="G505" s="4" t="s">
        <v>171</v>
      </c>
      <c r="H505" s="4" t="s">
        <v>172</v>
      </c>
      <c r="I505" s="24" t="s">
        <v>152</v>
      </c>
      <c r="J505" s="15">
        <v>3</v>
      </c>
      <c r="K505" s="15">
        <v>3</v>
      </c>
      <c r="L505" s="15">
        <v>3</v>
      </c>
      <c r="M505" s="15">
        <v>1</v>
      </c>
      <c r="N505" s="15">
        <v>1</v>
      </c>
      <c r="O505" s="15">
        <v>3</v>
      </c>
      <c r="P505" s="15" t="s">
        <v>415</v>
      </c>
      <c r="Q505" s="23" t="s">
        <v>838</v>
      </c>
      <c r="R505" s="25">
        <f>ROUND((K505*Parametros!$B$4+L505*Parametros!$B$5+M505*Parametros!$B$6+N505*Parametros!$B$7+O505*Parametros!$B$8)/SUM(Parametros!$B$4:$B$8),2)</f>
        <v>2.2999999999999998</v>
      </c>
      <c r="S505" s="26">
        <f>IFERROR(INDEX(Parametros!$F$33:$F$42,MATCH(D505,Parametros!$A$33:$A$42,0)),1)</f>
        <v>1.05</v>
      </c>
      <c r="T505" s="27">
        <f>IFERROR(INDEX(Parametros!$B$21:$B$26,MATCH(I505,Parametros!$A$21:$A$26,0)),0)</f>
        <v>0</v>
      </c>
      <c r="U505" s="28">
        <f t="shared" si="29"/>
        <v>2.42</v>
      </c>
      <c r="V505" s="9">
        <f>IF(U505&gt;=Parametros!$B$14,4,IF(U505&gt;=Parametros!$B$13,3,IF(U505&gt;=Parametros!$B$12,2,1)))</f>
        <v>1</v>
      </c>
      <c r="W505" s="5">
        <f>MAX(V505,IF(K505=5,Parametros!$B$17,0),IF(P505="Sim",Parametros!$B$18,0))</f>
        <v>1</v>
      </c>
      <c r="X505" s="5" t="str">
        <f t="shared" si="30"/>
        <v>Baixa</v>
      </c>
      <c r="Y505" s="29">
        <f t="shared" si="31"/>
        <v>1023.8994950000001</v>
      </c>
      <c r="Z505" s="4" t="s">
        <v>659</v>
      </c>
    </row>
    <row r="506" spans="1:26" ht="28.05" customHeight="1" x14ac:dyDescent="0.3">
      <c r="A506" s="5">
        <f t="shared" si="28"/>
        <v>502</v>
      </c>
      <c r="B506" s="23" t="s">
        <v>1201</v>
      </c>
      <c r="C506" s="17" t="s">
        <v>1202</v>
      </c>
      <c r="D506" s="4" t="s">
        <v>54</v>
      </c>
      <c r="E506" s="4" t="s">
        <v>64</v>
      </c>
      <c r="F506" s="4" t="s">
        <v>64</v>
      </c>
      <c r="G506" s="4" t="s">
        <v>134</v>
      </c>
      <c r="H506" s="4" t="s">
        <v>108</v>
      </c>
      <c r="I506" s="24" t="s">
        <v>131</v>
      </c>
      <c r="J506" s="15">
        <v>5</v>
      </c>
      <c r="K506" s="15">
        <v>2</v>
      </c>
      <c r="L506" s="15">
        <v>2</v>
      </c>
      <c r="M506" s="15">
        <v>3</v>
      </c>
      <c r="N506" s="15">
        <v>2</v>
      </c>
      <c r="O506" s="15">
        <v>3</v>
      </c>
      <c r="P506" s="15" t="s">
        <v>415</v>
      </c>
      <c r="Q506" s="23" t="s">
        <v>416</v>
      </c>
      <c r="R506" s="25">
        <f>ROUND((K506*Parametros!$B$4+L506*Parametros!$B$5+M506*Parametros!$B$6+N506*Parametros!$B$7+O506*Parametros!$B$8)/SUM(Parametros!$B$4:$B$8),2)</f>
        <v>2.35</v>
      </c>
      <c r="S506" s="26">
        <f>IFERROR(INDEX(Parametros!$F$33:$F$42,MATCH(D506,Parametros!$A$33:$A$42,0)),1)</f>
        <v>1.034</v>
      </c>
      <c r="T506" s="27">
        <f>IFERROR(INDEX(Parametros!$B$21:$B$26,MATCH(I506,Parametros!$A$21:$A$26,0)),0)</f>
        <v>0</v>
      </c>
      <c r="U506" s="28">
        <f t="shared" si="29"/>
        <v>2.4300000000000002</v>
      </c>
      <c r="V506" s="9">
        <f>IF(U506&gt;=Parametros!$B$14,4,IF(U506&gt;=Parametros!$B$13,3,IF(U506&gt;=Parametros!$B$12,2,1)))</f>
        <v>1</v>
      </c>
      <c r="W506" s="5">
        <f>MAX(V506,IF(K506=5,Parametros!$B$17,0),IF(P506="Sim",Parametros!$B$18,0))</f>
        <v>1</v>
      </c>
      <c r="X506" s="5" t="str">
        <f t="shared" si="30"/>
        <v>Baixa</v>
      </c>
      <c r="Y506" s="29">
        <f t="shared" si="31"/>
        <v>1023.799494</v>
      </c>
      <c r="Z506" s="4" t="s">
        <v>659</v>
      </c>
    </row>
    <row r="507" spans="1:26" ht="28.05" customHeight="1" x14ac:dyDescent="0.3">
      <c r="A507" s="5">
        <f t="shared" si="28"/>
        <v>503</v>
      </c>
      <c r="B507" s="23" t="s">
        <v>1203</v>
      </c>
      <c r="C507" s="17" t="s">
        <v>1188</v>
      </c>
      <c r="D507" s="4" t="s">
        <v>56</v>
      </c>
      <c r="E507" s="4" t="s">
        <v>64</v>
      </c>
      <c r="F507" s="4" t="s">
        <v>64</v>
      </c>
      <c r="G507" s="4" t="s">
        <v>134</v>
      </c>
      <c r="H507" s="4" t="s">
        <v>108</v>
      </c>
      <c r="I507" s="24" t="s">
        <v>131</v>
      </c>
      <c r="J507" s="15">
        <v>3</v>
      </c>
      <c r="K507" s="15">
        <v>2</v>
      </c>
      <c r="L507" s="15">
        <v>2</v>
      </c>
      <c r="M507" s="15">
        <v>3</v>
      </c>
      <c r="N507" s="15">
        <v>2</v>
      </c>
      <c r="O507" s="15">
        <v>3</v>
      </c>
      <c r="P507" s="15" t="s">
        <v>415</v>
      </c>
      <c r="Q507" s="23" t="s">
        <v>416</v>
      </c>
      <c r="R507" s="25">
        <f>ROUND((K507*Parametros!$B$4+L507*Parametros!$B$5+M507*Parametros!$B$6+N507*Parametros!$B$7+O507*Parametros!$B$8)/SUM(Parametros!$B$4:$B$8),2)</f>
        <v>2.35</v>
      </c>
      <c r="S507" s="26">
        <f>IFERROR(INDEX(Parametros!$F$33:$F$42,MATCH(D507,Parametros!$A$33:$A$42,0)),1)</f>
        <v>1.0169999999999999</v>
      </c>
      <c r="T507" s="27">
        <f>IFERROR(INDEX(Parametros!$B$21:$B$26,MATCH(I507,Parametros!$A$21:$A$26,0)),0)</f>
        <v>0</v>
      </c>
      <c r="U507" s="28">
        <f t="shared" si="29"/>
        <v>2.39</v>
      </c>
      <c r="V507" s="9">
        <f>IF(U507&gt;=Parametros!$B$14,4,IF(U507&gt;=Parametros!$B$13,3,IF(U507&gt;=Parametros!$B$12,2,1)))</f>
        <v>1</v>
      </c>
      <c r="W507" s="5">
        <f>MAX(V507,IF(K507=5,Parametros!$B$17,0),IF(P507="Sim",Parametros!$B$18,0))</f>
        <v>1</v>
      </c>
      <c r="X507" s="5" t="str">
        <f t="shared" si="30"/>
        <v>Baixa</v>
      </c>
      <c r="Y507" s="29">
        <f t="shared" si="31"/>
        <v>1023.5994930000001</v>
      </c>
      <c r="Z507" s="4" t="s">
        <v>659</v>
      </c>
    </row>
    <row r="508" spans="1:26" ht="28.05" customHeight="1" x14ac:dyDescent="0.3">
      <c r="A508" s="5">
        <f t="shared" si="28"/>
        <v>504</v>
      </c>
      <c r="B508" s="23" t="s">
        <v>1204</v>
      </c>
      <c r="C508" s="17" t="s">
        <v>1205</v>
      </c>
      <c r="D508" s="4" t="s">
        <v>55</v>
      </c>
      <c r="E508" s="4" t="s">
        <v>76</v>
      </c>
      <c r="F508" s="4" t="s">
        <v>76</v>
      </c>
      <c r="G508" s="4" t="s">
        <v>171</v>
      </c>
      <c r="H508" s="4" t="s">
        <v>172</v>
      </c>
      <c r="I508" s="24" t="s">
        <v>152</v>
      </c>
      <c r="J508" s="15">
        <v>2</v>
      </c>
      <c r="K508" s="15">
        <v>2</v>
      </c>
      <c r="L508" s="15">
        <v>3</v>
      </c>
      <c r="M508" s="15">
        <v>1</v>
      </c>
      <c r="N508" s="15">
        <v>4</v>
      </c>
      <c r="O508" s="15">
        <v>2</v>
      </c>
      <c r="P508" s="15" t="s">
        <v>415</v>
      </c>
      <c r="Q508" s="23" t="s">
        <v>416</v>
      </c>
      <c r="R508" s="25">
        <f>ROUND((K508*Parametros!$B$4+L508*Parametros!$B$5+M508*Parametros!$B$6+N508*Parametros!$B$7+O508*Parametros!$B$8)/SUM(Parametros!$B$4:$B$8),2)</f>
        <v>2.2999999999999998</v>
      </c>
      <c r="S508" s="26">
        <f>IFERROR(INDEX(Parametros!$F$33:$F$42,MATCH(D508,Parametros!$A$33:$A$42,0)),1)</f>
        <v>1.034</v>
      </c>
      <c r="T508" s="27">
        <f>IFERROR(INDEX(Parametros!$B$21:$B$26,MATCH(I508,Parametros!$A$21:$A$26,0)),0)</f>
        <v>0</v>
      </c>
      <c r="U508" s="28">
        <f t="shared" si="29"/>
        <v>2.38</v>
      </c>
      <c r="V508" s="9">
        <f>IF(U508&gt;=Parametros!$B$14,4,IF(U508&gt;=Parametros!$B$13,3,IF(U508&gt;=Parametros!$B$12,2,1)))</f>
        <v>1</v>
      </c>
      <c r="W508" s="5">
        <f>MAX(V508,IF(K508=5,Parametros!$B$17,0),IF(P508="Sim",Parametros!$B$18,0))</f>
        <v>1</v>
      </c>
      <c r="X508" s="5" t="str">
        <f t="shared" si="30"/>
        <v>Baixa</v>
      </c>
      <c r="Y508" s="29">
        <f t="shared" si="31"/>
        <v>1023.5994919999999</v>
      </c>
      <c r="Z508" s="4" t="s">
        <v>653</v>
      </c>
    </row>
    <row r="509" spans="1:26" ht="28.05" customHeight="1" x14ac:dyDescent="0.3">
      <c r="A509" s="5">
        <f t="shared" si="28"/>
        <v>505</v>
      </c>
      <c r="B509" s="23" t="s">
        <v>1206</v>
      </c>
      <c r="C509" s="17" t="s">
        <v>1207</v>
      </c>
      <c r="D509" s="4" t="s">
        <v>54</v>
      </c>
      <c r="E509" s="4" t="s">
        <v>72</v>
      </c>
      <c r="F509" s="4" t="s">
        <v>72</v>
      </c>
      <c r="G509" s="4" t="s">
        <v>112</v>
      </c>
      <c r="H509" s="4" t="s">
        <v>108</v>
      </c>
      <c r="I509" s="24" t="s">
        <v>152</v>
      </c>
      <c r="J509" s="15">
        <v>3</v>
      </c>
      <c r="K509" s="15">
        <v>3</v>
      </c>
      <c r="L509" s="15">
        <v>3</v>
      </c>
      <c r="M509" s="15">
        <v>1</v>
      </c>
      <c r="N509" s="15">
        <v>3</v>
      </c>
      <c r="O509" s="15">
        <v>1</v>
      </c>
      <c r="P509" s="15" t="s">
        <v>415</v>
      </c>
      <c r="Q509" s="23" t="s">
        <v>838</v>
      </c>
      <c r="R509" s="25">
        <f>ROUND((K509*Parametros!$B$4+L509*Parametros!$B$5+M509*Parametros!$B$6+N509*Parametros!$B$7+O509*Parametros!$B$8)/SUM(Parametros!$B$4:$B$8),2)</f>
        <v>2.2999999999999998</v>
      </c>
      <c r="S509" s="26">
        <f>IFERROR(INDEX(Parametros!$F$33:$F$42,MATCH(D509,Parametros!$A$33:$A$42,0)),1)</f>
        <v>1.034</v>
      </c>
      <c r="T509" s="27">
        <f>IFERROR(INDEX(Parametros!$B$21:$B$26,MATCH(I509,Parametros!$A$21:$A$26,0)),0)</f>
        <v>0</v>
      </c>
      <c r="U509" s="28">
        <f t="shared" si="29"/>
        <v>2.38</v>
      </c>
      <c r="V509" s="9">
        <f>IF(U509&gt;=Parametros!$B$14,4,IF(U509&gt;=Parametros!$B$13,3,IF(U509&gt;=Parametros!$B$12,2,1)))</f>
        <v>1</v>
      </c>
      <c r="W509" s="5">
        <f>MAX(V509,IF(K509=5,Parametros!$B$17,0),IF(P509="Sim",Parametros!$B$18,0))</f>
        <v>1</v>
      </c>
      <c r="X509" s="5" t="str">
        <f t="shared" si="30"/>
        <v>Baixa</v>
      </c>
      <c r="Y509" s="29">
        <f t="shared" si="31"/>
        <v>1023.499491</v>
      </c>
      <c r="Z509" s="4" t="s">
        <v>659</v>
      </c>
    </row>
    <row r="510" spans="1:26" ht="28.05" customHeight="1" x14ac:dyDescent="0.3">
      <c r="A510" s="5">
        <f t="shared" si="28"/>
        <v>506</v>
      </c>
      <c r="B510" s="23" t="s">
        <v>1208</v>
      </c>
      <c r="C510" s="17" t="s">
        <v>1209</v>
      </c>
      <c r="D510" s="4" t="s">
        <v>52</v>
      </c>
      <c r="E510" s="4" t="s">
        <v>66</v>
      </c>
      <c r="F510" s="4" t="s">
        <v>66</v>
      </c>
      <c r="G510" s="4" t="s">
        <v>119</v>
      </c>
      <c r="H510" s="4" t="s">
        <v>108</v>
      </c>
      <c r="I510" s="24" t="s">
        <v>122</v>
      </c>
      <c r="J510" s="15">
        <v>3</v>
      </c>
      <c r="K510" s="15">
        <v>2</v>
      </c>
      <c r="L510" s="15">
        <v>3</v>
      </c>
      <c r="M510" s="15">
        <v>3</v>
      </c>
      <c r="N510" s="15">
        <v>1</v>
      </c>
      <c r="O510" s="15">
        <v>2</v>
      </c>
      <c r="P510" s="15" t="s">
        <v>415</v>
      </c>
      <c r="Q510" s="23" t="s">
        <v>416</v>
      </c>
      <c r="R510" s="25">
        <f>ROUND((K510*Parametros!$B$4+L510*Parametros!$B$5+M510*Parametros!$B$6+N510*Parametros!$B$7+O510*Parametros!$B$8)/SUM(Parametros!$B$4:$B$8),2)</f>
        <v>2.25</v>
      </c>
      <c r="S510" s="26">
        <f>IFERROR(INDEX(Parametros!$F$33:$F$42,MATCH(D510,Parametros!$A$33:$A$42,0)),1)</f>
        <v>1.05</v>
      </c>
      <c r="T510" s="27">
        <f>IFERROR(INDEX(Parametros!$B$21:$B$26,MATCH(I510,Parametros!$A$21:$A$26,0)),0)</f>
        <v>0</v>
      </c>
      <c r="U510" s="28">
        <f t="shared" si="29"/>
        <v>2.36</v>
      </c>
      <c r="V510" s="9">
        <f>IF(U510&gt;=Parametros!$B$14,4,IF(U510&gt;=Parametros!$B$13,3,IF(U510&gt;=Parametros!$B$12,2,1)))</f>
        <v>1</v>
      </c>
      <c r="W510" s="5">
        <f>MAX(V510,IF(K510=5,Parametros!$B$17,0),IF(P510="Sim",Parametros!$B$18,0))</f>
        <v>1</v>
      </c>
      <c r="X510" s="5" t="str">
        <f t="shared" si="30"/>
        <v>Baixa</v>
      </c>
      <c r="Y510" s="29">
        <f t="shared" si="31"/>
        <v>1023.2994900000001</v>
      </c>
      <c r="Z510" s="4" t="s">
        <v>659</v>
      </c>
    </row>
    <row r="511" spans="1:26" ht="28.05" customHeight="1" x14ac:dyDescent="0.3">
      <c r="A511" s="5">
        <f t="shared" si="28"/>
        <v>507</v>
      </c>
      <c r="B511" s="23" t="s">
        <v>1210</v>
      </c>
      <c r="C511" s="17" t="s">
        <v>1205</v>
      </c>
      <c r="D511" s="4" t="s">
        <v>56</v>
      </c>
      <c r="E511" s="4" t="s">
        <v>76</v>
      </c>
      <c r="F511" s="4" t="s">
        <v>76</v>
      </c>
      <c r="G511" s="4" t="s">
        <v>171</v>
      </c>
      <c r="H511" s="4" t="s">
        <v>172</v>
      </c>
      <c r="I511" s="24" t="s">
        <v>152</v>
      </c>
      <c r="J511" s="15">
        <v>2</v>
      </c>
      <c r="K511" s="15">
        <v>2</v>
      </c>
      <c r="L511" s="15">
        <v>3</v>
      </c>
      <c r="M511" s="15">
        <v>1</v>
      </c>
      <c r="N511" s="15">
        <v>4</v>
      </c>
      <c r="O511" s="15">
        <v>2</v>
      </c>
      <c r="P511" s="15" t="s">
        <v>415</v>
      </c>
      <c r="Q511" s="23" t="s">
        <v>416</v>
      </c>
      <c r="R511" s="25">
        <f>ROUND((K511*Parametros!$B$4+L511*Parametros!$B$5+M511*Parametros!$B$6+N511*Parametros!$B$7+O511*Parametros!$B$8)/SUM(Parametros!$B$4:$B$8),2)</f>
        <v>2.2999999999999998</v>
      </c>
      <c r="S511" s="26">
        <f>IFERROR(INDEX(Parametros!$F$33:$F$42,MATCH(D511,Parametros!$A$33:$A$42,0)),1)</f>
        <v>1.0169999999999999</v>
      </c>
      <c r="T511" s="27">
        <f>IFERROR(INDEX(Parametros!$B$21:$B$26,MATCH(I511,Parametros!$A$21:$A$26,0)),0)</f>
        <v>0</v>
      </c>
      <c r="U511" s="28">
        <f t="shared" si="29"/>
        <v>2.34</v>
      </c>
      <c r="V511" s="9">
        <f>IF(U511&gt;=Parametros!$B$14,4,IF(U511&gt;=Parametros!$B$13,3,IF(U511&gt;=Parametros!$B$12,2,1)))</f>
        <v>1</v>
      </c>
      <c r="W511" s="5">
        <f>MAX(V511,IF(K511=5,Parametros!$B$17,0),IF(P511="Sim",Parametros!$B$18,0))</f>
        <v>1</v>
      </c>
      <c r="X511" s="5" t="str">
        <f t="shared" si="30"/>
        <v>Baixa</v>
      </c>
      <c r="Y511" s="29">
        <f t="shared" si="31"/>
        <v>1023.199489</v>
      </c>
      <c r="Z511" s="4" t="s">
        <v>653</v>
      </c>
    </row>
    <row r="512" spans="1:26" ht="28.05" customHeight="1" x14ac:dyDescent="0.3">
      <c r="A512" s="5">
        <f t="shared" si="28"/>
        <v>508</v>
      </c>
      <c r="B512" s="23" t="s">
        <v>1211</v>
      </c>
      <c r="C512" s="17" t="s">
        <v>1212</v>
      </c>
      <c r="D512" s="4" t="s">
        <v>48</v>
      </c>
      <c r="E512" s="4" t="s">
        <v>85</v>
      </c>
      <c r="F512" s="4" t="s">
        <v>85</v>
      </c>
      <c r="G512" s="4" t="s">
        <v>171</v>
      </c>
      <c r="H512" s="4" t="s">
        <v>172</v>
      </c>
      <c r="I512" s="24" t="s">
        <v>954</v>
      </c>
      <c r="J512" s="15">
        <v>2</v>
      </c>
      <c r="K512" s="15">
        <v>2</v>
      </c>
      <c r="L512" s="15">
        <v>3</v>
      </c>
      <c r="M512" s="15">
        <v>3</v>
      </c>
      <c r="N512" s="15">
        <v>2</v>
      </c>
      <c r="O512" s="15">
        <v>2</v>
      </c>
      <c r="P512" s="15" t="s">
        <v>415</v>
      </c>
      <c r="Q512" s="23" t="s">
        <v>838</v>
      </c>
      <c r="R512" s="25">
        <f>ROUND((K512*Parametros!$B$4+L512*Parametros!$B$5+M512*Parametros!$B$6+N512*Parametros!$B$7+O512*Parametros!$B$8)/SUM(Parametros!$B$4:$B$8),2)</f>
        <v>2.4</v>
      </c>
      <c r="S512" s="26">
        <f>IFERROR(INDEX(Parametros!$F$33:$F$42,MATCH(D512,Parametros!$A$33:$A$42,0)),1)</f>
        <v>1.1000000000000001</v>
      </c>
      <c r="T512" s="27">
        <f>IFERROR(INDEX(Parametros!$B$21:$B$26,MATCH(I512,Parametros!$A$21:$A$26,0)),0)</f>
        <v>-0.3</v>
      </c>
      <c r="U512" s="28">
        <f t="shared" si="29"/>
        <v>2.34</v>
      </c>
      <c r="V512" s="9">
        <f>IF(U512&gt;=Parametros!$B$14,4,IF(U512&gt;=Parametros!$B$13,3,IF(U512&gt;=Parametros!$B$12,2,1)))</f>
        <v>1</v>
      </c>
      <c r="W512" s="5">
        <f>MAX(V512,IF(K512=5,Parametros!$B$17,0),IF(P512="Sim",Parametros!$B$18,0))</f>
        <v>1</v>
      </c>
      <c r="X512" s="5" t="str">
        <f t="shared" si="30"/>
        <v>Baixa</v>
      </c>
      <c r="Y512" s="29">
        <f t="shared" si="31"/>
        <v>1023.199488</v>
      </c>
      <c r="Z512" s="4" t="s">
        <v>1213</v>
      </c>
    </row>
    <row r="513" spans="1:26" ht="28.05" customHeight="1" x14ac:dyDescent="0.3">
      <c r="A513" s="5">
        <f t="shared" si="28"/>
        <v>509</v>
      </c>
      <c r="B513" s="23" t="s">
        <v>1214</v>
      </c>
      <c r="C513" s="17" t="s">
        <v>1215</v>
      </c>
      <c r="D513" s="4" t="s">
        <v>55</v>
      </c>
      <c r="E513" s="4" t="s">
        <v>83</v>
      </c>
      <c r="F513" s="4" t="s">
        <v>83</v>
      </c>
      <c r="G513" s="4" t="s">
        <v>134</v>
      </c>
      <c r="H513" s="4" t="s">
        <v>108</v>
      </c>
      <c r="I513" s="24" t="s">
        <v>152</v>
      </c>
      <c r="J513" s="15">
        <v>2</v>
      </c>
      <c r="K513" s="15">
        <v>3</v>
      </c>
      <c r="L513" s="15">
        <v>2</v>
      </c>
      <c r="M513" s="15">
        <v>1</v>
      </c>
      <c r="N513" s="15">
        <v>2</v>
      </c>
      <c r="O513" s="15">
        <v>3</v>
      </c>
      <c r="P513" s="15" t="s">
        <v>415</v>
      </c>
      <c r="Q513" s="23" t="s">
        <v>416</v>
      </c>
      <c r="R513" s="25">
        <f>ROUND((K513*Parametros!$B$4+L513*Parametros!$B$5+M513*Parametros!$B$6+N513*Parametros!$B$7+O513*Parametros!$B$8)/SUM(Parametros!$B$4:$B$8),2)</f>
        <v>2.25</v>
      </c>
      <c r="S513" s="26">
        <f>IFERROR(INDEX(Parametros!$F$33:$F$42,MATCH(D513,Parametros!$A$33:$A$42,0)),1)</f>
        <v>1.034</v>
      </c>
      <c r="T513" s="27">
        <f>IFERROR(INDEX(Parametros!$B$21:$B$26,MATCH(I513,Parametros!$A$21:$A$26,0)),0)</f>
        <v>0</v>
      </c>
      <c r="U513" s="28">
        <f t="shared" si="29"/>
        <v>2.33</v>
      </c>
      <c r="V513" s="9">
        <f>IF(U513&gt;=Parametros!$B$14,4,IF(U513&gt;=Parametros!$B$13,3,IF(U513&gt;=Parametros!$B$12,2,1)))</f>
        <v>1</v>
      </c>
      <c r="W513" s="5">
        <f>MAX(V513,IF(K513=5,Parametros!$B$17,0),IF(P513="Sim",Parametros!$B$18,0))</f>
        <v>1</v>
      </c>
      <c r="X513" s="5" t="str">
        <f t="shared" si="30"/>
        <v>Baixa</v>
      </c>
      <c r="Y513" s="29">
        <f t="shared" si="31"/>
        <v>1023.099487</v>
      </c>
      <c r="Z513" s="4" t="s">
        <v>659</v>
      </c>
    </row>
    <row r="514" spans="1:26" ht="28.05" customHeight="1" x14ac:dyDescent="0.3">
      <c r="A514" s="5">
        <f t="shared" si="28"/>
        <v>510</v>
      </c>
      <c r="B514" s="23" t="s">
        <v>1216</v>
      </c>
      <c r="C514" s="17" t="s">
        <v>1217</v>
      </c>
      <c r="D514" s="4" t="s">
        <v>55</v>
      </c>
      <c r="E514" s="4" t="s">
        <v>79</v>
      </c>
      <c r="F514" s="4" t="s">
        <v>79</v>
      </c>
      <c r="G514" s="4" t="s">
        <v>134</v>
      </c>
      <c r="H514" s="4" t="s">
        <v>108</v>
      </c>
      <c r="I514" s="24" t="s">
        <v>152</v>
      </c>
      <c r="J514" s="15">
        <v>2</v>
      </c>
      <c r="K514" s="15">
        <v>3</v>
      </c>
      <c r="L514" s="15">
        <v>2</v>
      </c>
      <c r="M514" s="15">
        <v>1</v>
      </c>
      <c r="N514" s="15">
        <v>2</v>
      </c>
      <c r="O514" s="15">
        <v>3</v>
      </c>
      <c r="P514" s="15" t="s">
        <v>415</v>
      </c>
      <c r="Q514" s="23" t="s">
        <v>416</v>
      </c>
      <c r="R514" s="25">
        <f>ROUND((K514*Parametros!$B$4+L514*Parametros!$B$5+M514*Parametros!$B$6+N514*Parametros!$B$7+O514*Parametros!$B$8)/SUM(Parametros!$B$4:$B$8),2)</f>
        <v>2.25</v>
      </c>
      <c r="S514" s="26">
        <f>IFERROR(INDEX(Parametros!$F$33:$F$42,MATCH(D514,Parametros!$A$33:$A$42,0)),1)</f>
        <v>1.034</v>
      </c>
      <c r="T514" s="27">
        <f>IFERROR(INDEX(Parametros!$B$21:$B$26,MATCH(I514,Parametros!$A$21:$A$26,0)),0)</f>
        <v>0</v>
      </c>
      <c r="U514" s="28">
        <f t="shared" si="29"/>
        <v>2.33</v>
      </c>
      <c r="V514" s="9">
        <f>IF(U514&gt;=Parametros!$B$14,4,IF(U514&gt;=Parametros!$B$13,3,IF(U514&gt;=Parametros!$B$12,2,1)))</f>
        <v>1</v>
      </c>
      <c r="W514" s="5">
        <f>MAX(V514,IF(K514=5,Parametros!$B$17,0),IF(P514="Sim",Parametros!$B$18,0))</f>
        <v>1</v>
      </c>
      <c r="X514" s="5" t="str">
        <f t="shared" si="30"/>
        <v>Baixa</v>
      </c>
      <c r="Y514" s="29">
        <f t="shared" si="31"/>
        <v>1023.099486</v>
      </c>
      <c r="Z514" s="4" t="s">
        <v>659</v>
      </c>
    </row>
    <row r="515" spans="1:26" ht="28.05" customHeight="1" x14ac:dyDescent="0.3">
      <c r="A515" s="5">
        <f t="shared" si="28"/>
        <v>511</v>
      </c>
      <c r="B515" s="23" t="s">
        <v>1218</v>
      </c>
      <c r="C515" s="17" t="s">
        <v>1219</v>
      </c>
      <c r="D515" s="4" t="s">
        <v>50</v>
      </c>
      <c r="E515" s="4" t="s">
        <v>70</v>
      </c>
      <c r="F515" s="4" t="s">
        <v>70</v>
      </c>
      <c r="G515" s="4" t="s">
        <v>171</v>
      </c>
      <c r="H515" s="4" t="s">
        <v>172</v>
      </c>
      <c r="I515" s="24" t="s">
        <v>152</v>
      </c>
      <c r="J515" s="15">
        <v>2</v>
      </c>
      <c r="K515" s="15">
        <v>3</v>
      </c>
      <c r="L515" s="15">
        <v>1</v>
      </c>
      <c r="M515" s="15">
        <v>3</v>
      </c>
      <c r="N515" s="15">
        <v>1</v>
      </c>
      <c r="O515" s="15">
        <v>2</v>
      </c>
      <c r="P515" s="15" t="s">
        <v>415</v>
      </c>
      <c r="Q515" s="23" t="s">
        <v>838</v>
      </c>
      <c r="R515" s="25">
        <f>ROUND((K515*Parametros!$B$4+L515*Parametros!$B$5+M515*Parametros!$B$6+N515*Parametros!$B$7+O515*Parametros!$B$8)/SUM(Parametros!$B$4:$B$8),2)</f>
        <v>2.15</v>
      </c>
      <c r="S515" s="26">
        <f>IFERROR(INDEX(Parametros!$F$33:$F$42,MATCH(D515,Parametros!$A$33:$A$42,0)),1)</f>
        <v>1.0840000000000001</v>
      </c>
      <c r="T515" s="27">
        <f>IFERROR(INDEX(Parametros!$B$21:$B$26,MATCH(I515,Parametros!$A$21:$A$26,0)),0)</f>
        <v>0</v>
      </c>
      <c r="U515" s="28">
        <f t="shared" si="29"/>
        <v>2.33</v>
      </c>
      <c r="V515" s="9">
        <f>IF(U515&gt;=Parametros!$B$14,4,IF(U515&gt;=Parametros!$B$13,3,IF(U515&gt;=Parametros!$B$12,2,1)))</f>
        <v>1</v>
      </c>
      <c r="W515" s="5">
        <f>MAX(V515,IF(K515=5,Parametros!$B$17,0),IF(P515="Sim",Parametros!$B$18,0))</f>
        <v>1</v>
      </c>
      <c r="X515" s="5" t="str">
        <f t="shared" si="30"/>
        <v>Baixa</v>
      </c>
      <c r="Y515" s="29">
        <f t="shared" si="31"/>
        <v>1023.099485</v>
      </c>
      <c r="Z515" s="4" t="s">
        <v>659</v>
      </c>
    </row>
    <row r="516" spans="1:26" ht="28.05" customHeight="1" x14ac:dyDescent="0.3">
      <c r="A516" s="5">
        <f t="shared" si="28"/>
        <v>512</v>
      </c>
      <c r="B516" s="23" t="s">
        <v>1220</v>
      </c>
      <c r="C516" s="17" t="s">
        <v>1221</v>
      </c>
      <c r="D516" s="4" t="s">
        <v>50</v>
      </c>
      <c r="E516" s="4" t="s">
        <v>64</v>
      </c>
      <c r="F516" s="4" t="s">
        <v>64</v>
      </c>
      <c r="G516" s="4" t="s">
        <v>171</v>
      </c>
      <c r="H516" s="4" t="s">
        <v>172</v>
      </c>
      <c r="I516" s="24" t="s">
        <v>131</v>
      </c>
      <c r="J516" s="15">
        <v>2</v>
      </c>
      <c r="K516" s="15">
        <v>3</v>
      </c>
      <c r="L516" s="15">
        <v>3</v>
      </c>
      <c r="M516" s="15">
        <v>1</v>
      </c>
      <c r="N516" s="15">
        <v>1</v>
      </c>
      <c r="O516" s="15">
        <v>2</v>
      </c>
      <c r="P516" s="15" t="s">
        <v>415</v>
      </c>
      <c r="Q516" s="23" t="s">
        <v>838</v>
      </c>
      <c r="R516" s="25">
        <f>ROUND((K516*Parametros!$B$4+L516*Parametros!$B$5+M516*Parametros!$B$6+N516*Parametros!$B$7+O516*Parametros!$B$8)/SUM(Parametros!$B$4:$B$8),2)</f>
        <v>2.15</v>
      </c>
      <c r="S516" s="26">
        <f>IFERROR(INDEX(Parametros!$F$33:$F$42,MATCH(D516,Parametros!$A$33:$A$42,0)),1)</f>
        <v>1.0840000000000001</v>
      </c>
      <c r="T516" s="27">
        <f>IFERROR(INDEX(Parametros!$B$21:$B$26,MATCH(I516,Parametros!$A$21:$A$26,0)),0)</f>
        <v>0</v>
      </c>
      <c r="U516" s="28">
        <f t="shared" si="29"/>
        <v>2.33</v>
      </c>
      <c r="V516" s="9">
        <f>IF(U516&gt;=Parametros!$B$14,4,IF(U516&gt;=Parametros!$B$13,3,IF(U516&gt;=Parametros!$B$12,2,1)))</f>
        <v>1</v>
      </c>
      <c r="W516" s="5">
        <f>MAX(V516,IF(K516=5,Parametros!$B$17,0),IF(P516="Sim",Parametros!$B$18,0))</f>
        <v>1</v>
      </c>
      <c r="X516" s="5" t="str">
        <f t="shared" si="30"/>
        <v>Baixa</v>
      </c>
      <c r="Y516" s="29">
        <f t="shared" si="31"/>
        <v>1023.099484</v>
      </c>
      <c r="Z516" s="4" t="s">
        <v>659</v>
      </c>
    </row>
    <row r="517" spans="1:26" ht="28.05" customHeight="1" x14ac:dyDescent="0.3">
      <c r="A517" s="5">
        <f t="shared" ref="A517:A580" si="32">IF(Y517="","",COUNTIF($Y$5:$Y$983,"&gt;"&amp;Y517)+1)</f>
        <v>513</v>
      </c>
      <c r="B517" s="23" t="s">
        <v>1222</v>
      </c>
      <c r="C517" s="17" t="s">
        <v>1223</v>
      </c>
      <c r="D517" s="4" t="s">
        <v>50</v>
      </c>
      <c r="E517" s="4" t="s">
        <v>72</v>
      </c>
      <c r="F517" s="4" t="s">
        <v>72</v>
      </c>
      <c r="G517" s="4" t="s">
        <v>184</v>
      </c>
      <c r="H517" s="4" t="s">
        <v>185</v>
      </c>
      <c r="I517" s="24" t="s">
        <v>131</v>
      </c>
      <c r="J517" s="15">
        <v>2</v>
      </c>
      <c r="K517" s="15">
        <v>3</v>
      </c>
      <c r="L517" s="15">
        <v>3</v>
      </c>
      <c r="M517" s="15">
        <v>1</v>
      </c>
      <c r="N517" s="15">
        <v>1</v>
      </c>
      <c r="O517" s="15">
        <v>2</v>
      </c>
      <c r="P517" s="15" t="s">
        <v>415</v>
      </c>
      <c r="Q517" s="23" t="s">
        <v>838</v>
      </c>
      <c r="R517" s="25">
        <f>ROUND((K517*Parametros!$B$4+L517*Parametros!$B$5+M517*Parametros!$B$6+N517*Parametros!$B$7+O517*Parametros!$B$8)/SUM(Parametros!$B$4:$B$8),2)</f>
        <v>2.15</v>
      </c>
      <c r="S517" s="26">
        <f>IFERROR(INDEX(Parametros!$F$33:$F$42,MATCH(D517,Parametros!$A$33:$A$42,0)),1)</f>
        <v>1.0840000000000001</v>
      </c>
      <c r="T517" s="27">
        <f>IFERROR(INDEX(Parametros!$B$21:$B$26,MATCH(I517,Parametros!$A$21:$A$26,0)),0)</f>
        <v>0</v>
      </c>
      <c r="U517" s="28">
        <f t="shared" ref="U517:U580" si="33">ROUND(R517*S517+T517,2)</f>
        <v>2.33</v>
      </c>
      <c r="V517" s="9">
        <f>IF(U517&gt;=Parametros!$B$14,4,IF(U517&gt;=Parametros!$B$13,3,IF(U517&gt;=Parametros!$B$12,2,1)))</f>
        <v>1</v>
      </c>
      <c r="W517" s="5">
        <f>MAX(V517,IF(K517=5,Parametros!$B$17,0),IF(P517="Sim",Parametros!$B$18,0))</f>
        <v>1</v>
      </c>
      <c r="X517" s="5" t="str">
        <f t="shared" ref="X517:X580" si="34">CHOOSE(W517,"Baixa","Normal","Alta","Urgente")</f>
        <v>Baixa</v>
      </c>
      <c r="Y517" s="29">
        <f t="shared" ref="Y517:Y580" si="35">W517*1000+U517*10-J517/10-ROW()/1000000</f>
        <v>1023.099483</v>
      </c>
      <c r="Z517" s="4" t="s">
        <v>659</v>
      </c>
    </row>
    <row r="518" spans="1:26" ht="28.05" customHeight="1" x14ac:dyDescent="0.3">
      <c r="A518" s="5">
        <f t="shared" si="32"/>
        <v>514</v>
      </c>
      <c r="B518" s="23" t="s">
        <v>1224</v>
      </c>
      <c r="C518" s="17" t="s">
        <v>1225</v>
      </c>
      <c r="D518" s="4" t="s">
        <v>54</v>
      </c>
      <c r="E518" s="4" t="s">
        <v>72</v>
      </c>
      <c r="F518" s="4" t="s">
        <v>72</v>
      </c>
      <c r="G518" s="4" t="s">
        <v>134</v>
      </c>
      <c r="H518" s="4" t="s">
        <v>108</v>
      </c>
      <c r="I518" s="24" t="s">
        <v>122</v>
      </c>
      <c r="J518" s="15">
        <v>3</v>
      </c>
      <c r="K518" s="15">
        <v>2</v>
      </c>
      <c r="L518" s="15">
        <v>3</v>
      </c>
      <c r="M518" s="15">
        <v>3</v>
      </c>
      <c r="N518" s="15">
        <v>1</v>
      </c>
      <c r="O518" s="15">
        <v>2</v>
      </c>
      <c r="P518" s="15" t="s">
        <v>415</v>
      </c>
      <c r="Q518" s="23" t="s">
        <v>416</v>
      </c>
      <c r="R518" s="25">
        <f>ROUND((K518*Parametros!$B$4+L518*Parametros!$B$5+M518*Parametros!$B$6+N518*Parametros!$B$7+O518*Parametros!$B$8)/SUM(Parametros!$B$4:$B$8),2)</f>
        <v>2.25</v>
      </c>
      <c r="S518" s="26">
        <f>IFERROR(INDEX(Parametros!$F$33:$F$42,MATCH(D518,Parametros!$A$33:$A$42,0)),1)</f>
        <v>1.034</v>
      </c>
      <c r="T518" s="27">
        <f>IFERROR(INDEX(Parametros!$B$21:$B$26,MATCH(I518,Parametros!$A$21:$A$26,0)),0)</f>
        <v>0</v>
      </c>
      <c r="U518" s="28">
        <f t="shared" si="33"/>
        <v>2.33</v>
      </c>
      <c r="V518" s="9">
        <f>IF(U518&gt;=Parametros!$B$14,4,IF(U518&gt;=Parametros!$B$13,3,IF(U518&gt;=Parametros!$B$12,2,1)))</f>
        <v>1</v>
      </c>
      <c r="W518" s="5">
        <f>MAX(V518,IF(K518=5,Parametros!$B$17,0),IF(P518="Sim",Parametros!$B$18,0))</f>
        <v>1</v>
      </c>
      <c r="X518" s="5" t="str">
        <f t="shared" si="34"/>
        <v>Baixa</v>
      </c>
      <c r="Y518" s="29">
        <f t="shared" si="35"/>
        <v>1022.9994819999999</v>
      </c>
      <c r="Z518" s="4" t="s">
        <v>659</v>
      </c>
    </row>
    <row r="519" spans="1:26" ht="28.05" customHeight="1" x14ac:dyDescent="0.3">
      <c r="A519" s="5">
        <f t="shared" si="32"/>
        <v>515</v>
      </c>
      <c r="B519" s="23" t="s">
        <v>1226</v>
      </c>
      <c r="C519" s="17" t="s">
        <v>1227</v>
      </c>
      <c r="D519" s="4" t="s">
        <v>50</v>
      </c>
      <c r="E519" s="4" t="s">
        <v>65</v>
      </c>
      <c r="F519" s="4" t="s">
        <v>65</v>
      </c>
      <c r="G519" s="4" t="s">
        <v>171</v>
      </c>
      <c r="H519" s="4" t="s">
        <v>172</v>
      </c>
      <c r="I519" s="24" t="s">
        <v>152</v>
      </c>
      <c r="J519" s="15">
        <v>3</v>
      </c>
      <c r="K519" s="15">
        <v>3</v>
      </c>
      <c r="L519" s="15">
        <v>3</v>
      </c>
      <c r="M519" s="15">
        <v>1</v>
      </c>
      <c r="N519" s="15">
        <v>2</v>
      </c>
      <c r="O519" s="15">
        <v>1</v>
      </c>
      <c r="P519" s="15" t="s">
        <v>415</v>
      </c>
      <c r="Q519" s="23" t="s">
        <v>838</v>
      </c>
      <c r="R519" s="25">
        <f>ROUND((K519*Parametros!$B$4+L519*Parametros!$B$5+M519*Parametros!$B$6+N519*Parametros!$B$7+O519*Parametros!$B$8)/SUM(Parametros!$B$4:$B$8),2)</f>
        <v>2.15</v>
      </c>
      <c r="S519" s="26">
        <f>IFERROR(INDEX(Parametros!$F$33:$F$42,MATCH(D519,Parametros!$A$33:$A$42,0)),1)</f>
        <v>1.0840000000000001</v>
      </c>
      <c r="T519" s="27">
        <f>IFERROR(INDEX(Parametros!$B$21:$B$26,MATCH(I519,Parametros!$A$21:$A$26,0)),0)</f>
        <v>0</v>
      </c>
      <c r="U519" s="28">
        <f t="shared" si="33"/>
        <v>2.33</v>
      </c>
      <c r="V519" s="9">
        <f>IF(U519&gt;=Parametros!$B$14,4,IF(U519&gt;=Parametros!$B$13,3,IF(U519&gt;=Parametros!$B$12,2,1)))</f>
        <v>1</v>
      </c>
      <c r="W519" s="5">
        <f>MAX(V519,IF(K519=5,Parametros!$B$17,0),IF(P519="Sim",Parametros!$B$18,0))</f>
        <v>1</v>
      </c>
      <c r="X519" s="5" t="str">
        <f t="shared" si="34"/>
        <v>Baixa</v>
      </c>
      <c r="Y519" s="29">
        <f t="shared" si="35"/>
        <v>1022.9994809999999</v>
      </c>
      <c r="Z519" s="4" t="s">
        <v>659</v>
      </c>
    </row>
    <row r="520" spans="1:26" ht="28.05" customHeight="1" x14ac:dyDescent="0.3">
      <c r="A520" s="5">
        <f t="shared" si="32"/>
        <v>516</v>
      </c>
      <c r="B520" s="23" t="s">
        <v>1228</v>
      </c>
      <c r="C520" s="17" t="s">
        <v>1229</v>
      </c>
      <c r="D520" s="4" t="s">
        <v>50</v>
      </c>
      <c r="E520" s="4" t="s">
        <v>345</v>
      </c>
      <c r="F520" s="4" t="s">
        <v>345</v>
      </c>
      <c r="G520" s="4" t="s">
        <v>184</v>
      </c>
      <c r="H520" s="4" t="s">
        <v>185</v>
      </c>
      <c r="I520" s="24" t="s">
        <v>152</v>
      </c>
      <c r="J520" s="15">
        <v>3</v>
      </c>
      <c r="K520" s="15">
        <v>3</v>
      </c>
      <c r="L520" s="15">
        <v>3</v>
      </c>
      <c r="M520" s="15">
        <v>1</v>
      </c>
      <c r="N520" s="15">
        <v>1</v>
      </c>
      <c r="O520" s="15">
        <v>2</v>
      </c>
      <c r="P520" s="15" t="s">
        <v>415</v>
      </c>
      <c r="Q520" s="23" t="s">
        <v>838</v>
      </c>
      <c r="R520" s="25">
        <f>ROUND((K520*Parametros!$B$4+L520*Parametros!$B$5+M520*Parametros!$B$6+N520*Parametros!$B$7+O520*Parametros!$B$8)/SUM(Parametros!$B$4:$B$8),2)</f>
        <v>2.15</v>
      </c>
      <c r="S520" s="26">
        <f>IFERROR(INDEX(Parametros!$F$33:$F$42,MATCH(D520,Parametros!$A$33:$A$42,0)),1)</f>
        <v>1.0840000000000001</v>
      </c>
      <c r="T520" s="27">
        <f>IFERROR(INDEX(Parametros!$B$21:$B$26,MATCH(I520,Parametros!$A$21:$A$26,0)),0)</f>
        <v>0</v>
      </c>
      <c r="U520" s="28">
        <f t="shared" si="33"/>
        <v>2.33</v>
      </c>
      <c r="V520" s="9">
        <f>IF(U520&gt;=Parametros!$B$14,4,IF(U520&gt;=Parametros!$B$13,3,IF(U520&gt;=Parametros!$B$12,2,1)))</f>
        <v>1</v>
      </c>
      <c r="W520" s="5">
        <f>MAX(V520,IF(K520=5,Parametros!$B$17,0),IF(P520="Sim",Parametros!$B$18,0))</f>
        <v>1</v>
      </c>
      <c r="X520" s="5" t="str">
        <f t="shared" si="34"/>
        <v>Baixa</v>
      </c>
      <c r="Y520" s="29">
        <f t="shared" si="35"/>
        <v>1022.9994799999999</v>
      </c>
      <c r="Z520" s="4" t="s">
        <v>659</v>
      </c>
    </row>
    <row r="521" spans="1:26" ht="28.05" customHeight="1" x14ac:dyDescent="0.3">
      <c r="A521" s="5">
        <f t="shared" si="32"/>
        <v>517</v>
      </c>
      <c r="B521" s="23" t="s">
        <v>1230</v>
      </c>
      <c r="C521" s="17" t="s">
        <v>1231</v>
      </c>
      <c r="D521" s="4" t="s">
        <v>50</v>
      </c>
      <c r="E521" s="4" t="s">
        <v>70</v>
      </c>
      <c r="F521" s="4" t="s">
        <v>70</v>
      </c>
      <c r="G521" s="4" t="s">
        <v>184</v>
      </c>
      <c r="H521" s="4" t="s">
        <v>185</v>
      </c>
      <c r="I521" s="24" t="s">
        <v>152</v>
      </c>
      <c r="J521" s="15">
        <v>3</v>
      </c>
      <c r="K521" s="15">
        <v>3</v>
      </c>
      <c r="L521" s="15">
        <v>3</v>
      </c>
      <c r="M521" s="15">
        <v>1</v>
      </c>
      <c r="N521" s="15">
        <v>2</v>
      </c>
      <c r="O521" s="15">
        <v>1</v>
      </c>
      <c r="P521" s="15" t="s">
        <v>415</v>
      </c>
      <c r="Q521" s="23" t="s">
        <v>838</v>
      </c>
      <c r="R521" s="25">
        <f>ROUND((K521*Parametros!$B$4+L521*Parametros!$B$5+M521*Parametros!$B$6+N521*Parametros!$B$7+O521*Parametros!$B$8)/SUM(Parametros!$B$4:$B$8),2)</f>
        <v>2.15</v>
      </c>
      <c r="S521" s="26">
        <f>IFERROR(INDEX(Parametros!$F$33:$F$42,MATCH(D521,Parametros!$A$33:$A$42,0)),1)</f>
        <v>1.0840000000000001</v>
      </c>
      <c r="T521" s="27">
        <f>IFERROR(INDEX(Parametros!$B$21:$B$26,MATCH(I521,Parametros!$A$21:$A$26,0)),0)</f>
        <v>0</v>
      </c>
      <c r="U521" s="28">
        <f t="shared" si="33"/>
        <v>2.33</v>
      </c>
      <c r="V521" s="9">
        <f>IF(U521&gt;=Parametros!$B$14,4,IF(U521&gt;=Parametros!$B$13,3,IF(U521&gt;=Parametros!$B$12,2,1)))</f>
        <v>1</v>
      </c>
      <c r="W521" s="5">
        <f>MAX(V521,IF(K521=5,Parametros!$B$17,0),IF(P521="Sim",Parametros!$B$18,0))</f>
        <v>1</v>
      </c>
      <c r="X521" s="5" t="str">
        <f t="shared" si="34"/>
        <v>Baixa</v>
      </c>
      <c r="Y521" s="29">
        <f t="shared" si="35"/>
        <v>1022.999479</v>
      </c>
      <c r="Z521" s="4" t="s">
        <v>659</v>
      </c>
    </row>
    <row r="522" spans="1:26" ht="28.05" customHeight="1" x14ac:dyDescent="0.3">
      <c r="A522" s="5">
        <f t="shared" si="32"/>
        <v>518</v>
      </c>
      <c r="B522" s="23" t="s">
        <v>1232</v>
      </c>
      <c r="C522" s="17" t="s">
        <v>1233</v>
      </c>
      <c r="D522" s="4" t="s">
        <v>54</v>
      </c>
      <c r="E522" s="4" t="s">
        <v>1234</v>
      </c>
      <c r="F522" s="4" t="s">
        <v>1234</v>
      </c>
      <c r="G522" s="4" t="s">
        <v>134</v>
      </c>
      <c r="H522" s="4" t="s">
        <v>108</v>
      </c>
      <c r="I522" s="24" t="s">
        <v>152</v>
      </c>
      <c r="J522" s="15">
        <v>4</v>
      </c>
      <c r="K522" s="15">
        <v>2</v>
      </c>
      <c r="L522" s="15">
        <v>3</v>
      </c>
      <c r="M522" s="15">
        <v>3</v>
      </c>
      <c r="N522" s="15">
        <v>2</v>
      </c>
      <c r="O522" s="15">
        <v>1</v>
      </c>
      <c r="P522" s="15" t="s">
        <v>415</v>
      </c>
      <c r="Q522" s="23" t="s">
        <v>416</v>
      </c>
      <c r="R522" s="25">
        <f>ROUND((K522*Parametros!$B$4+L522*Parametros!$B$5+M522*Parametros!$B$6+N522*Parametros!$B$7+O522*Parametros!$B$8)/SUM(Parametros!$B$4:$B$8),2)</f>
        <v>2.25</v>
      </c>
      <c r="S522" s="26">
        <f>IFERROR(INDEX(Parametros!$F$33:$F$42,MATCH(D522,Parametros!$A$33:$A$42,0)),1)</f>
        <v>1.034</v>
      </c>
      <c r="T522" s="27">
        <f>IFERROR(INDEX(Parametros!$B$21:$B$26,MATCH(I522,Parametros!$A$21:$A$26,0)),0)</f>
        <v>0</v>
      </c>
      <c r="U522" s="28">
        <f t="shared" si="33"/>
        <v>2.33</v>
      </c>
      <c r="V522" s="9">
        <f>IF(U522&gt;=Parametros!$B$14,4,IF(U522&gt;=Parametros!$B$13,3,IF(U522&gt;=Parametros!$B$12,2,1)))</f>
        <v>1</v>
      </c>
      <c r="W522" s="5">
        <f>MAX(V522,IF(K522=5,Parametros!$B$17,0),IF(P522="Sim",Parametros!$B$18,0))</f>
        <v>1</v>
      </c>
      <c r="X522" s="5" t="str">
        <f t="shared" si="34"/>
        <v>Baixa</v>
      </c>
      <c r="Y522" s="29">
        <f t="shared" si="35"/>
        <v>1022.8994779999999</v>
      </c>
      <c r="Z522" s="4" t="s">
        <v>659</v>
      </c>
    </row>
    <row r="523" spans="1:26" ht="28.05" customHeight="1" x14ac:dyDescent="0.3">
      <c r="A523" s="5">
        <f t="shared" si="32"/>
        <v>519</v>
      </c>
      <c r="B523" s="23" t="s">
        <v>1235</v>
      </c>
      <c r="C523" s="17" t="s">
        <v>1236</v>
      </c>
      <c r="D523" s="4" t="s">
        <v>52</v>
      </c>
      <c r="E523" s="4" t="s">
        <v>64</v>
      </c>
      <c r="F523" s="4" t="s">
        <v>64</v>
      </c>
      <c r="G523" s="4" t="s">
        <v>112</v>
      </c>
      <c r="H523" s="4" t="s">
        <v>108</v>
      </c>
      <c r="I523" s="24" t="s">
        <v>131</v>
      </c>
      <c r="J523" s="15">
        <v>3</v>
      </c>
      <c r="K523" s="15">
        <v>2</v>
      </c>
      <c r="L523" s="15">
        <v>2</v>
      </c>
      <c r="M523" s="15">
        <v>3</v>
      </c>
      <c r="N523" s="15">
        <v>1</v>
      </c>
      <c r="O523" s="15">
        <v>3</v>
      </c>
      <c r="P523" s="15" t="s">
        <v>415</v>
      </c>
      <c r="Q523" s="23" t="s">
        <v>838</v>
      </c>
      <c r="R523" s="25">
        <f>ROUND((K523*Parametros!$B$4+L523*Parametros!$B$5+M523*Parametros!$B$6+N523*Parametros!$B$7+O523*Parametros!$B$8)/SUM(Parametros!$B$4:$B$8),2)</f>
        <v>2.2000000000000002</v>
      </c>
      <c r="S523" s="26">
        <f>IFERROR(INDEX(Parametros!$F$33:$F$42,MATCH(D523,Parametros!$A$33:$A$42,0)),1)</f>
        <v>1.05</v>
      </c>
      <c r="T523" s="27">
        <f>IFERROR(INDEX(Parametros!$B$21:$B$26,MATCH(I523,Parametros!$A$21:$A$26,0)),0)</f>
        <v>0</v>
      </c>
      <c r="U523" s="28">
        <f t="shared" si="33"/>
        <v>2.31</v>
      </c>
      <c r="V523" s="9">
        <f>IF(U523&gt;=Parametros!$B$14,4,IF(U523&gt;=Parametros!$B$13,3,IF(U523&gt;=Parametros!$B$12,2,1)))</f>
        <v>1</v>
      </c>
      <c r="W523" s="5">
        <f>MAX(V523,IF(K523=5,Parametros!$B$17,0),IF(P523="Sim",Parametros!$B$18,0))</f>
        <v>1</v>
      </c>
      <c r="X523" s="5" t="str">
        <f t="shared" si="34"/>
        <v>Baixa</v>
      </c>
      <c r="Y523" s="29">
        <f t="shared" si="35"/>
        <v>1022.799477</v>
      </c>
      <c r="Z523" s="4" t="s">
        <v>659</v>
      </c>
    </row>
    <row r="524" spans="1:26" ht="28.05" customHeight="1" x14ac:dyDescent="0.3">
      <c r="A524" s="5">
        <f t="shared" si="32"/>
        <v>520</v>
      </c>
      <c r="B524" s="23" t="s">
        <v>1237</v>
      </c>
      <c r="C524" s="17" t="s">
        <v>1238</v>
      </c>
      <c r="D524" s="4" t="s">
        <v>49</v>
      </c>
      <c r="E524" s="4" t="s">
        <v>81</v>
      </c>
      <c r="F524" s="4" t="s">
        <v>81</v>
      </c>
      <c r="G524" s="4" t="s">
        <v>171</v>
      </c>
      <c r="H524" s="4" t="s">
        <v>172</v>
      </c>
      <c r="I524" s="24" t="s">
        <v>152</v>
      </c>
      <c r="J524" s="15">
        <v>3</v>
      </c>
      <c r="K524" s="15">
        <v>1</v>
      </c>
      <c r="L524" s="15">
        <v>3</v>
      </c>
      <c r="M524" s="15">
        <v>3</v>
      </c>
      <c r="N524" s="15">
        <v>1</v>
      </c>
      <c r="O524" s="15">
        <v>3</v>
      </c>
      <c r="P524" s="15" t="s">
        <v>415</v>
      </c>
      <c r="Q524" s="23" t="s">
        <v>838</v>
      </c>
      <c r="R524" s="25">
        <f>ROUND((K524*Parametros!$B$4+L524*Parametros!$B$5+M524*Parametros!$B$6+N524*Parametros!$B$7+O524*Parametros!$B$8)/SUM(Parametros!$B$4:$B$8),2)</f>
        <v>2.1</v>
      </c>
      <c r="S524" s="26">
        <f>IFERROR(INDEX(Parametros!$F$33:$F$42,MATCH(D524,Parametros!$A$33:$A$42,0)),1)</f>
        <v>1.1000000000000001</v>
      </c>
      <c r="T524" s="27">
        <f>IFERROR(INDEX(Parametros!$B$21:$B$26,MATCH(I524,Parametros!$A$21:$A$26,0)),0)</f>
        <v>0</v>
      </c>
      <c r="U524" s="28">
        <f t="shared" si="33"/>
        <v>2.31</v>
      </c>
      <c r="V524" s="9">
        <f>IF(U524&gt;=Parametros!$B$14,4,IF(U524&gt;=Parametros!$B$13,3,IF(U524&gt;=Parametros!$B$12,2,1)))</f>
        <v>1</v>
      </c>
      <c r="W524" s="5">
        <f>MAX(V524,IF(K524=5,Parametros!$B$17,0),IF(P524="Sim",Parametros!$B$18,0))</f>
        <v>1</v>
      </c>
      <c r="X524" s="5" t="str">
        <f t="shared" si="34"/>
        <v>Baixa</v>
      </c>
      <c r="Y524" s="29">
        <f t="shared" si="35"/>
        <v>1022.799476</v>
      </c>
      <c r="Z524" s="4" t="s">
        <v>659</v>
      </c>
    </row>
    <row r="525" spans="1:26" ht="28.05" customHeight="1" x14ac:dyDescent="0.3">
      <c r="A525" s="5">
        <f t="shared" si="32"/>
        <v>521</v>
      </c>
      <c r="B525" s="23" t="s">
        <v>1239</v>
      </c>
      <c r="C525" s="17" t="s">
        <v>1215</v>
      </c>
      <c r="D525" s="4" t="s">
        <v>56</v>
      </c>
      <c r="E525" s="4" t="s">
        <v>83</v>
      </c>
      <c r="F525" s="4" t="s">
        <v>83</v>
      </c>
      <c r="G525" s="4" t="s">
        <v>134</v>
      </c>
      <c r="H525" s="4" t="s">
        <v>108</v>
      </c>
      <c r="I525" s="24" t="s">
        <v>152</v>
      </c>
      <c r="J525" s="15">
        <v>2</v>
      </c>
      <c r="K525" s="15">
        <v>3</v>
      </c>
      <c r="L525" s="15">
        <v>2</v>
      </c>
      <c r="M525" s="15">
        <v>1</v>
      </c>
      <c r="N525" s="15">
        <v>2</v>
      </c>
      <c r="O525" s="15">
        <v>3</v>
      </c>
      <c r="P525" s="15" t="s">
        <v>415</v>
      </c>
      <c r="Q525" s="23" t="s">
        <v>416</v>
      </c>
      <c r="R525" s="25">
        <f>ROUND((K525*Parametros!$B$4+L525*Parametros!$B$5+M525*Parametros!$B$6+N525*Parametros!$B$7+O525*Parametros!$B$8)/SUM(Parametros!$B$4:$B$8),2)</f>
        <v>2.25</v>
      </c>
      <c r="S525" s="26">
        <f>IFERROR(INDEX(Parametros!$F$33:$F$42,MATCH(D525,Parametros!$A$33:$A$42,0)),1)</f>
        <v>1.0169999999999999</v>
      </c>
      <c r="T525" s="27">
        <f>IFERROR(INDEX(Parametros!$B$21:$B$26,MATCH(I525,Parametros!$A$21:$A$26,0)),0)</f>
        <v>0</v>
      </c>
      <c r="U525" s="28">
        <f t="shared" si="33"/>
        <v>2.29</v>
      </c>
      <c r="V525" s="9">
        <f>IF(U525&gt;=Parametros!$B$14,4,IF(U525&gt;=Parametros!$B$13,3,IF(U525&gt;=Parametros!$B$12,2,1)))</f>
        <v>1</v>
      </c>
      <c r="W525" s="5">
        <f>MAX(V525,IF(K525=5,Parametros!$B$17,0),IF(P525="Sim",Parametros!$B$18,0))</f>
        <v>1</v>
      </c>
      <c r="X525" s="5" t="str">
        <f t="shared" si="34"/>
        <v>Baixa</v>
      </c>
      <c r="Y525" s="29">
        <f t="shared" si="35"/>
        <v>1022.6994749999999</v>
      </c>
      <c r="Z525" s="4" t="s">
        <v>659</v>
      </c>
    </row>
    <row r="526" spans="1:26" ht="28.05" customHeight="1" x14ac:dyDescent="0.3">
      <c r="A526" s="5">
        <f t="shared" si="32"/>
        <v>522</v>
      </c>
      <c r="B526" s="23" t="s">
        <v>1240</v>
      </c>
      <c r="C526" s="17" t="s">
        <v>1217</v>
      </c>
      <c r="D526" s="4" t="s">
        <v>56</v>
      </c>
      <c r="E526" s="4" t="s">
        <v>71</v>
      </c>
      <c r="F526" s="4" t="s">
        <v>71</v>
      </c>
      <c r="G526" s="4" t="s">
        <v>112</v>
      </c>
      <c r="H526" s="4" t="s">
        <v>108</v>
      </c>
      <c r="I526" s="24" t="s">
        <v>152</v>
      </c>
      <c r="J526" s="15">
        <v>2</v>
      </c>
      <c r="K526" s="15">
        <v>3</v>
      </c>
      <c r="L526" s="15">
        <v>2</v>
      </c>
      <c r="M526" s="15">
        <v>1</v>
      </c>
      <c r="N526" s="15">
        <v>2</v>
      </c>
      <c r="O526" s="15">
        <v>3</v>
      </c>
      <c r="P526" s="15" t="s">
        <v>415</v>
      </c>
      <c r="Q526" s="23" t="s">
        <v>416</v>
      </c>
      <c r="R526" s="25">
        <f>ROUND((K526*Parametros!$B$4+L526*Parametros!$B$5+M526*Parametros!$B$6+N526*Parametros!$B$7+O526*Parametros!$B$8)/SUM(Parametros!$B$4:$B$8),2)</f>
        <v>2.25</v>
      </c>
      <c r="S526" s="26">
        <f>IFERROR(INDEX(Parametros!$F$33:$F$42,MATCH(D526,Parametros!$A$33:$A$42,0)),1)</f>
        <v>1.0169999999999999</v>
      </c>
      <c r="T526" s="27">
        <f>IFERROR(INDEX(Parametros!$B$21:$B$26,MATCH(I526,Parametros!$A$21:$A$26,0)),0)</f>
        <v>0</v>
      </c>
      <c r="U526" s="28">
        <f t="shared" si="33"/>
        <v>2.29</v>
      </c>
      <c r="V526" s="9">
        <f>IF(U526&gt;=Parametros!$B$14,4,IF(U526&gt;=Parametros!$B$13,3,IF(U526&gt;=Parametros!$B$12,2,1)))</f>
        <v>1</v>
      </c>
      <c r="W526" s="5">
        <f>MAX(V526,IF(K526=5,Parametros!$B$17,0),IF(P526="Sim",Parametros!$B$18,0))</f>
        <v>1</v>
      </c>
      <c r="X526" s="5" t="str">
        <f t="shared" si="34"/>
        <v>Baixa</v>
      </c>
      <c r="Y526" s="29">
        <f t="shared" si="35"/>
        <v>1022.6994739999999</v>
      </c>
      <c r="Z526" s="4" t="s">
        <v>659</v>
      </c>
    </row>
    <row r="527" spans="1:26" ht="28.05" customHeight="1" x14ac:dyDescent="0.3">
      <c r="A527" s="5">
        <f t="shared" si="32"/>
        <v>523</v>
      </c>
      <c r="B527" s="23" t="s">
        <v>1241</v>
      </c>
      <c r="C527" s="17" t="s">
        <v>1242</v>
      </c>
      <c r="D527" s="4" t="s">
        <v>51</v>
      </c>
      <c r="E527" s="4" t="s">
        <v>194</v>
      </c>
      <c r="F527" s="4" t="s">
        <v>194</v>
      </c>
      <c r="G527" s="4" t="s">
        <v>184</v>
      </c>
      <c r="H527" s="4" t="s">
        <v>185</v>
      </c>
      <c r="I527" s="24" t="s">
        <v>122</v>
      </c>
      <c r="J527" s="15">
        <v>3</v>
      </c>
      <c r="K527" s="15">
        <v>2</v>
      </c>
      <c r="L527" s="15">
        <v>2</v>
      </c>
      <c r="M527" s="15">
        <v>2</v>
      </c>
      <c r="N527" s="15">
        <v>2</v>
      </c>
      <c r="O527" s="15">
        <v>3</v>
      </c>
      <c r="P527" s="15" t="s">
        <v>415</v>
      </c>
      <c r="Q527" s="23" t="s">
        <v>838</v>
      </c>
      <c r="R527" s="25">
        <f>ROUND((K527*Parametros!$B$4+L527*Parametros!$B$5+M527*Parametros!$B$6+N527*Parametros!$B$7+O527*Parametros!$B$8)/SUM(Parametros!$B$4:$B$8),2)</f>
        <v>2.15</v>
      </c>
      <c r="S527" s="26">
        <f>IFERROR(INDEX(Parametros!$F$33:$F$42,MATCH(D527,Parametros!$A$33:$A$42,0)),1)</f>
        <v>1.0669999999999999</v>
      </c>
      <c r="T527" s="27">
        <f>IFERROR(INDEX(Parametros!$B$21:$B$26,MATCH(I527,Parametros!$A$21:$A$26,0)),0)</f>
        <v>0</v>
      </c>
      <c r="U527" s="28">
        <f t="shared" si="33"/>
        <v>2.29</v>
      </c>
      <c r="V527" s="9">
        <f>IF(U527&gt;=Parametros!$B$14,4,IF(U527&gt;=Parametros!$B$13,3,IF(U527&gt;=Parametros!$B$12,2,1)))</f>
        <v>1</v>
      </c>
      <c r="W527" s="5">
        <f>MAX(V527,IF(K527=5,Parametros!$B$17,0),IF(P527="Sim",Parametros!$B$18,0))</f>
        <v>1</v>
      </c>
      <c r="X527" s="5" t="str">
        <f t="shared" si="34"/>
        <v>Baixa</v>
      </c>
      <c r="Y527" s="29">
        <f t="shared" si="35"/>
        <v>1022.599473</v>
      </c>
      <c r="Z527" s="4" t="s">
        <v>659</v>
      </c>
    </row>
    <row r="528" spans="1:26" ht="28.05" customHeight="1" x14ac:dyDescent="0.3">
      <c r="A528" s="5">
        <f t="shared" si="32"/>
        <v>524</v>
      </c>
      <c r="B528" s="23" t="s">
        <v>1243</v>
      </c>
      <c r="C528" s="17" t="s">
        <v>1244</v>
      </c>
      <c r="D528" s="4" t="s">
        <v>50</v>
      </c>
      <c r="E528" s="4" t="s">
        <v>65</v>
      </c>
      <c r="F528" s="4" t="s">
        <v>65</v>
      </c>
      <c r="G528" s="4" t="s">
        <v>184</v>
      </c>
      <c r="H528" s="4" t="s">
        <v>185</v>
      </c>
      <c r="I528" s="24" t="s">
        <v>152</v>
      </c>
      <c r="J528" s="15">
        <v>2</v>
      </c>
      <c r="K528" s="15">
        <v>1</v>
      </c>
      <c r="L528" s="15">
        <v>3</v>
      </c>
      <c r="M528" s="15">
        <v>3</v>
      </c>
      <c r="N528" s="15">
        <v>1</v>
      </c>
      <c r="O528" s="15">
        <v>3</v>
      </c>
      <c r="P528" s="15" t="s">
        <v>415</v>
      </c>
      <c r="Q528" s="23" t="s">
        <v>838</v>
      </c>
      <c r="R528" s="25">
        <f>ROUND((K528*Parametros!$B$4+L528*Parametros!$B$5+M528*Parametros!$B$6+N528*Parametros!$B$7+O528*Parametros!$B$8)/SUM(Parametros!$B$4:$B$8),2)</f>
        <v>2.1</v>
      </c>
      <c r="S528" s="26">
        <f>IFERROR(INDEX(Parametros!$F$33:$F$42,MATCH(D528,Parametros!$A$33:$A$42,0)),1)</f>
        <v>1.0840000000000001</v>
      </c>
      <c r="T528" s="27">
        <f>IFERROR(INDEX(Parametros!$B$21:$B$26,MATCH(I528,Parametros!$A$21:$A$26,0)),0)</f>
        <v>0</v>
      </c>
      <c r="U528" s="28">
        <f t="shared" si="33"/>
        <v>2.2799999999999998</v>
      </c>
      <c r="V528" s="9">
        <f>IF(U528&gt;=Parametros!$B$14,4,IF(U528&gt;=Parametros!$B$13,3,IF(U528&gt;=Parametros!$B$12,2,1)))</f>
        <v>1</v>
      </c>
      <c r="W528" s="5">
        <f>MAX(V528,IF(K528=5,Parametros!$B$17,0),IF(P528="Sim",Parametros!$B$18,0))</f>
        <v>1</v>
      </c>
      <c r="X528" s="5" t="str">
        <f t="shared" si="34"/>
        <v>Baixa</v>
      </c>
      <c r="Y528" s="29">
        <f t="shared" si="35"/>
        <v>1022.5994719999999</v>
      </c>
      <c r="Z528" s="4" t="s">
        <v>659</v>
      </c>
    </row>
    <row r="529" spans="1:26" ht="28.05" customHeight="1" x14ac:dyDescent="0.3">
      <c r="A529" s="5">
        <f t="shared" si="32"/>
        <v>525</v>
      </c>
      <c r="B529" s="23" t="s">
        <v>1245</v>
      </c>
      <c r="C529" s="17" t="s">
        <v>1246</v>
      </c>
      <c r="D529" s="4" t="s">
        <v>50</v>
      </c>
      <c r="E529" s="4" t="s">
        <v>86</v>
      </c>
      <c r="F529" s="4" t="s">
        <v>86</v>
      </c>
      <c r="G529" s="4" t="s">
        <v>171</v>
      </c>
      <c r="H529" s="4" t="s">
        <v>172</v>
      </c>
      <c r="I529" s="24" t="s">
        <v>152</v>
      </c>
      <c r="J529" s="15">
        <v>2</v>
      </c>
      <c r="K529" s="15">
        <v>1</v>
      </c>
      <c r="L529" s="15">
        <v>3</v>
      </c>
      <c r="M529" s="15">
        <v>3</v>
      </c>
      <c r="N529" s="15">
        <v>1</v>
      </c>
      <c r="O529" s="15">
        <v>3</v>
      </c>
      <c r="P529" s="15" t="s">
        <v>415</v>
      </c>
      <c r="Q529" s="23" t="s">
        <v>838</v>
      </c>
      <c r="R529" s="25">
        <f>ROUND((K529*Parametros!$B$4+L529*Parametros!$B$5+M529*Parametros!$B$6+N529*Parametros!$B$7+O529*Parametros!$B$8)/SUM(Parametros!$B$4:$B$8),2)</f>
        <v>2.1</v>
      </c>
      <c r="S529" s="26">
        <f>IFERROR(INDEX(Parametros!$F$33:$F$42,MATCH(D529,Parametros!$A$33:$A$42,0)),1)</f>
        <v>1.0840000000000001</v>
      </c>
      <c r="T529" s="27">
        <f>IFERROR(INDEX(Parametros!$B$21:$B$26,MATCH(I529,Parametros!$A$21:$A$26,0)),0)</f>
        <v>0</v>
      </c>
      <c r="U529" s="28">
        <f t="shared" si="33"/>
        <v>2.2799999999999998</v>
      </c>
      <c r="V529" s="9">
        <f>IF(U529&gt;=Parametros!$B$14,4,IF(U529&gt;=Parametros!$B$13,3,IF(U529&gt;=Parametros!$B$12,2,1)))</f>
        <v>1</v>
      </c>
      <c r="W529" s="5">
        <f>MAX(V529,IF(K529=5,Parametros!$B$17,0),IF(P529="Sim",Parametros!$B$18,0))</f>
        <v>1</v>
      </c>
      <c r="X529" s="5" t="str">
        <f t="shared" si="34"/>
        <v>Baixa</v>
      </c>
      <c r="Y529" s="29">
        <f t="shared" si="35"/>
        <v>1022.5994709999999</v>
      </c>
      <c r="Z529" s="4" t="s">
        <v>659</v>
      </c>
    </row>
    <row r="530" spans="1:26" ht="28.05" customHeight="1" x14ac:dyDescent="0.3">
      <c r="A530" s="5">
        <f t="shared" si="32"/>
        <v>526</v>
      </c>
      <c r="B530" s="23" t="s">
        <v>1247</v>
      </c>
      <c r="C530" s="17" t="s">
        <v>1248</v>
      </c>
      <c r="D530" s="4" t="s">
        <v>50</v>
      </c>
      <c r="E530" s="4" t="s">
        <v>345</v>
      </c>
      <c r="F530" s="4" t="s">
        <v>539</v>
      </c>
      <c r="G530" s="4" t="s">
        <v>171</v>
      </c>
      <c r="H530" s="4" t="s">
        <v>172</v>
      </c>
      <c r="I530" s="24" t="s">
        <v>152</v>
      </c>
      <c r="J530" s="15">
        <v>2</v>
      </c>
      <c r="K530" s="15">
        <v>1</v>
      </c>
      <c r="L530" s="15">
        <v>3</v>
      </c>
      <c r="M530" s="15">
        <v>3</v>
      </c>
      <c r="N530" s="15">
        <v>1</v>
      </c>
      <c r="O530" s="15">
        <v>3</v>
      </c>
      <c r="P530" s="15" t="s">
        <v>415</v>
      </c>
      <c r="Q530" s="23" t="s">
        <v>838</v>
      </c>
      <c r="R530" s="25">
        <f>ROUND((K530*Parametros!$B$4+L530*Parametros!$B$5+M530*Parametros!$B$6+N530*Parametros!$B$7+O530*Parametros!$B$8)/SUM(Parametros!$B$4:$B$8),2)</f>
        <v>2.1</v>
      </c>
      <c r="S530" s="26">
        <f>IFERROR(INDEX(Parametros!$F$33:$F$42,MATCH(D530,Parametros!$A$33:$A$42,0)),1)</f>
        <v>1.0840000000000001</v>
      </c>
      <c r="T530" s="27">
        <f>IFERROR(INDEX(Parametros!$B$21:$B$26,MATCH(I530,Parametros!$A$21:$A$26,0)),0)</f>
        <v>0</v>
      </c>
      <c r="U530" s="28">
        <f t="shared" si="33"/>
        <v>2.2799999999999998</v>
      </c>
      <c r="V530" s="9">
        <f>IF(U530&gt;=Parametros!$B$14,4,IF(U530&gt;=Parametros!$B$13,3,IF(U530&gt;=Parametros!$B$12,2,1)))</f>
        <v>1</v>
      </c>
      <c r="W530" s="5">
        <f>MAX(V530,IF(K530=5,Parametros!$B$17,0),IF(P530="Sim",Parametros!$B$18,0))</f>
        <v>1</v>
      </c>
      <c r="X530" s="5" t="str">
        <f t="shared" si="34"/>
        <v>Baixa</v>
      </c>
      <c r="Y530" s="29">
        <f t="shared" si="35"/>
        <v>1022.5994699999999</v>
      </c>
      <c r="Z530" s="4" t="s">
        <v>659</v>
      </c>
    </row>
    <row r="531" spans="1:26" ht="28.05" customHeight="1" x14ac:dyDescent="0.3">
      <c r="A531" s="5">
        <f t="shared" si="32"/>
        <v>527</v>
      </c>
      <c r="B531" s="23" t="s">
        <v>1249</v>
      </c>
      <c r="C531" s="17" t="s">
        <v>1250</v>
      </c>
      <c r="D531" s="4" t="s">
        <v>50</v>
      </c>
      <c r="E531" s="4" t="s">
        <v>1175</v>
      </c>
      <c r="F531" s="4" t="s">
        <v>1176</v>
      </c>
      <c r="G531" s="4" t="s">
        <v>171</v>
      </c>
      <c r="H531" s="4" t="s">
        <v>172</v>
      </c>
      <c r="I531" s="24" t="s">
        <v>152</v>
      </c>
      <c r="J531" s="15">
        <v>2</v>
      </c>
      <c r="K531" s="15">
        <v>1</v>
      </c>
      <c r="L531" s="15">
        <v>3</v>
      </c>
      <c r="M531" s="15">
        <v>3</v>
      </c>
      <c r="N531" s="15">
        <v>1</v>
      </c>
      <c r="O531" s="15">
        <v>3</v>
      </c>
      <c r="P531" s="15" t="s">
        <v>415</v>
      </c>
      <c r="Q531" s="23" t="s">
        <v>838</v>
      </c>
      <c r="R531" s="25">
        <f>ROUND((K531*Parametros!$B$4+L531*Parametros!$B$5+M531*Parametros!$B$6+N531*Parametros!$B$7+O531*Parametros!$B$8)/SUM(Parametros!$B$4:$B$8),2)</f>
        <v>2.1</v>
      </c>
      <c r="S531" s="26">
        <f>IFERROR(INDEX(Parametros!$F$33:$F$42,MATCH(D531,Parametros!$A$33:$A$42,0)),1)</f>
        <v>1.0840000000000001</v>
      </c>
      <c r="T531" s="27">
        <f>IFERROR(INDEX(Parametros!$B$21:$B$26,MATCH(I531,Parametros!$A$21:$A$26,0)),0)</f>
        <v>0</v>
      </c>
      <c r="U531" s="28">
        <f t="shared" si="33"/>
        <v>2.2799999999999998</v>
      </c>
      <c r="V531" s="9">
        <f>IF(U531&gt;=Parametros!$B$14,4,IF(U531&gt;=Parametros!$B$13,3,IF(U531&gt;=Parametros!$B$12,2,1)))</f>
        <v>1</v>
      </c>
      <c r="W531" s="5">
        <f>MAX(V531,IF(K531=5,Parametros!$B$17,0),IF(P531="Sim",Parametros!$B$18,0))</f>
        <v>1</v>
      </c>
      <c r="X531" s="5" t="str">
        <f t="shared" si="34"/>
        <v>Baixa</v>
      </c>
      <c r="Y531" s="29">
        <f t="shared" si="35"/>
        <v>1022.5994689999999</v>
      </c>
      <c r="Z531" s="4" t="s">
        <v>659</v>
      </c>
    </row>
    <row r="532" spans="1:26" ht="28.05" customHeight="1" x14ac:dyDescent="0.3">
      <c r="A532" s="5">
        <f t="shared" si="32"/>
        <v>528</v>
      </c>
      <c r="B532" s="23" t="s">
        <v>1251</v>
      </c>
      <c r="C532" s="17" t="s">
        <v>1252</v>
      </c>
      <c r="D532" s="4" t="s">
        <v>50</v>
      </c>
      <c r="E532" s="4" t="s">
        <v>75</v>
      </c>
      <c r="F532" s="4" t="s">
        <v>75</v>
      </c>
      <c r="G532" s="4" t="s">
        <v>171</v>
      </c>
      <c r="H532" s="4" t="s">
        <v>172</v>
      </c>
      <c r="I532" s="24" t="s">
        <v>152</v>
      </c>
      <c r="J532" s="15">
        <v>2</v>
      </c>
      <c r="K532" s="15">
        <v>1</v>
      </c>
      <c r="L532" s="15">
        <v>3</v>
      </c>
      <c r="M532" s="15">
        <v>3</v>
      </c>
      <c r="N532" s="15">
        <v>1</v>
      </c>
      <c r="O532" s="15">
        <v>3</v>
      </c>
      <c r="P532" s="15" t="s">
        <v>415</v>
      </c>
      <c r="Q532" s="23" t="s">
        <v>838</v>
      </c>
      <c r="R532" s="25">
        <f>ROUND((K532*Parametros!$B$4+L532*Parametros!$B$5+M532*Parametros!$B$6+N532*Parametros!$B$7+O532*Parametros!$B$8)/SUM(Parametros!$B$4:$B$8),2)</f>
        <v>2.1</v>
      </c>
      <c r="S532" s="26">
        <f>IFERROR(INDEX(Parametros!$F$33:$F$42,MATCH(D532,Parametros!$A$33:$A$42,0)),1)</f>
        <v>1.0840000000000001</v>
      </c>
      <c r="T532" s="27">
        <f>IFERROR(INDEX(Parametros!$B$21:$B$26,MATCH(I532,Parametros!$A$21:$A$26,0)),0)</f>
        <v>0</v>
      </c>
      <c r="U532" s="28">
        <f t="shared" si="33"/>
        <v>2.2799999999999998</v>
      </c>
      <c r="V532" s="9">
        <f>IF(U532&gt;=Parametros!$B$14,4,IF(U532&gt;=Parametros!$B$13,3,IF(U532&gt;=Parametros!$B$12,2,1)))</f>
        <v>1</v>
      </c>
      <c r="W532" s="5">
        <f>MAX(V532,IF(K532=5,Parametros!$B$17,0),IF(P532="Sim",Parametros!$B$18,0))</f>
        <v>1</v>
      </c>
      <c r="X532" s="5" t="str">
        <f t="shared" si="34"/>
        <v>Baixa</v>
      </c>
      <c r="Y532" s="29">
        <f t="shared" si="35"/>
        <v>1022.5994679999999</v>
      </c>
      <c r="Z532" s="4" t="s">
        <v>659</v>
      </c>
    </row>
    <row r="533" spans="1:26" ht="28.05" customHeight="1" x14ac:dyDescent="0.3">
      <c r="A533" s="5">
        <f t="shared" si="32"/>
        <v>529</v>
      </c>
      <c r="B533" s="23" t="s">
        <v>1253</v>
      </c>
      <c r="C533" s="17" t="s">
        <v>1254</v>
      </c>
      <c r="D533" s="4" t="s">
        <v>54</v>
      </c>
      <c r="E533" s="4" t="s">
        <v>64</v>
      </c>
      <c r="F533" s="4" t="s">
        <v>64</v>
      </c>
      <c r="G533" s="4" t="s">
        <v>171</v>
      </c>
      <c r="H533" s="4" t="s">
        <v>172</v>
      </c>
      <c r="I533" s="24" t="s">
        <v>152</v>
      </c>
      <c r="J533" s="15">
        <v>2</v>
      </c>
      <c r="K533" s="15">
        <v>2</v>
      </c>
      <c r="L533" s="15">
        <v>3</v>
      </c>
      <c r="M533" s="15">
        <v>2</v>
      </c>
      <c r="N533" s="15">
        <v>2</v>
      </c>
      <c r="O533" s="15">
        <v>2</v>
      </c>
      <c r="P533" s="15" t="s">
        <v>415</v>
      </c>
      <c r="Q533" s="23" t="s">
        <v>416</v>
      </c>
      <c r="R533" s="25">
        <f>ROUND((K533*Parametros!$B$4+L533*Parametros!$B$5+M533*Parametros!$B$6+N533*Parametros!$B$7+O533*Parametros!$B$8)/SUM(Parametros!$B$4:$B$8),2)</f>
        <v>2.2000000000000002</v>
      </c>
      <c r="S533" s="26">
        <f>IFERROR(INDEX(Parametros!$F$33:$F$42,MATCH(D533,Parametros!$A$33:$A$42,0)),1)</f>
        <v>1.034</v>
      </c>
      <c r="T533" s="27">
        <f>IFERROR(INDEX(Parametros!$B$21:$B$26,MATCH(I533,Parametros!$A$21:$A$26,0)),0)</f>
        <v>0</v>
      </c>
      <c r="U533" s="28">
        <f t="shared" si="33"/>
        <v>2.27</v>
      </c>
      <c r="V533" s="9">
        <f>IF(U533&gt;=Parametros!$B$14,4,IF(U533&gt;=Parametros!$B$13,3,IF(U533&gt;=Parametros!$B$12,2,1)))</f>
        <v>1</v>
      </c>
      <c r="W533" s="5">
        <f>MAX(V533,IF(K533=5,Parametros!$B$17,0),IF(P533="Sim",Parametros!$B$18,0))</f>
        <v>1</v>
      </c>
      <c r="X533" s="5" t="str">
        <f t="shared" si="34"/>
        <v>Baixa</v>
      </c>
      <c r="Y533" s="29">
        <f t="shared" si="35"/>
        <v>1022.499467</v>
      </c>
      <c r="Z533" s="4" t="s">
        <v>659</v>
      </c>
    </row>
    <row r="534" spans="1:26" ht="28.05" customHeight="1" x14ac:dyDescent="0.3">
      <c r="A534" s="5">
        <f t="shared" si="32"/>
        <v>530</v>
      </c>
      <c r="B534" s="23" t="s">
        <v>1255</v>
      </c>
      <c r="C534" s="17" t="s">
        <v>1256</v>
      </c>
      <c r="D534" s="4" t="s">
        <v>50</v>
      </c>
      <c r="E534" s="4" t="s">
        <v>70</v>
      </c>
      <c r="F534" s="4" t="s">
        <v>70</v>
      </c>
      <c r="G534" s="4" t="s">
        <v>171</v>
      </c>
      <c r="H534" s="4" t="s">
        <v>172</v>
      </c>
      <c r="I534" s="24" t="s">
        <v>152</v>
      </c>
      <c r="J534" s="15">
        <v>3</v>
      </c>
      <c r="K534" s="15">
        <v>1</v>
      </c>
      <c r="L534" s="15">
        <v>3</v>
      </c>
      <c r="M534" s="15">
        <v>3</v>
      </c>
      <c r="N534" s="15">
        <v>1</v>
      </c>
      <c r="O534" s="15">
        <v>3</v>
      </c>
      <c r="P534" s="15" t="s">
        <v>415</v>
      </c>
      <c r="Q534" s="23" t="s">
        <v>838</v>
      </c>
      <c r="R534" s="25">
        <f>ROUND((K534*Parametros!$B$4+L534*Parametros!$B$5+M534*Parametros!$B$6+N534*Parametros!$B$7+O534*Parametros!$B$8)/SUM(Parametros!$B$4:$B$8),2)</f>
        <v>2.1</v>
      </c>
      <c r="S534" s="26">
        <f>IFERROR(INDEX(Parametros!$F$33:$F$42,MATCH(D534,Parametros!$A$33:$A$42,0)),1)</f>
        <v>1.0840000000000001</v>
      </c>
      <c r="T534" s="27">
        <f>IFERROR(INDEX(Parametros!$B$21:$B$26,MATCH(I534,Parametros!$A$21:$A$26,0)),0)</f>
        <v>0</v>
      </c>
      <c r="U534" s="28">
        <f t="shared" si="33"/>
        <v>2.2799999999999998</v>
      </c>
      <c r="V534" s="9">
        <f>IF(U534&gt;=Parametros!$B$14,4,IF(U534&gt;=Parametros!$B$13,3,IF(U534&gt;=Parametros!$B$12,2,1)))</f>
        <v>1</v>
      </c>
      <c r="W534" s="5">
        <f>MAX(V534,IF(K534=5,Parametros!$B$17,0),IF(P534="Sim",Parametros!$B$18,0))</f>
        <v>1</v>
      </c>
      <c r="X534" s="5" t="str">
        <f t="shared" si="34"/>
        <v>Baixa</v>
      </c>
      <c r="Y534" s="29">
        <f t="shared" si="35"/>
        <v>1022.499466</v>
      </c>
      <c r="Z534" s="4" t="s">
        <v>659</v>
      </c>
    </row>
    <row r="535" spans="1:26" ht="28.05" customHeight="1" x14ac:dyDescent="0.3">
      <c r="A535" s="5">
        <f t="shared" si="32"/>
        <v>531</v>
      </c>
      <c r="B535" s="23" t="s">
        <v>1257</v>
      </c>
      <c r="C535" s="17" t="s">
        <v>1258</v>
      </c>
      <c r="D535" s="4" t="s">
        <v>50</v>
      </c>
      <c r="E535" s="4" t="s">
        <v>75</v>
      </c>
      <c r="F535" s="4" t="s">
        <v>75</v>
      </c>
      <c r="G535" s="4" t="s">
        <v>171</v>
      </c>
      <c r="H535" s="4" t="s">
        <v>172</v>
      </c>
      <c r="I535" s="24" t="s">
        <v>152</v>
      </c>
      <c r="J535" s="15">
        <v>3</v>
      </c>
      <c r="K535" s="15">
        <v>1</v>
      </c>
      <c r="L535" s="15">
        <v>3</v>
      </c>
      <c r="M535" s="15">
        <v>3</v>
      </c>
      <c r="N535" s="15">
        <v>1</v>
      </c>
      <c r="O535" s="15">
        <v>3</v>
      </c>
      <c r="P535" s="15" t="s">
        <v>415</v>
      </c>
      <c r="Q535" s="23" t="s">
        <v>838</v>
      </c>
      <c r="R535" s="25">
        <f>ROUND((K535*Parametros!$B$4+L535*Parametros!$B$5+M535*Parametros!$B$6+N535*Parametros!$B$7+O535*Parametros!$B$8)/SUM(Parametros!$B$4:$B$8),2)</f>
        <v>2.1</v>
      </c>
      <c r="S535" s="26">
        <f>IFERROR(INDEX(Parametros!$F$33:$F$42,MATCH(D535,Parametros!$A$33:$A$42,0)),1)</f>
        <v>1.0840000000000001</v>
      </c>
      <c r="T535" s="27">
        <f>IFERROR(INDEX(Parametros!$B$21:$B$26,MATCH(I535,Parametros!$A$21:$A$26,0)),0)</f>
        <v>0</v>
      </c>
      <c r="U535" s="28">
        <f t="shared" si="33"/>
        <v>2.2799999999999998</v>
      </c>
      <c r="V535" s="9">
        <f>IF(U535&gt;=Parametros!$B$14,4,IF(U535&gt;=Parametros!$B$13,3,IF(U535&gt;=Parametros!$B$12,2,1)))</f>
        <v>1</v>
      </c>
      <c r="W535" s="5">
        <f>MAX(V535,IF(K535=5,Parametros!$B$17,0),IF(P535="Sim",Parametros!$B$18,0))</f>
        <v>1</v>
      </c>
      <c r="X535" s="5" t="str">
        <f t="shared" si="34"/>
        <v>Baixa</v>
      </c>
      <c r="Y535" s="29">
        <f t="shared" si="35"/>
        <v>1022.499465</v>
      </c>
      <c r="Z535" s="4" t="s">
        <v>659</v>
      </c>
    </row>
    <row r="536" spans="1:26" ht="28.05" customHeight="1" x14ac:dyDescent="0.3">
      <c r="A536" s="5">
        <f t="shared" si="32"/>
        <v>532</v>
      </c>
      <c r="B536" s="23" t="s">
        <v>1259</v>
      </c>
      <c r="C536" s="17" t="s">
        <v>1260</v>
      </c>
      <c r="D536" s="4" t="s">
        <v>50</v>
      </c>
      <c r="E536" s="4" t="s">
        <v>75</v>
      </c>
      <c r="F536" s="4" t="s">
        <v>75</v>
      </c>
      <c r="G536" s="4" t="s">
        <v>171</v>
      </c>
      <c r="H536" s="4" t="s">
        <v>172</v>
      </c>
      <c r="I536" s="24" t="s">
        <v>131</v>
      </c>
      <c r="J536" s="15">
        <v>3</v>
      </c>
      <c r="K536" s="15">
        <v>2</v>
      </c>
      <c r="L536" s="15">
        <v>2</v>
      </c>
      <c r="M536" s="15">
        <v>1</v>
      </c>
      <c r="N536" s="15">
        <v>3</v>
      </c>
      <c r="O536" s="15">
        <v>3</v>
      </c>
      <c r="P536" s="15" t="s">
        <v>415</v>
      </c>
      <c r="Q536" s="23" t="s">
        <v>838</v>
      </c>
      <c r="R536" s="25">
        <f>ROUND((K536*Parametros!$B$4+L536*Parametros!$B$5+M536*Parametros!$B$6+N536*Parametros!$B$7+O536*Parametros!$B$8)/SUM(Parametros!$B$4:$B$8),2)</f>
        <v>2.1</v>
      </c>
      <c r="S536" s="26">
        <f>IFERROR(INDEX(Parametros!$F$33:$F$42,MATCH(D536,Parametros!$A$33:$A$42,0)),1)</f>
        <v>1.0840000000000001</v>
      </c>
      <c r="T536" s="27">
        <f>IFERROR(INDEX(Parametros!$B$21:$B$26,MATCH(I536,Parametros!$A$21:$A$26,0)),0)</f>
        <v>0</v>
      </c>
      <c r="U536" s="28">
        <f t="shared" si="33"/>
        <v>2.2799999999999998</v>
      </c>
      <c r="V536" s="9">
        <f>IF(U536&gt;=Parametros!$B$14,4,IF(U536&gt;=Parametros!$B$13,3,IF(U536&gt;=Parametros!$B$12,2,1)))</f>
        <v>1</v>
      </c>
      <c r="W536" s="5">
        <f>MAX(V536,IF(K536=5,Parametros!$B$17,0),IF(P536="Sim",Parametros!$B$18,0))</f>
        <v>1</v>
      </c>
      <c r="X536" s="5" t="str">
        <f t="shared" si="34"/>
        <v>Baixa</v>
      </c>
      <c r="Y536" s="29">
        <f t="shared" si="35"/>
        <v>1022.499464</v>
      </c>
      <c r="Z536" s="4" t="s">
        <v>659</v>
      </c>
    </row>
    <row r="537" spans="1:26" ht="28.05" customHeight="1" x14ac:dyDescent="0.3">
      <c r="A537" s="5">
        <f t="shared" si="32"/>
        <v>533</v>
      </c>
      <c r="B537" s="23" t="s">
        <v>1261</v>
      </c>
      <c r="C537" s="17" t="s">
        <v>1262</v>
      </c>
      <c r="D537" s="4" t="s">
        <v>50</v>
      </c>
      <c r="E537" s="4" t="s">
        <v>70</v>
      </c>
      <c r="F537" s="4" t="s">
        <v>70</v>
      </c>
      <c r="G537" s="4" t="s">
        <v>171</v>
      </c>
      <c r="H537" s="4" t="s">
        <v>172</v>
      </c>
      <c r="I537" s="24" t="s">
        <v>152</v>
      </c>
      <c r="J537" s="15">
        <v>3</v>
      </c>
      <c r="K537" s="15">
        <v>1</v>
      </c>
      <c r="L537" s="15">
        <v>3</v>
      </c>
      <c r="M537" s="15">
        <v>3</v>
      </c>
      <c r="N537" s="15">
        <v>1</v>
      </c>
      <c r="O537" s="15">
        <v>3</v>
      </c>
      <c r="P537" s="15" t="s">
        <v>415</v>
      </c>
      <c r="Q537" s="23" t="s">
        <v>838</v>
      </c>
      <c r="R537" s="25">
        <f>ROUND((K537*Parametros!$B$4+L537*Parametros!$B$5+M537*Parametros!$B$6+N537*Parametros!$B$7+O537*Parametros!$B$8)/SUM(Parametros!$B$4:$B$8),2)</f>
        <v>2.1</v>
      </c>
      <c r="S537" s="26">
        <f>IFERROR(INDEX(Parametros!$F$33:$F$42,MATCH(D537,Parametros!$A$33:$A$42,0)),1)</f>
        <v>1.0840000000000001</v>
      </c>
      <c r="T537" s="27">
        <f>IFERROR(INDEX(Parametros!$B$21:$B$26,MATCH(I537,Parametros!$A$21:$A$26,0)),0)</f>
        <v>0</v>
      </c>
      <c r="U537" s="28">
        <f t="shared" si="33"/>
        <v>2.2799999999999998</v>
      </c>
      <c r="V537" s="9">
        <f>IF(U537&gt;=Parametros!$B$14,4,IF(U537&gt;=Parametros!$B$13,3,IF(U537&gt;=Parametros!$B$12,2,1)))</f>
        <v>1</v>
      </c>
      <c r="W537" s="5">
        <f>MAX(V537,IF(K537=5,Parametros!$B$17,0),IF(P537="Sim",Parametros!$B$18,0))</f>
        <v>1</v>
      </c>
      <c r="X537" s="5" t="str">
        <f t="shared" si="34"/>
        <v>Baixa</v>
      </c>
      <c r="Y537" s="29">
        <f t="shared" si="35"/>
        <v>1022.499463</v>
      </c>
      <c r="Z537" s="4" t="s">
        <v>659</v>
      </c>
    </row>
    <row r="538" spans="1:26" ht="28.05" customHeight="1" x14ac:dyDescent="0.3">
      <c r="A538" s="5">
        <f t="shared" si="32"/>
        <v>534</v>
      </c>
      <c r="B538" s="23" t="s">
        <v>1263</v>
      </c>
      <c r="C538" s="17" t="s">
        <v>1264</v>
      </c>
      <c r="D538" s="4" t="s">
        <v>50</v>
      </c>
      <c r="E538" s="4" t="s">
        <v>70</v>
      </c>
      <c r="F538" s="4" t="s">
        <v>70</v>
      </c>
      <c r="G538" s="4" t="s">
        <v>184</v>
      </c>
      <c r="H538" s="4" t="s">
        <v>185</v>
      </c>
      <c r="I538" s="24" t="s">
        <v>152</v>
      </c>
      <c r="J538" s="15">
        <v>3</v>
      </c>
      <c r="K538" s="15">
        <v>1</v>
      </c>
      <c r="L538" s="15">
        <v>3</v>
      </c>
      <c r="M538" s="15">
        <v>3</v>
      </c>
      <c r="N538" s="15">
        <v>1</v>
      </c>
      <c r="O538" s="15">
        <v>3</v>
      </c>
      <c r="P538" s="15" t="s">
        <v>415</v>
      </c>
      <c r="Q538" s="23" t="s">
        <v>838</v>
      </c>
      <c r="R538" s="25">
        <f>ROUND((K538*Parametros!$B$4+L538*Parametros!$B$5+M538*Parametros!$B$6+N538*Parametros!$B$7+O538*Parametros!$B$8)/SUM(Parametros!$B$4:$B$8),2)</f>
        <v>2.1</v>
      </c>
      <c r="S538" s="26">
        <f>IFERROR(INDEX(Parametros!$F$33:$F$42,MATCH(D538,Parametros!$A$33:$A$42,0)),1)</f>
        <v>1.0840000000000001</v>
      </c>
      <c r="T538" s="27">
        <f>IFERROR(INDEX(Parametros!$B$21:$B$26,MATCH(I538,Parametros!$A$21:$A$26,0)),0)</f>
        <v>0</v>
      </c>
      <c r="U538" s="28">
        <f t="shared" si="33"/>
        <v>2.2799999999999998</v>
      </c>
      <c r="V538" s="9">
        <f>IF(U538&gt;=Parametros!$B$14,4,IF(U538&gt;=Parametros!$B$13,3,IF(U538&gt;=Parametros!$B$12,2,1)))</f>
        <v>1</v>
      </c>
      <c r="W538" s="5">
        <f>MAX(V538,IF(K538=5,Parametros!$B$17,0),IF(P538="Sim",Parametros!$B$18,0))</f>
        <v>1</v>
      </c>
      <c r="X538" s="5" t="str">
        <f t="shared" si="34"/>
        <v>Baixa</v>
      </c>
      <c r="Y538" s="29">
        <f t="shared" si="35"/>
        <v>1022.499462</v>
      </c>
      <c r="Z538" s="4" t="s">
        <v>659</v>
      </c>
    </row>
    <row r="539" spans="1:26" ht="28.05" customHeight="1" x14ac:dyDescent="0.3">
      <c r="A539" s="5">
        <f t="shared" si="32"/>
        <v>535</v>
      </c>
      <c r="B539" s="23" t="s">
        <v>1265</v>
      </c>
      <c r="C539" s="17" t="s">
        <v>1266</v>
      </c>
      <c r="D539" s="4" t="s">
        <v>50</v>
      </c>
      <c r="E539" s="4" t="s">
        <v>75</v>
      </c>
      <c r="F539" s="4" t="s">
        <v>75</v>
      </c>
      <c r="G539" s="4" t="s">
        <v>171</v>
      </c>
      <c r="H539" s="4" t="s">
        <v>172</v>
      </c>
      <c r="I539" s="24" t="s">
        <v>152</v>
      </c>
      <c r="J539" s="15">
        <v>3</v>
      </c>
      <c r="K539" s="15">
        <v>1</v>
      </c>
      <c r="L539" s="15">
        <v>3</v>
      </c>
      <c r="M539" s="15">
        <v>3</v>
      </c>
      <c r="N539" s="15">
        <v>1</v>
      </c>
      <c r="O539" s="15">
        <v>3</v>
      </c>
      <c r="P539" s="15" t="s">
        <v>415</v>
      </c>
      <c r="Q539" s="23" t="s">
        <v>838</v>
      </c>
      <c r="R539" s="25">
        <f>ROUND((K539*Parametros!$B$4+L539*Parametros!$B$5+M539*Parametros!$B$6+N539*Parametros!$B$7+O539*Parametros!$B$8)/SUM(Parametros!$B$4:$B$8),2)</f>
        <v>2.1</v>
      </c>
      <c r="S539" s="26">
        <f>IFERROR(INDEX(Parametros!$F$33:$F$42,MATCH(D539,Parametros!$A$33:$A$42,0)),1)</f>
        <v>1.0840000000000001</v>
      </c>
      <c r="T539" s="27">
        <f>IFERROR(INDEX(Parametros!$B$21:$B$26,MATCH(I539,Parametros!$A$21:$A$26,0)),0)</f>
        <v>0</v>
      </c>
      <c r="U539" s="28">
        <f t="shared" si="33"/>
        <v>2.2799999999999998</v>
      </c>
      <c r="V539" s="9">
        <f>IF(U539&gt;=Parametros!$B$14,4,IF(U539&gt;=Parametros!$B$13,3,IF(U539&gt;=Parametros!$B$12,2,1)))</f>
        <v>1</v>
      </c>
      <c r="W539" s="5">
        <f>MAX(V539,IF(K539=5,Parametros!$B$17,0),IF(P539="Sim",Parametros!$B$18,0))</f>
        <v>1</v>
      </c>
      <c r="X539" s="5" t="str">
        <f t="shared" si="34"/>
        <v>Baixa</v>
      </c>
      <c r="Y539" s="29">
        <f t="shared" si="35"/>
        <v>1022.499461</v>
      </c>
      <c r="Z539" s="4" t="s">
        <v>659</v>
      </c>
    </row>
    <row r="540" spans="1:26" ht="28.05" customHeight="1" x14ac:dyDescent="0.3">
      <c r="A540" s="5">
        <f t="shared" si="32"/>
        <v>536</v>
      </c>
      <c r="B540" s="23" t="s">
        <v>1267</v>
      </c>
      <c r="C540" s="17" t="s">
        <v>1268</v>
      </c>
      <c r="D540" s="4" t="s">
        <v>55</v>
      </c>
      <c r="E540" s="4" t="s">
        <v>79</v>
      </c>
      <c r="F540" s="4" t="s">
        <v>1269</v>
      </c>
      <c r="G540" s="4" t="s">
        <v>134</v>
      </c>
      <c r="H540" s="4" t="s">
        <v>108</v>
      </c>
      <c r="I540" s="24" t="s">
        <v>152</v>
      </c>
      <c r="J540" s="15">
        <v>3</v>
      </c>
      <c r="K540" s="15">
        <v>2</v>
      </c>
      <c r="L540" s="15">
        <v>3</v>
      </c>
      <c r="M540" s="15">
        <v>2</v>
      </c>
      <c r="N540" s="15">
        <v>1</v>
      </c>
      <c r="O540" s="15">
        <v>3</v>
      </c>
      <c r="P540" s="15" t="s">
        <v>415</v>
      </c>
      <c r="Q540" s="23" t="s">
        <v>416</v>
      </c>
      <c r="R540" s="25">
        <f>ROUND((K540*Parametros!$B$4+L540*Parametros!$B$5+M540*Parametros!$B$6+N540*Parametros!$B$7+O540*Parametros!$B$8)/SUM(Parametros!$B$4:$B$8),2)</f>
        <v>2.2000000000000002</v>
      </c>
      <c r="S540" s="26">
        <f>IFERROR(INDEX(Parametros!$F$33:$F$42,MATCH(D540,Parametros!$A$33:$A$42,0)),1)</f>
        <v>1.034</v>
      </c>
      <c r="T540" s="27">
        <f>IFERROR(INDEX(Parametros!$B$21:$B$26,MATCH(I540,Parametros!$A$21:$A$26,0)),0)</f>
        <v>0</v>
      </c>
      <c r="U540" s="28">
        <f t="shared" si="33"/>
        <v>2.27</v>
      </c>
      <c r="V540" s="9">
        <f>IF(U540&gt;=Parametros!$B$14,4,IF(U540&gt;=Parametros!$B$13,3,IF(U540&gt;=Parametros!$B$12,2,1)))</f>
        <v>1</v>
      </c>
      <c r="W540" s="5">
        <f>MAX(V540,IF(K540=5,Parametros!$B$17,0),IF(P540="Sim",Parametros!$B$18,0))</f>
        <v>1</v>
      </c>
      <c r="X540" s="5" t="str">
        <f t="shared" si="34"/>
        <v>Baixa</v>
      </c>
      <c r="Y540" s="29">
        <f t="shared" si="35"/>
        <v>1022.3994600000001</v>
      </c>
      <c r="Z540" s="4" t="s">
        <v>659</v>
      </c>
    </row>
    <row r="541" spans="1:26" ht="28.05" customHeight="1" x14ac:dyDescent="0.3">
      <c r="A541" s="5">
        <f t="shared" si="32"/>
        <v>537</v>
      </c>
      <c r="B541" s="23" t="s">
        <v>1270</v>
      </c>
      <c r="C541" s="17" t="s">
        <v>1271</v>
      </c>
      <c r="D541" s="4" t="s">
        <v>54</v>
      </c>
      <c r="E541" s="4" t="s">
        <v>72</v>
      </c>
      <c r="F541" s="4" t="s">
        <v>72</v>
      </c>
      <c r="G541" s="4" t="s">
        <v>134</v>
      </c>
      <c r="H541" s="4" t="s">
        <v>108</v>
      </c>
      <c r="I541" s="24" t="s">
        <v>152</v>
      </c>
      <c r="J541" s="15">
        <v>3</v>
      </c>
      <c r="K541" s="15">
        <v>2</v>
      </c>
      <c r="L541" s="15">
        <v>2</v>
      </c>
      <c r="M541" s="15">
        <v>3</v>
      </c>
      <c r="N541" s="15">
        <v>2</v>
      </c>
      <c r="O541" s="15">
        <v>2</v>
      </c>
      <c r="P541" s="15" t="s">
        <v>415</v>
      </c>
      <c r="Q541" s="23" t="s">
        <v>416</v>
      </c>
      <c r="R541" s="25">
        <f>ROUND((K541*Parametros!$B$4+L541*Parametros!$B$5+M541*Parametros!$B$6+N541*Parametros!$B$7+O541*Parametros!$B$8)/SUM(Parametros!$B$4:$B$8),2)</f>
        <v>2.2000000000000002</v>
      </c>
      <c r="S541" s="26">
        <f>IFERROR(INDEX(Parametros!$F$33:$F$42,MATCH(D541,Parametros!$A$33:$A$42,0)),1)</f>
        <v>1.034</v>
      </c>
      <c r="T541" s="27">
        <f>IFERROR(INDEX(Parametros!$B$21:$B$26,MATCH(I541,Parametros!$A$21:$A$26,0)),0)</f>
        <v>0</v>
      </c>
      <c r="U541" s="28">
        <f t="shared" si="33"/>
        <v>2.27</v>
      </c>
      <c r="V541" s="9">
        <f>IF(U541&gt;=Parametros!$B$14,4,IF(U541&gt;=Parametros!$B$13,3,IF(U541&gt;=Parametros!$B$12,2,1)))</f>
        <v>1</v>
      </c>
      <c r="W541" s="5">
        <f>MAX(V541,IF(K541=5,Parametros!$B$17,0),IF(P541="Sim",Parametros!$B$18,0))</f>
        <v>1</v>
      </c>
      <c r="X541" s="5" t="str">
        <f t="shared" si="34"/>
        <v>Baixa</v>
      </c>
      <c r="Y541" s="29">
        <f t="shared" si="35"/>
        <v>1022.3994590000001</v>
      </c>
      <c r="Z541" s="4" t="s">
        <v>659</v>
      </c>
    </row>
    <row r="542" spans="1:26" ht="28.05" customHeight="1" x14ac:dyDescent="0.3">
      <c r="A542" s="5">
        <f t="shared" si="32"/>
        <v>538</v>
      </c>
      <c r="B542" s="23" t="s">
        <v>1272</v>
      </c>
      <c r="C542" s="17" t="s">
        <v>1273</v>
      </c>
      <c r="D542" s="4" t="s">
        <v>51</v>
      </c>
      <c r="E542" s="4" t="s">
        <v>81</v>
      </c>
      <c r="F542" s="4" t="s">
        <v>81</v>
      </c>
      <c r="G542" s="4" t="s">
        <v>119</v>
      </c>
      <c r="H542" s="4" t="s">
        <v>108</v>
      </c>
      <c r="I542" s="24" t="s">
        <v>954</v>
      </c>
      <c r="J542" s="15">
        <v>2</v>
      </c>
      <c r="K542" s="15">
        <v>2</v>
      </c>
      <c r="L542" s="15">
        <v>3</v>
      </c>
      <c r="M542" s="15">
        <v>3</v>
      </c>
      <c r="N542" s="15">
        <v>2</v>
      </c>
      <c r="O542" s="15">
        <v>2</v>
      </c>
      <c r="P542" s="15" t="s">
        <v>415</v>
      </c>
      <c r="Q542" s="23" t="s">
        <v>838</v>
      </c>
      <c r="R542" s="25">
        <f>ROUND((K542*Parametros!$B$4+L542*Parametros!$B$5+M542*Parametros!$B$6+N542*Parametros!$B$7+O542*Parametros!$B$8)/SUM(Parametros!$B$4:$B$8),2)</f>
        <v>2.4</v>
      </c>
      <c r="S542" s="26">
        <f>IFERROR(INDEX(Parametros!$F$33:$F$42,MATCH(D542,Parametros!$A$33:$A$42,0)),1)</f>
        <v>1.0669999999999999</v>
      </c>
      <c r="T542" s="27">
        <f>IFERROR(INDEX(Parametros!$B$21:$B$26,MATCH(I542,Parametros!$A$21:$A$26,0)),0)</f>
        <v>-0.3</v>
      </c>
      <c r="U542" s="28">
        <f t="shared" si="33"/>
        <v>2.2599999999999998</v>
      </c>
      <c r="V542" s="9">
        <f>IF(U542&gt;=Parametros!$B$14,4,IF(U542&gt;=Parametros!$B$13,3,IF(U542&gt;=Parametros!$B$12,2,1)))</f>
        <v>1</v>
      </c>
      <c r="W542" s="5">
        <f>MAX(V542,IF(K542=5,Parametros!$B$17,0),IF(P542="Sim",Parametros!$B$18,0))</f>
        <v>1</v>
      </c>
      <c r="X542" s="5" t="str">
        <f t="shared" si="34"/>
        <v>Baixa</v>
      </c>
      <c r="Y542" s="29">
        <f t="shared" si="35"/>
        <v>1022.399458</v>
      </c>
      <c r="Z542" s="4" t="s">
        <v>1213</v>
      </c>
    </row>
    <row r="543" spans="1:26" ht="28.05" customHeight="1" x14ac:dyDescent="0.3">
      <c r="A543" s="5">
        <f t="shared" si="32"/>
        <v>539</v>
      </c>
      <c r="B543" s="23" t="s">
        <v>1274</v>
      </c>
      <c r="C543" s="17" t="s">
        <v>1273</v>
      </c>
      <c r="D543" s="4" t="s">
        <v>51</v>
      </c>
      <c r="E543" s="4" t="s">
        <v>85</v>
      </c>
      <c r="F543" s="4" t="s">
        <v>85</v>
      </c>
      <c r="G543" s="4" t="s">
        <v>119</v>
      </c>
      <c r="H543" s="4" t="s">
        <v>108</v>
      </c>
      <c r="I543" s="24" t="s">
        <v>954</v>
      </c>
      <c r="J543" s="15">
        <v>2</v>
      </c>
      <c r="K543" s="15">
        <v>2</v>
      </c>
      <c r="L543" s="15">
        <v>3</v>
      </c>
      <c r="M543" s="15">
        <v>3</v>
      </c>
      <c r="N543" s="15">
        <v>2</v>
      </c>
      <c r="O543" s="15">
        <v>2</v>
      </c>
      <c r="P543" s="15" t="s">
        <v>415</v>
      </c>
      <c r="Q543" s="23" t="s">
        <v>838</v>
      </c>
      <c r="R543" s="25">
        <f>ROUND((K543*Parametros!$B$4+L543*Parametros!$B$5+M543*Parametros!$B$6+N543*Parametros!$B$7+O543*Parametros!$B$8)/SUM(Parametros!$B$4:$B$8),2)</f>
        <v>2.4</v>
      </c>
      <c r="S543" s="26">
        <f>IFERROR(INDEX(Parametros!$F$33:$F$42,MATCH(D543,Parametros!$A$33:$A$42,0)),1)</f>
        <v>1.0669999999999999</v>
      </c>
      <c r="T543" s="27">
        <f>IFERROR(INDEX(Parametros!$B$21:$B$26,MATCH(I543,Parametros!$A$21:$A$26,0)),0)</f>
        <v>-0.3</v>
      </c>
      <c r="U543" s="28">
        <f t="shared" si="33"/>
        <v>2.2599999999999998</v>
      </c>
      <c r="V543" s="9">
        <f>IF(U543&gt;=Parametros!$B$14,4,IF(U543&gt;=Parametros!$B$13,3,IF(U543&gt;=Parametros!$B$12,2,1)))</f>
        <v>1</v>
      </c>
      <c r="W543" s="5">
        <f>MAX(V543,IF(K543=5,Parametros!$B$17,0),IF(P543="Sim",Parametros!$B$18,0))</f>
        <v>1</v>
      </c>
      <c r="X543" s="5" t="str">
        <f t="shared" si="34"/>
        <v>Baixa</v>
      </c>
      <c r="Y543" s="29">
        <f t="shared" si="35"/>
        <v>1022.399457</v>
      </c>
      <c r="Z543" s="4" t="s">
        <v>1213</v>
      </c>
    </row>
    <row r="544" spans="1:26" ht="28.05" customHeight="1" x14ac:dyDescent="0.3">
      <c r="A544" s="5">
        <f t="shared" si="32"/>
        <v>540</v>
      </c>
      <c r="B544" s="23" t="s">
        <v>1275</v>
      </c>
      <c r="C544" s="17" t="s">
        <v>1276</v>
      </c>
      <c r="D544" s="4" t="s">
        <v>48</v>
      </c>
      <c r="E544" s="4" t="s">
        <v>85</v>
      </c>
      <c r="F544" s="4" t="s">
        <v>85</v>
      </c>
      <c r="G544" s="4" t="s">
        <v>112</v>
      </c>
      <c r="H544" s="4" t="s">
        <v>108</v>
      </c>
      <c r="I544" s="24" t="s">
        <v>131</v>
      </c>
      <c r="J544" s="15">
        <v>3</v>
      </c>
      <c r="K544" s="15">
        <v>2</v>
      </c>
      <c r="L544" s="15">
        <v>2</v>
      </c>
      <c r="M544" s="15">
        <v>3</v>
      </c>
      <c r="N544" s="15">
        <v>1</v>
      </c>
      <c r="O544" s="15">
        <v>2</v>
      </c>
      <c r="P544" s="15" t="s">
        <v>415</v>
      </c>
      <c r="Q544" s="23" t="s">
        <v>416</v>
      </c>
      <c r="R544" s="25">
        <f>ROUND((K544*Parametros!$B$4+L544*Parametros!$B$5+M544*Parametros!$B$6+N544*Parametros!$B$7+O544*Parametros!$B$8)/SUM(Parametros!$B$4:$B$8),2)</f>
        <v>2.0499999999999998</v>
      </c>
      <c r="S544" s="26">
        <f>IFERROR(INDEX(Parametros!$F$33:$F$42,MATCH(D544,Parametros!$A$33:$A$42,0)),1)</f>
        <v>1.1000000000000001</v>
      </c>
      <c r="T544" s="27">
        <f>IFERROR(INDEX(Parametros!$B$21:$B$26,MATCH(I544,Parametros!$A$21:$A$26,0)),0)</f>
        <v>0</v>
      </c>
      <c r="U544" s="28">
        <f t="shared" si="33"/>
        <v>2.2599999999999998</v>
      </c>
      <c r="V544" s="9">
        <f>IF(U544&gt;=Parametros!$B$14,4,IF(U544&gt;=Parametros!$B$13,3,IF(U544&gt;=Parametros!$B$12,2,1)))</f>
        <v>1</v>
      </c>
      <c r="W544" s="5">
        <f>MAX(V544,IF(K544=5,Parametros!$B$17,0),IF(P544="Sim",Parametros!$B$18,0))</f>
        <v>1</v>
      </c>
      <c r="X544" s="5" t="str">
        <f t="shared" si="34"/>
        <v>Baixa</v>
      </c>
      <c r="Y544" s="29">
        <f t="shared" si="35"/>
        <v>1022.2994560000001</v>
      </c>
      <c r="Z544" s="4" t="s">
        <v>659</v>
      </c>
    </row>
    <row r="545" spans="1:26" ht="28.05" customHeight="1" x14ac:dyDescent="0.3">
      <c r="A545" s="5">
        <f t="shared" si="32"/>
        <v>541</v>
      </c>
      <c r="B545" s="23" t="s">
        <v>1277</v>
      </c>
      <c r="C545" s="17" t="s">
        <v>1278</v>
      </c>
      <c r="D545" s="4" t="s">
        <v>51</v>
      </c>
      <c r="E545" s="4" t="s">
        <v>69</v>
      </c>
      <c r="F545" s="4" t="s">
        <v>69</v>
      </c>
      <c r="G545" s="4" t="s">
        <v>171</v>
      </c>
      <c r="H545" s="4" t="s">
        <v>172</v>
      </c>
      <c r="I545" s="24" t="s">
        <v>152</v>
      </c>
      <c r="J545" s="15">
        <v>2</v>
      </c>
      <c r="K545" s="15">
        <v>2</v>
      </c>
      <c r="L545" s="15">
        <v>2</v>
      </c>
      <c r="M545" s="15">
        <v>1</v>
      </c>
      <c r="N545" s="15">
        <v>3</v>
      </c>
      <c r="O545" s="15">
        <v>3</v>
      </c>
      <c r="P545" s="15" t="s">
        <v>415</v>
      </c>
      <c r="Q545" s="23" t="s">
        <v>416</v>
      </c>
      <c r="R545" s="25">
        <f>ROUND((K545*Parametros!$B$4+L545*Parametros!$B$5+M545*Parametros!$B$6+N545*Parametros!$B$7+O545*Parametros!$B$8)/SUM(Parametros!$B$4:$B$8),2)</f>
        <v>2.1</v>
      </c>
      <c r="S545" s="26">
        <f>IFERROR(INDEX(Parametros!$F$33:$F$42,MATCH(D545,Parametros!$A$33:$A$42,0)),1)</f>
        <v>1.0669999999999999</v>
      </c>
      <c r="T545" s="27">
        <f>IFERROR(INDEX(Parametros!$B$21:$B$26,MATCH(I545,Parametros!$A$21:$A$26,0)),0)</f>
        <v>0</v>
      </c>
      <c r="U545" s="28">
        <f t="shared" si="33"/>
        <v>2.2400000000000002</v>
      </c>
      <c r="V545" s="9">
        <f>IF(U545&gt;=Parametros!$B$14,4,IF(U545&gt;=Parametros!$B$13,3,IF(U545&gt;=Parametros!$B$12,2,1)))</f>
        <v>1</v>
      </c>
      <c r="W545" s="5">
        <f>MAX(V545,IF(K545=5,Parametros!$B$17,0),IF(P545="Sim",Parametros!$B$18,0))</f>
        <v>1</v>
      </c>
      <c r="X545" s="5" t="str">
        <f t="shared" si="34"/>
        <v>Baixa</v>
      </c>
      <c r="Y545" s="29">
        <f t="shared" si="35"/>
        <v>1022.1994549999999</v>
      </c>
      <c r="Z545" s="4" t="s">
        <v>659</v>
      </c>
    </row>
    <row r="546" spans="1:26" ht="28.05" customHeight="1" x14ac:dyDescent="0.3">
      <c r="A546" s="5">
        <f t="shared" si="32"/>
        <v>542</v>
      </c>
      <c r="B546" s="23" t="s">
        <v>1279</v>
      </c>
      <c r="C546" s="17" t="s">
        <v>1280</v>
      </c>
      <c r="D546" s="4" t="s">
        <v>51</v>
      </c>
      <c r="E546" s="4" t="s">
        <v>69</v>
      </c>
      <c r="F546" s="4" t="s">
        <v>69</v>
      </c>
      <c r="G546" s="4" t="s">
        <v>171</v>
      </c>
      <c r="H546" s="4" t="s">
        <v>172</v>
      </c>
      <c r="I546" s="24" t="s">
        <v>152</v>
      </c>
      <c r="J546" s="15">
        <v>2</v>
      </c>
      <c r="K546" s="15">
        <v>2</v>
      </c>
      <c r="L546" s="15">
        <v>2</v>
      </c>
      <c r="M546" s="15">
        <v>1</v>
      </c>
      <c r="N546" s="15">
        <v>3</v>
      </c>
      <c r="O546" s="15">
        <v>3</v>
      </c>
      <c r="P546" s="15" t="s">
        <v>415</v>
      </c>
      <c r="Q546" s="23" t="s">
        <v>416</v>
      </c>
      <c r="R546" s="25">
        <f>ROUND((K546*Parametros!$B$4+L546*Parametros!$B$5+M546*Parametros!$B$6+N546*Parametros!$B$7+O546*Parametros!$B$8)/SUM(Parametros!$B$4:$B$8),2)</f>
        <v>2.1</v>
      </c>
      <c r="S546" s="26">
        <f>IFERROR(INDEX(Parametros!$F$33:$F$42,MATCH(D546,Parametros!$A$33:$A$42,0)),1)</f>
        <v>1.0669999999999999</v>
      </c>
      <c r="T546" s="27">
        <f>IFERROR(INDEX(Parametros!$B$21:$B$26,MATCH(I546,Parametros!$A$21:$A$26,0)),0)</f>
        <v>0</v>
      </c>
      <c r="U546" s="28">
        <f t="shared" si="33"/>
        <v>2.2400000000000002</v>
      </c>
      <c r="V546" s="9">
        <f>IF(U546&gt;=Parametros!$B$14,4,IF(U546&gt;=Parametros!$B$13,3,IF(U546&gt;=Parametros!$B$12,2,1)))</f>
        <v>1</v>
      </c>
      <c r="W546" s="5">
        <f>MAX(V546,IF(K546=5,Parametros!$B$17,0),IF(P546="Sim",Parametros!$B$18,0))</f>
        <v>1</v>
      </c>
      <c r="X546" s="5" t="str">
        <f t="shared" si="34"/>
        <v>Baixa</v>
      </c>
      <c r="Y546" s="29">
        <f t="shared" si="35"/>
        <v>1022.1994539999999</v>
      </c>
      <c r="Z546" s="4" t="s">
        <v>659</v>
      </c>
    </row>
    <row r="547" spans="1:26" ht="28.05" customHeight="1" x14ac:dyDescent="0.3">
      <c r="A547" s="5">
        <f t="shared" si="32"/>
        <v>543</v>
      </c>
      <c r="B547" s="23" t="s">
        <v>1281</v>
      </c>
      <c r="C547" s="17" t="s">
        <v>1282</v>
      </c>
      <c r="D547" s="4" t="s">
        <v>51</v>
      </c>
      <c r="E547" s="4" t="s">
        <v>170</v>
      </c>
      <c r="F547" s="4" t="s">
        <v>170</v>
      </c>
      <c r="G547" s="4" t="s">
        <v>171</v>
      </c>
      <c r="H547" s="4" t="s">
        <v>172</v>
      </c>
      <c r="I547" s="24" t="s">
        <v>152</v>
      </c>
      <c r="J547" s="15">
        <v>2</v>
      </c>
      <c r="K547" s="15">
        <v>2</v>
      </c>
      <c r="L547" s="15">
        <v>2</v>
      </c>
      <c r="M547" s="15">
        <v>1</v>
      </c>
      <c r="N547" s="15">
        <v>3</v>
      </c>
      <c r="O547" s="15">
        <v>3</v>
      </c>
      <c r="P547" s="15" t="s">
        <v>415</v>
      </c>
      <c r="Q547" s="23" t="s">
        <v>838</v>
      </c>
      <c r="R547" s="25">
        <f>ROUND((K547*Parametros!$B$4+L547*Parametros!$B$5+M547*Parametros!$B$6+N547*Parametros!$B$7+O547*Parametros!$B$8)/SUM(Parametros!$B$4:$B$8),2)</f>
        <v>2.1</v>
      </c>
      <c r="S547" s="26">
        <f>IFERROR(INDEX(Parametros!$F$33:$F$42,MATCH(D547,Parametros!$A$33:$A$42,0)),1)</f>
        <v>1.0669999999999999</v>
      </c>
      <c r="T547" s="27">
        <f>IFERROR(INDEX(Parametros!$B$21:$B$26,MATCH(I547,Parametros!$A$21:$A$26,0)),0)</f>
        <v>0</v>
      </c>
      <c r="U547" s="28">
        <f t="shared" si="33"/>
        <v>2.2400000000000002</v>
      </c>
      <c r="V547" s="9">
        <f>IF(U547&gt;=Parametros!$B$14,4,IF(U547&gt;=Parametros!$B$13,3,IF(U547&gt;=Parametros!$B$12,2,1)))</f>
        <v>1</v>
      </c>
      <c r="W547" s="5">
        <f>MAX(V547,IF(K547=5,Parametros!$B$17,0),IF(P547="Sim",Parametros!$B$18,0))</f>
        <v>1</v>
      </c>
      <c r="X547" s="5" t="str">
        <f t="shared" si="34"/>
        <v>Baixa</v>
      </c>
      <c r="Y547" s="29">
        <f t="shared" si="35"/>
        <v>1022.1994529999999</v>
      </c>
      <c r="Z547" s="4" t="s">
        <v>659</v>
      </c>
    </row>
    <row r="548" spans="1:26" ht="28.05" customHeight="1" x14ac:dyDescent="0.3">
      <c r="A548" s="5">
        <f t="shared" si="32"/>
        <v>544</v>
      </c>
      <c r="B548" s="23" t="s">
        <v>1283</v>
      </c>
      <c r="C548" s="17" t="s">
        <v>1284</v>
      </c>
      <c r="D548" s="4" t="s">
        <v>51</v>
      </c>
      <c r="E548" s="4" t="s">
        <v>170</v>
      </c>
      <c r="F548" s="4" t="s">
        <v>170</v>
      </c>
      <c r="G548" s="4" t="s">
        <v>171</v>
      </c>
      <c r="H548" s="4" t="s">
        <v>172</v>
      </c>
      <c r="I548" s="24" t="s">
        <v>152</v>
      </c>
      <c r="J548" s="15">
        <v>2</v>
      </c>
      <c r="K548" s="15">
        <v>2</v>
      </c>
      <c r="L548" s="15">
        <v>2</v>
      </c>
      <c r="M548" s="15">
        <v>1</v>
      </c>
      <c r="N548" s="15">
        <v>3</v>
      </c>
      <c r="O548" s="15">
        <v>3</v>
      </c>
      <c r="P548" s="15" t="s">
        <v>415</v>
      </c>
      <c r="Q548" s="23" t="s">
        <v>838</v>
      </c>
      <c r="R548" s="25">
        <f>ROUND((K548*Parametros!$B$4+L548*Parametros!$B$5+M548*Parametros!$B$6+N548*Parametros!$B$7+O548*Parametros!$B$8)/SUM(Parametros!$B$4:$B$8),2)</f>
        <v>2.1</v>
      </c>
      <c r="S548" s="26">
        <f>IFERROR(INDEX(Parametros!$F$33:$F$42,MATCH(D548,Parametros!$A$33:$A$42,0)),1)</f>
        <v>1.0669999999999999</v>
      </c>
      <c r="T548" s="27">
        <f>IFERROR(INDEX(Parametros!$B$21:$B$26,MATCH(I548,Parametros!$A$21:$A$26,0)),0)</f>
        <v>0</v>
      </c>
      <c r="U548" s="28">
        <f t="shared" si="33"/>
        <v>2.2400000000000002</v>
      </c>
      <c r="V548" s="9">
        <f>IF(U548&gt;=Parametros!$B$14,4,IF(U548&gt;=Parametros!$B$13,3,IF(U548&gt;=Parametros!$B$12,2,1)))</f>
        <v>1</v>
      </c>
      <c r="W548" s="5">
        <f>MAX(V548,IF(K548=5,Parametros!$B$17,0),IF(P548="Sim",Parametros!$B$18,0))</f>
        <v>1</v>
      </c>
      <c r="X548" s="5" t="str">
        <f t="shared" si="34"/>
        <v>Baixa</v>
      </c>
      <c r="Y548" s="29">
        <f t="shared" si="35"/>
        <v>1022.199452</v>
      </c>
      <c r="Z548" s="4" t="s">
        <v>659</v>
      </c>
    </row>
    <row r="549" spans="1:26" ht="28.05" customHeight="1" x14ac:dyDescent="0.3">
      <c r="A549" s="5">
        <f t="shared" si="32"/>
        <v>545</v>
      </c>
      <c r="B549" s="23" t="s">
        <v>1285</v>
      </c>
      <c r="C549" s="17" t="s">
        <v>1268</v>
      </c>
      <c r="D549" s="4" t="s">
        <v>56</v>
      </c>
      <c r="E549" s="4" t="s">
        <v>79</v>
      </c>
      <c r="F549" s="4" t="s">
        <v>1269</v>
      </c>
      <c r="G549" s="4" t="s">
        <v>134</v>
      </c>
      <c r="H549" s="4" t="s">
        <v>108</v>
      </c>
      <c r="I549" s="24" t="s">
        <v>152</v>
      </c>
      <c r="J549" s="15">
        <v>3</v>
      </c>
      <c r="K549" s="15">
        <v>2</v>
      </c>
      <c r="L549" s="15">
        <v>3</v>
      </c>
      <c r="M549" s="15">
        <v>2</v>
      </c>
      <c r="N549" s="15">
        <v>1</v>
      </c>
      <c r="O549" s="15">
        <v>3</v>
      </c>
      <c r="P549" s="15" t="s">
        <v>415</v>
      </c>
      <c r="Q549" s="23" t="s">
        <v>416</v>
      </c>
      <c r="R549" s="25">
        <f>ROUND((K549*Parametros!$B$4+L549*Parametros!$B$5+M549*Parametros!$B$6+N549*Parametros!$B$7+O549*Parametros!$B$8)/SUM(Parametros!$B$4:$B$8),2)</f>
        <v>2.2000000000000002</v>
      </c>
      <c r="S549" s="26">
        <f>IFERROR(INDEX(Parametros!$F$33:$F$42,MATCH(D549,Parametros!$A$33:$A$42,0)),1)</f>
        <v>1.0169999999999999</v>
      </c>
      <c r="T549" s="27">
        <f>IFERROR(INDEX(Parametros!$B$21:$B$26,MATCH(I549,Parametros!$A$21:$A$26,0)),0)</f>
        <v>0</v>
      </c>
      <c r="U549" s="28">
        <f t="shared" si="33"/>
        <v>2.2400000000000002</v>
      </c>
      <c r="V549" s="9">
        <f>IF(U549&gt;=Parametros!$B$14,4,IF(U549&gt;=Parametros!$B$13,3,IF(U549&gt;=Parametros!$B$12,2,1)))</f>
        <v>1</v>
      </c>
      <c r="W549" s="5">
        <f>MAX(V549,IF(K549=5,Parametros!$B$17,0),IF(P549="Sim",Parametros!$B$18,0))</f>
        <v>1</v>
      </c>
      <c r="X549" s="5" t="str">
        <f t="shared" si="34"/>
        <v>Baixa</v>
      </c>
      <c r="Y549" s="29">
        <f t="shared" si="35"/>
        <v>1022.099451</v>
      </c>
      <c r="Z549" s="4" t="s">
        <v>659</v>
      </c>
    </row>
    <row r="550" spans="1:26" ht="28.05" customHeight="1" x14ac:dyDescent="0.3">
      <c r="A550" s="5">
        <f t="shared" si="32"/>
        <v>546</v>
      </c>
      <c r="B550" s="23" t="s">
        <v>1286</v>
      </c>
      <c r="C550" s="17" t="s">
        <v>1287</v>
      </c>
      <c r="D550" s="4" t="s">
        <v>54</v>
      </c>
      <c r="E550" s="4" t="s">
        <v>78</v>
      </c>
      <c r="F550" s="4" t="s">
        <v>78</v>
      </c>
      <c r="G550" s="4" t="s">
        <v>171</v>
      </c>
      <c r="H550" s="4" t="s">
        <v>172</v>
      </c>
      <c r="I550" s="24" t="s">
        <v>152</v>
      </c>
      <c r="J550" s="15">
        <v>1</v>
      </c>
      <c r="K550" s="15">
        <v>2</v>
      </c>
      <c r="L550" s="15">
        <v>2</v>
      </c>
      <c r="M550" s="15">
        <v>2</v>
      </c>
      <c r="N550" s="15">
        <v>3</v>
      </c>
      <c r="O550" s="15">
        <v>2</v>
      </c>
      <c r="P550" s="15" t="s">
        <v>415</v>
      </c>
      <c r="Q550" s="23" t="s">
        <v>416</v>
      </c>
      <c r="R550" s="25">
        <f>ROUND((K550*Parametros!$B$4+L550*Parametros!$B$5+M550*Parametros!$B$6+N550*Parametros!$B$7+O550*Parametros!$B$8)/SUM(Parametros!$B$4:$B$8),2)</f>
        <v>2.15</v>
      </c>
      <c r="S550" s="26">
        <f>IFERROR(INDEX(Parametros!$F$33:$F$42,MATCH(D550,Parametros!$A$33:$A$42,0)),1)</f>
        <v>1.034</v>
      </c>
      <c r="T550" s="27">
        <f>IFERROR(INDEX(Parametros!$B$21:$B$26,MATCH(I550,Parametros!$A$21:$A$26,0)),0)</f>
        <v>0</v>
      </c>
      <c r="U550" s="28">
        <f t="shared" si="33"/>
        <v>2.2200000000000002</v>
      </c>
      <c r="V550" s="9">
        <f>IF(U550&gt;=Parametros!$B$14,4,IF(U550&gt;=Parametros!$B$13,3,IF(U550&gt;=Parametros!$B$12,2,1)))</f>
        <v>1</v>
      </c>
      <c r="W550" s="5">
        <f>MAX(V550,IF(K550=5,Parametros!$B$17,0),IF(P550="Sim",Parametros!$B$18,0))</f>
        <v>1</v>
      </c>
      <c r="X550" s="5" t="str">
        <f t="shared" si="34"/>
        <v>Baixa</v>
      </c>
      <c r="Y550" s="29">
        <f t="shared" si="35"/>
        <v>1022.09945</v>
      </c>
      <c r="Z550" s="4" t="s">
        <v>659</v>
      </c>
    </row>
    <row r="551" spans="1:26" ht="28.05" customHeight="1" x14ac:dyDescent="0.3">
      <c r="A551" s="5">
        <f t="shared" si="32"/>
        <v>547</v>
      </c>
      <c r="B551" s="23" t="s">
        <v>1288</v>
      </c>
      <c r="C551" s="17" t="s">
        <v>1289</v>
      </c>
      <c r="D551" s="4" t="s">
        <v>51</v>
      </c>
      <c r="E551" s="4" t="s">
        <v>170</v>
      </c>
      <c r="F551" s="4" t="s">
        <v>170</v>
      </c>
      <c r="G551" s="4" t="s">
        <v>112</v>
      </c>
      <c r="H551" s="4" t="s">
        <v>108</v>
      </c>
      <c r="I551" s="24" t="s">
        <v>131</v>
      </c>
      <c r="J551" s="15">
        <v>3</v>
      </c>
      <c r="K551" s="15">
        <v>3</v>
      </c>
      <c r="L551" s="15">
        <v>2</v>
      </c>
      <c r="M551" s="15">
        <v>1</v>
      </c>
      <c r="N551" s="15">
        <v>1</v>
      </c>
      <c r="O551" s="15">
        <v>3</v>
      </c>
      <c r="P551" s="15" t="s">
        <v>415</v>
      </c>
      <c r="Q551" s="23" t="s">
        <v>838</v>
      </c>
      <c r="R551" s="25">
        <f>ROUND((K551*Parametros!$B$4+L551*Parametros!$B$5+M551*Parametros!$B$6+N551*Parametros!$B$7+O551*Parametros!$B$8)/SUM(Parametros!$B$4:$B$8),2)</f>
        <v>2.1</v>
      </c>
      <c r="S551" s="26">
        <f>IFERROR(INDEX(Parametros!$F$33:$F$42,MATCH(D551,Parametros!$A$33:$A$42,0)),1)</f>
        <v>1.0669999999999999</v>
      </c>
      <c r="T551" s="27">
        <f>IFERROR(INDEX(Parametros!$B$21:$B$26,MATCH(I551,Parametros!$A$21:$A$26,0)),0)</f>
        <v>0</v>
      </c>
      <c r="U551" s="28">
        <f t="shared" si="33"/>
        <v>2.2400000000000002</v>
      </c>
      <c r="V551" s="9">
        <f>IF(U551&gt;=Parametros!$B$14,4,IF(U551&gt;=Parametros!$B$13,3,IF(U551&gt;=Parametros!$B$12,2,1)))</f>
        <v>1</v>
      </c>
      <c r="W551" s="5">
        <f>MAX(V551,IF(K551=5,Parametros!$B$17,0),IF(P551="Sim",Parametros!$B$18,0))</f>
        <v>1</v>
      </c>
      <c r="X551" s="5" t="str">
        <f t="shared" si="34"/>
        <v>Baixa</v>
      </c>
      <c r="Y551" s="29">
        <f t="shared" si="35"/>
        <v>1022.099449</v>
      </c>
      <c r="Z551" s="4" t="s">
        <v>659</v>
      </c>
    </row>
    <row r="552" spans="1:26" ht="28.05" customHeight="1" x14ac:dyDescent="0.3">
      <c r="A552" s="5">
        <f t="shared" si="32"/>
        <v>548</v>
      </c>
      <c r="B552" s="23" t="s">
        <v>1290</v>
      </c>
      <c r="C552" s="17" t="s">
        <v>1291</v>
      </c>
      <c r="D552" s="4" t="s">
        <v>54</v>
      </c>
      <c r="E552" s="4" t="s">
        <v>64</v>
      </c>
      <c r="F552" s="4" t="s">
        <v>64</v>
      </c>
      <c r="G552" s="4" t="s">
        <v>134</v>
      </c>
      <c r="H552" s="4" t="s">
        <v>108</v>
      </c>
      <c r="I552" s="24" t="s">
        <v>131</v>
      </c>
      <c r="J552" s="15">
        <v>3</v>
      </c>
      <c r="K552" s="15">
        <v>2</v>
      </c>
      <c r="L552" s="15">
        <v>2</v>
      </c>
      <c r="M552" s="15">
        <v>2</v>
      </c>
      <c r="N552" s="15">
        <v>3</v>
      </c>
      <c r="O552" s="15">
        <v>2</v>
      </c>
      <c r="P552" s="15" t="s">
        <v>415</v>
      </c>
      <c r="Q552" s="23" t="s">
        <v>416</v>
      </c>
      <c r="R552" s="25">
        <f>ROUND((K552*Parametros!$B$4+L552*Parametros!$B$5+M552*Parametros!$B$6+N552*Parametros!$B$7+O552*Parametros!$B$8)/SUM(Parametros!$B$4:$B$8),2)</f>
        <v>2.15</v>
      </c>
      <c r="S552" s="26">
        <f>IFERROR(INDEX(Parametros!$F$33:$F$42,MATCH(D552,Parametros!$A$33:$A$42,0)),1)</f>
        <v>1.034</v>
      </c>
      <c r="T552" s="27">
        <f>IFERROR(INDEX(Parametros!$B$21:$B$26,MATCH(I552,Parametros!$A$21:$A$26,0)),0)</f>
        <v>0</v>
      </c>
      <c r="U552" s="28">
        <f t="shared" si="33"/>
        <v>2.2200000000000002</v>
      </c>
      <c r="V552" s="9">
        <f>IF(U552&gt;=Parametros!$B$14,4,IF(U552&gt;=Parametros!$B$13,3,IF(U552&gt;=Parametros!$B$12,2,1)))</f>
        <v>1</v>
      </c>
      <c r="W552" s="5">
        <f>MAX(V552,IF(K552=5,Parametros!$B$17,0),IF(P552="Sim",Parametros!$B$18,0))</f>
        <v>1</v>
      </c>
      <c r="X552" s="5" t="str">
        <f t="shared" si="34"/>
        <v>Baixa</v>
      </c>
      <c r="Y552" s="29">
        <f t="shared" si="35"/>
        <v>1021.8994480000001</v>
      </c>
      <c r="Z552" s="4" t="s">
        <v>659</v>
      </c>
    </row>
    <row r="553" spans="1:26" ht="28.05" customHeight="1" x14ac:dyDescent="0.3">
      <c r="A553" s="5">
        <f t="shared" si="32"/>
        <v>549</v>
      </c>
      <c r="B553" s="23" t="s">
        <v>1292</v>
      </c>
      <c r="C553" s="17" t="s">
        <v>1293</v>
      </c>
      <c r="D553" s="4" t="s">
        <v>54</v>
      </c>
      <c r="E553" s="4" t="s">
        <v>64</v>
      </c>
      <c r="F553" s="4" t="s">
        <v>64</v>
      </c>
      <c r="G553" s="4" t="s">
        <v>112</v>
      </c>
      <c r="H553" s="4" t="s">
        <v>108</v>
      </c>
      <c r="I553" s="24" t="s">
        <v>131</v>
      </c>
      <c r="J553" s="15">
        <v>3</v>
      </c>
      <c r="K553" s="15">
        <v>2</v>
      </c>
      <c r="L553" s="15">
        <v>2</v>
      </c>
      <c r="M553" s="15">
        <v>2</v>
      </c>
      <c r="N553" s="15">
        <v>3</v>
      </c>
      <c r="O553" s="15">
        <v>2</v>
      </c>
      <c r="P553" s="15" t="s">
        <v>415</v>
      </c>
      <c r="Q553" s="23" t="s">
        <v>416</v>
      </c>
      <c r="R553" s="25">
        <f>ROUND((K553*Parametros!$B$4+L553*Parametros!$B$5+M553*Parametros!$B$6+N553*Parametros!$B$7+O553*Parametros!$B$8)/SUM(Parametros!$B$4:$B$8),2)</f>
        <v>2.15</v>
      </c>
      <c r="S553" s="26">
        <f>IFERROR(INDEX(Parametros!$F$33:$F$42,MATCH(D553,Parametros!$A$33:$A$42,0)),1)</f>
        <v>1.034</v>
      </c>
      <c r="T553" s="27">
        <f>IFERROR(INDEX(Parametros!$B$21:$B$26,MATCH(I553,Parametros!$A$21:$A$26,0)),0)</f>
        <v>0</v>
      </c>
      <c r="U553" s="28">
        <f t="shared" si="33"/>
        <v>2.2200000000000002</v>
      </c>
      <c r="V553" s="9">
        <f>IF(U553&gt;=Parametros!$B$14,4,IF(U553&gt;=Parametros!$B$13,3,IF(U553&gt;=Parametros!$B$12,2,1)))</f>
        <v>1</v>
      </c>
      <c r="W553" s="5">
        <f>MAX(V553,IF(K553=5,Parametros!$B$17,0),IF(P553="Sim",Parametros!$B$18,0))</f>
        <v>1</v>
      </c>
      <c r="X553" s="5" t="str">
        <f t="shared" si="34"/>
        <v>Baixa</v>
      </c>
      <c r="Y553" s="29">
        <f t="shared" si="35"/>
        <v>1021.8994470000001</v>
      </c>
      <c r="Z553" s="4" t="s">
        <v>659</v>
      </c>
    </row>
    <row r="554" spans="1:26" ht="28.05" customHeight="1" x14ac:dyDescent="0.3">
      <c r="A554" s="5">
        <f t="shared" si="32"/>
        <v>550</v>
      </c>
      <c r="B554" s="23" t="s">
        <v>1294</v>
      </c>
      <c r="C554" s="17" t="s">
        <v>1295</v>
      </c>
      <c r="D554" s="4" t="s">
        <v>53</v>
      </c>
      <c r="E554" s="4" t="s">
        <v>76</v>
      </c>
      <c r="F554" s="4" t="s">
        <v>76</v>
      </c>
      <c r="G554" s="4" t="s">
        <v>171</v>
      </c>
      <c r="H554" s="4" t="s">
        <v>172</v>
      </c>
      <c r="I554" s="24" t="s">
        <v>359</v>
      </c>
      <c r="J554" s="15">
        <v>3</v>
      </c>
      <c r="K554" s="15">
        <v>2</v>
      </c>
      <c r="L554" s="15">
        <v>3</v>
      </c>
      <c r="M554" s="15">
        <v>1</v>
      </c>
      <c r="N554" s="15">
        <v>4</v>
      </c>
      <c r="O554" s="15">
        <v>2</v>
      </c>
      <c r="P554" s="15" t="s">
        <v>415</v>
      </c>
      <c r="Q554" s="23" t="s">
        <v>416</v>
      </c>
      <c r="R554" s="25">
        <f>ROUND((K554*Parametros!$B$4+L554*Parametros!$B$5+M554*Parametros!$B$6+N554*Parametros!$B$7+O554*Parametros!$B$8)/SUM(Parametros!$B$4:$B$8),2)</f>
        <v>2.2999999999999998</v>
      </c>
      <c r="S554" s="26">
        <f>IFERROR(INDEX(Parametros!$F$33:$F$42,MATCH(D554,Parametros!$A$33:$A$42,0)),1)</f>
        <v>1.05</v>
      </c>
      <c r="T554" s="27">
        <f>IFERROR(INDEX(Parametros!$B$21:$B$26,MATCH(I554,Parametros!$A$21:$A$26,0)),0)</f>
        <v>-0.2</v>
      </c>
      <c r="U554" s="28">
        <f t="shared" si="33"/>
        <v>2.2200000000000002</v>
      </c>
      <c r="V554" s="9">
        <f>IF(U554&gt;=Parametros!$B$14,4,IF(U554&gt;=Parametros!$B$13,3,IF(U554&gt;=Parametros!$B$12,2,1)))</f>
        <v>1</v>
      </c>
      <c r="W554" s="5">
        <f>MAX(V554,IF(K554=5,Parametros!$B$17,0),IF(P554="Sim",Parametros!$B$18,0))</f>
        <v>1</v>
      </c>
      <c r="X554" s="5" t="str">
        <f t="shared" si="34"/>
        <v>Baixa</v>
      </c>
      <c r="Y554" s="29">
        <f t="shared" si="35"/>
        <v>1021.8994460000001</v>
      </c>
      <c r="Z554" s="4" t="s">
        <v>1296</v>
      </c>
    </row>
    <row r="555" spans="1:26" ht="28.05" customHeight="1" x14ac:dyDescent="0.3">
      <c r="A555" s="5">
        <f t="shared" si="32"/>
        <v>551</v>
      </c>
      <c r="B555" s="23" t="s">
        <v>1297</v>
      </c>
      <c r="C555" s="17" t="s">
        <v>1298</v>
      </c>
      <c r="D555" s="4" t="s">
        <v>53</v>
      </c>
      <c r="E555" s="4" t="s">
        <v>64</v>
      </c>
      <c r="F555" s="4" t="s">
        <v>64</v>
      </c>
      <c r="G555" s="4" t="s">
        <v>184</v>
      </c>
      <c r="H555" s="4" t="s">
        <v>185</v>
      </c>
      <c r="I555" s="24" t="s">
        <v>131</v>
      </c>
      <c r="J555" s="15">
        <v>2</v>
      </c>
      <c r="K555" s="15">
        <v>3</v>
      </c>
      <c r="L555" s="15">
        <v>2</v>
      </c>
      <c r="M555" s="15">
        <v>1</v>
      </c>
      <c r="N555" s="15">
        <v>1</v>
      </c>
      <c r="O555" s="15">
        <v>3</v>
      </c>
      <c r="P555" s="15" t="s">
        <v>415</v>
      </c>
      <c r="Q555" s="23" t="s">
        <v>838</v>
      </c>
      <c r="R555" s="25">
        <f>ROUND((K555*Parametros!$B$4+L555*Parametros!$B$5+M555*Parametros!$B$6+N555*Parametros!$B$7+O555*Parametros!$B$8)/SUM(Parametros!$B$4:$B$8),2)</f>
        <v>2.1</v>
      </c>
      <c r="S555" s="26">
        <f>IFERROR(INDEX(Parametros!$F$33:$F$42,MATCH(D555,Parametros!$A$33:$A$42,0)),1)</f>
        <v>1.05</v>
      </c>
      <c r="T555" s="27">
        <f>IFERROR(INDEX(Parametros!$B$21:$B$26,MATCH(I555,Parametros!$A$21:$A$26,0)),0)</f>
        <v>0</v>
      </c>
      <c r="U555" s="28">
        <f t="shared" si="33"/>
        <v>2.21</v>
      </c>
      <c r="V555" s="9">
        <f>IF(U555&gt;=Parametros!$B$14,4,IF(U555&gt;=Parametros!$B$13,3,IF(U555&gt;=Parametros!$B$12,2,1)))</f>
        <v>1</v>
      </c>
      <c r="W555" s="5">
        <f>MAX(V555,IF(K555=5,Parametros!$B$17,0),IF(P555="Sim",Parametros!$B$18,0))</f>
        <v>1</v>
      </c>
      <c r="X555" s="5" t="str">
        <f t="shared" si="34"/>
        <v>Baixa</v>
      </c>
      <c r="Y555" s="29">
        <f t="shared" si="35"/>
        <v>1021.899445</v>
      </c>
      <c r="Z555" s="4" t="s">
        <v>659</v>
      </c>
    </row>
    <row r="556" spans="1:26" ht="28.05" customHeight="1" x14ac:dyDescent="0.3">
      <c r="A556" s="5">
        <f t="shared" si="32"/>
        <v>552</v>
      </c>
      <c r="B556" s="23" t="s">
        <v>1299</v>
      </c>
      <c r="C556" s="17" t="s">
        <v>1300</v>
      </c>
      <c r="D556" s="4" t="s">
        <v>52</v>
      </c>
      <c r="E556" s="4" t="s">
        <v>64</v>
      </c>
      <c r="F556" s="4" t="s">
        <v>64</v>
      </c>
      <c r="G556" s="4" t="s">
        <v>171</v>
      </c>
      <c r="H556" s="4" t="s">
        <v>172</v>
      </c>
      <c r="I556" s="24" t="s">
        <v>131</v>
      </c>
      <c r="J556" s="15">
        <v>2</v>
      </c>
      <c r="K556" s="15">
        <v>3</v>
      </c>
      <c r="L556" s="15">
        <v>2</v>
      </c>
      <c r="M556" s="15">
        <v>1</v>
      </c>
      <c r="N556" s="15">
        <v>1</v>
      </c>
      <c r="O556" s="15">
        <v>3</v>
      </c>
      <c r="P556" s="15" t="s">
        <v>415</v>
      </c>
      <c r="Q556" s="23" t="s">
        <v>838</v>
      </c>
      <c r="R556" s="25">
        <f>ROUND((K556*Parametros!$B$4+L556*Parametros!$B$5+M556*Parametros!$B$6+N556*Parametros!$B$7+O556*Parametros!$B$8)/SUM(Parametros!$B$4:$B$8),2)</f>
        <v>2.1</v>
      </c>
      <c r="S556" s="26">
        <f>IFERROR(INDEX(Parametros!$F$33:$F$42,MATCH(D556,Parametros!$A$33:$A$42,0)),1)</f>
        <v>1.05</v>
      </c>
      <c r="T556" s="27">
        <f>IFERROR(INDEX(Parametros!$B$21:$B$26,MATCH(I556,Parametros!$A$21:$A$26,0)),0)</f>
        <v>0</v>
      </c>
      <c r="U556" s="28">
        <f t="shared" si="33"/>
        <v>2.21</v>
      </c>
      <c r="V556" s="9">
        <f>IF(U556&gt;=Parametros!$B$14,4,IF(U556&gt;=Parametros!$B$13,3,IF(U556&gt;=Parametros!$B$12,2,1)))</f>
        <v>1</v>
      </c>
      <c r="W556" s="5">
        <f>MAX(V556,IF(K556=5,Parametros!$B$17,0),IF(P556="Sim",Parametros!$B$18,0))</f>
        <v>1</v>
      </c>
      <c r="X556" s="5" t="str">
        <f t="shared" si="34"/>
        <v>Baixa</v>
      </c>
      <c r="Y556" s="29">
        <f t="shared" si="35"/>
        <v>1021.899444</v>
      </c>
      <c r="Z556" s="4" t="s">
        <v>659</v>
      </c>
    </row>
    <row r="557" spans="1:26" ht="28.05" customHeight="1" x14ac:dyDescent="0.3">
      <c r="A557" s="5">
        <f t="shared" si="32"/>
        <v>553</v>
      </c>
      <c r="B557" s="23" t="s">
        <v>1301</v>
      </c>
      <c r="C557" s="17" t="s">
        <v>1302</v>
      </c>
      <c r="D557" s="4" t="s">
        <v>52</v>
      </c>
      <c r="E557" s="4" t="s">
        <v>64</v>
      </c>
      <c r="F557" s="4" t="s">
        <v>64</v>
      </c>
      <c r="G557" s="4" t="s">
        <v>171</v>
      </c>
      <c r="H557" s="4" t="s">
        <v>172</v>
      </c>
      <c r="I557" s="24" t="s">
        <v>131</v>
      </c>
      <c r="J557" s="15">
        <v>2</v>
      </c>
      <c r="K557" s="15">
        <v>3</v>
      </c>
      <c r="L557" s="15">
        <v>2</v>
      </c>
      <c r="M557" s="15">
        <v>1</v>
      </c>
      <c r="N557" s="15">
        <v>1</v>
      </c>
      <c r="O557" s="15">
        <v>3</v>
      </c>
      <c r="P557" s="15" t="s">
        <v>415</v>
      </c>
      <c r="Q557" s="23" t="s">
        <v>838</v>
      </c>
      <c r="R557" s="25">
        <f>ROUND((K557*Parametros!$B$4+L557*Parametros!$B$5+M557*Parametros!$B$6+N557*Parametros!$B$7+O557*Parametros!$B$8)/SUM(Parametros!$B$4:$B$8),2)</f>
        <v>2.1</v>
      </c>
      <c r="S557" s="26">
        <f>IFERROR(INDEX(Parametros!$F$33:$F$42,MATCH(D557,Parametros!$A$33:$A$42,0)),1)</f>
        <v>1.05</v>
      </c>
      <c r="T557" s="27">
        <f>IFERROR(INDEX(Parametros!$B$21:$B$26,MATCH(I557,Parametros!$A$21:$A$26,0)),0)</f>
        <v>0</v>
      </c>
      <c r="U557" s="28">
        <f t="shared" si="33"/>
        <v>2.21</v>
      </c>
      <c r="V557" s="9">
        <f>IF(U557&gt;=Parametros!$B$14,4,IF(U557&gt;=Parametros!$B$13,3,IF(U557&gt;=Parametros!$B$12,2,1)))</f>
        <v>1</v>
      </c>
      <c r="W557" s="5">
        <f>MAX(V557,IF(K557=5,Parametros!$B$17,0),IF(P557="Sim",Parametros!$B$18,0))</f>
        <v>1</v>
      </c>
      <c r="X557" s="5" t="str">
        <f t="shared" si="34"/>
        <v>Baixa</v>
      </c>
      <c r="Y557" s="29">
        <f t="shared" si="35"/>
        <v>1021.899443</v>
      </c>
      <c r="Z557" s="4" t="s">
        <v>659</v>
      </c>
    </row>
    <row r="558" spans="1:26" ht="28.05" customHeight="1" x14ac:dyDescent="0.3">
      <c r="A558" s="5">
        <f t="shared" si="32"/>
        <v>554</v>
      </c>
      <c r="B558" s="23" t="s">
        <v>1303</v>
      </c>
      <c r="C558" s="17" t="s">
        <v>1304</v>
      </c>
      <c r="D558" s="4" t="s">
        <v>52</v>
      </c>
      <c r="E558" s="4" t="s">
        <v>70</v>
      </c>
      <c r="F558" s="4" t="s">
        <v>70</v>
      </c>
      <c r="G558" s="4" t="s">
        <v>171</v>
      </c>
      <c r="H558" s="4" t="s">
        <v>172</v>
      </c>
      <c r="I558" s="24" t="s">
        <v>152</v>
      </c>
      <c r="J558" s="15">
        <v>2</v>
      </c>
      <c r="K558" s="15">
        <v>1</v>
      </c>
      <c r="L558" s="15">
        <v>3</v>
      </c>
      <c r="M558" s="15">
        <v>3</v>
      </c>
      <c r="N558" s="15">
        <v>1</v>
      </c>
      <c r="O558" s="15">
        <v>3</v>
      </c>
      <c r="P558" s="15" t="s">
        <v>415</v>
      </c>
      <c r="Q558" s="23" t="s">
        <v>838</v>
      </c>
      <c r="R558" s="25">
        <f>ROUND((K558*Parametros!$B$4+L558*Parametros!$B$5+M558*Parametros!$B$6+N558*Parametros!$B$7+O558*Parametros!$B$8)/SUM(Parametros!$B$4:$B$8),2)</f>
        <v>2.1</v>
      </c>
      <c r="S558" s="26">
        <f>IFERROR(INDEX(Parametros!$F$33:$F$42,MATCH(D558,Parametros!$A$33:$A$42,0)),1)</f>
        <v>1.05</v>
      </c>
      <c r="T558" s="27">
        <f>IFERROR(INDEX(Parametros!$B$21:$B$26,MATCH(I558,Parametros!$A$21:$A$26,0)),0)</f>
        <v>0</v>
      </c>
      <c r="U558" s="28">
        <f t="shared" si="33"/>
        <v>2.21</v>
      </c>
      <c r="V558" s="9">
        <f>IF(U558&gt;=Parametros!$B$14,4,IF(U558&gt;=Parametros!$B$13,3,IF(U558&gt;=Parametros!$B$12,2,1)))</f>
        <v>1</v>
      </c>
      <c r="W558" s="5">
        <f>MAX(V558,IF(K558=5,Parametros!$B$17,0),IF(P558="Sim",Parametros!$B$18,0))</f>
        <v>1</v>
      </c>
      <c r="X558" s="5" t="str">
        <f t="shared" si="34"/>
        <v>Baixa</v>
      </c>
      <c r="Y558" s="29">
        <f t="shared" si="35"/>
        <v>1021.899442</v>
      </c>
      <c r="Z558" s="4" t="s">
        <v>659</v>
      </c>
    </row>
    <row r="559" spans="1:26" ht="28.05" customHeight="1" x14ac:dyDescent="0.3">
      <c r="A559" s="5">
        <f t="shared" si="32"/>
        <v>555</v>
      </c>
      <c r="B559" s="23" t="s">
        <v>1305</v>
      </c>
      <c r="C559" s="17" t="s">
        <v>1306</v>
      </c>
      <c r="D559" s="4" t="s">
        <v>53</v>
      </c>
      <c r="E559" s="4" t="s">
        <v>64</v>
      </c>
      <c r="F559" s="4" t="s">
        <v>64</v>
      </c>
      <c r="G559" s="4" t="s">
        <v>184</v>
      </c>
      <c r="H559" s="4" t="s">
        <v>185</v>
      </c>
      <c r="I559" s="24" t="s">
        <v>152</v>
      </c>
      <c r="J559" s="15">
        <v>3</v>
      </c>
      <c r="K559" s="15">
        <v>2</v>
      </c>
      <c r="L559" s="15">
        <v>3</v>
      </c>
      <c r="M559" s="15">
        <v>3</v>
      </c>
      <c r="N559" s="15">
        <v>1</v>
      </c>
      <c r="O559" s="15">
        <v>1</v>
      </c>
      <c r="P559" s="15" t="s">
        <v>415</v>
      </c>
      <c r="Q559" s="23" t="s">
        <v>838</v>
      </c>
      <c r="R559" s="25">
        <f>ROUND((K559*Parametros!$B$4+L559*Parametros!$B$5+M559*Parametros!$B$6+N559*Parametros!$B$7+O559*Parametros!$B$8)/SUM(Parametros!$B$4:$B$8),2)</f>
        <v>2.1</v>
      </c>
      <c r="S559" s="26">
        <f>IFERROR(INDEX(Parametros!$F$33:$F$42,MATCH(D559,Parametros!$A$33:$A$42,0)),1)</f>
        <v>1.05</v>
      </c>
      <c r="T559" s="27">
        <f>IFERROR(INDEX(Parametros!$B$21:$B$26,MATCH(I559,Parametros!$A$21:$A$26,0)),0)</f>
        <v>0</v>
      </c>
      <c r="U559" s="28">
        <f t="shared" si="33"/>
        <v>2.21</v>
      </c>
      <c r="V559" s="9">
        <f>IF(U559&gt;=Parametros!$B$14,4,IF(U559&gt;=Parametros!$B$13,3,IF(U559&gt;=Parametros!$B$12,2,1)))</f>
        <v>1</v>
      </c>
      <c r="W559" s="5">
        <f>MAX(V559,IF(K559=5,Parametros!$B$17,0),IF(P559="Sim",Parametros!$B$18,0))</f>
        <v>1</v>
      </c>
      <c r="X559" s="5" t="str">
        <f t="shared" si="34"/>
        <v>Baixa</v>
      </c>
      <c r="Y559" s="29">
        <f t="shared" si="35"/>
        <v>1021.7994410000001</v>
      </c>
      <c r="Z559" s="4" t="s">
        <v>659</v>
      </c>
    </row>
    <row r="560" spans="1:26" ht="28.05" customHeight="1" x14ac:dyDescent="0.3">
      <c r="A560" s="5">
        <f t="shared" si="32"/>
        <v>556</v>
      </c>
      <c r="B560" s="23" t="s">
        <v>1307</v>
      </c>
      <c r="C560" s="17" t="s">
        <v>1308</v>
      </c>
      <c r="D560" s="4" t="s">
        <v>53</v>
      </c>
      <c r="E560" s="4" t="s">
        <v>77</v>
      </c>
      <c r="F560" s="4" t="s">
        <v>77</v>
      </c>
      <c r="G560" s="4" t="s">
        <v>171</v>
      </c>
      <c r="H560" s="4" t="s">
        <v>172</v>
      </c>
      <c r="I560" s="24" t="s">
        <v>152</v>
      </c>
      <c r="J560" s="15">
        <v>3</v>
      </c>
      <c r="K560" s="15">
        <v>1</v>
      </c>
      <c r="L560" s="15">
        <v>3</v>
      </c>
      <c r="M560" s="15">
        <v>3</v>
      </c>
      <c r="N560" s="15">
        <v>3</v>
      </c>
      <c r="O560" s="15">
        <v>1</v>
      </c>
      <c r="P560" s="15" t="s">
        <v>415</v>
      </c>
      <c r="Q560" s="23" t="s">
        <v>838</v>
      </c>
      <c r="R560" s="25">
        <f>ROUND((K560*Parametros!$B$4+L560*Parametros!$B$5+M560*Parametros!$B$6+N560*Parametros!$B$7+O560*Parametros!$B$8)/SUM(Parametros!$B$4:$B$8),2)</f>
        <v>2.1</v>
      </c>
      <c r="S560" s="26">
        <f>IFERROR(INDEX(Parametros!$F$33:$F$42,MATCH(D560,Parametros!$A$33:$A$42,0)),1)</f>
        <v>1.05</v>
      </c>
      <c r="T560" s="27">
        <f>IFERROR(INDEX(Parametros!$B$21:$B$26,MATCH(I560,Parametros!$A$21:$A$26,0)),0)</f>
        <v>0</v>
      </c>
      <c r="U560" s="28">
        <f t="shared" si="33"/>
        <v>2.21</v>
      </c>
      <c r="V560" s="9">
        <f>IF(U560&gt;=Parametros!$B$14,4,IF(U560&gt;=Parametros!$B$13,3,IF(U560&gt;=Parametros!$B$12,2,1)))</f>
        <v>1</v>
      </c>
      <c r="W560" s="5">
        <f>MAX(V560,IF(K560=5,Parametros!$B$17,0),IF(P560="Sim",Parametros!$B$18,0))</f>
        <v>1</v>
      </c>
      <c r="X560" s="5" t="str">
        <f t="shared" si="34"/>
        <v>Baixa</v>
      </c>
      <c r="Y560" s="29">
        <f t="shared" si="35"/>
        <v>1021.7994400000001</v>
      </c>
      <c r="Z560" s="4" t="s">
        <v>659</v>
      </c>
    </row>
    <row r="561" spans="1:26" ht="28.05" customHeight="1" x14ac:dyDescent="0.3">
      <c r="A561" s="5">
        <f t="shared" si="32"/>
        <v>557</v>
      </c>
      <c r="B561" s="23" t="s">
        <v>1309</v>
      </c>
      <c r="C561" s="17" t="s">
        <v>1310</v>
      </c>
      <c r="D561" s="4" t="s">
        <v>52</v>
      </c>
      <c r="E561" s="4" t="s">
        <v>64</v>
      </c>
      <c r="F561" s="4" t="s">
        <v>64</v>
      </c>
      <c r="G561" s="4" t="s">
        <v>134</v>
      </c>
      <c r="H561" s="4" t="s">
        <v>108</v>
      </c>
      <c r="I561" s="24" t="s">
        <v>131</v>
      </c>
      <c r="J561" s="15">
        <v>3</v>
      </c>
      <c r="K561" s="15">
        <v>1</v>
      </c>
      <c r="L561" s="15">
        <v>3</v>
      </c>
      <c r="M561" s="15">
        <v>3</v>
      </c>
      <c r="N561" s="15">
        <v>1</v>
      </c>
      <c r="O561" s="15">
        <v>3</v>
      </c>
      <c r="P561" s="15" t="s">
        <v>415</v>
      </c>
      <c r="Q561" s="23" t="s">
        <v>838</v>
      </c>
      <c r="R561" s="25">
        <f>ROUND((K561*Parametros!$B$4+L561*Parametros!$B$5+M561*Parametros!$B$6+N561*Parametros!$B$7+O561*Parametros!$B$8)/SUM(Parametros!$B$4:$B$8),2)</f>
        <v>2.1</v>
      </c>
      <c r="S561" s="26">
        <f>IFERROR(INDEX(Parametros!$F$33:$F$42,MATCH(D561,Parametros!$A$33:$A$42,0)),1)</f>
        <v>1.05</v>
      </c>
      <c r="T561" s="27">
        <f>IFERROR(INDEX(Parametros!$B$21:$B$26,MATCH(I561,Parametros!$A$21:$A$26,0)),0)</f>
        <v>0</v>
      </c>
      <c r="U561" s="28">
        <f t="shared" si="33"/>
        <v>2.21</v>
      </c>
      <c r="V561" s="9">
        <f>IF(U561&gt;=Parametros!$B$14,4,IF(U561&gt;=Parametros!$B$13,3,IF(U561&gt;=Parametros!$B$12,2,1)))</f>
        <v>1</v>
      </c>
      <c r="W561" s="5">
        <f>MAX(V561,IF(K561=5,Parametros!$B$17,0),IF(P561="Sim",Parametros!$B$18,0))</f>
        <v>1</v>
      </c>
      <c r="X561" s="5" t="str">
        <f t="shared" si="34"/>
        <v>Baixa</v>
      </c>
      <c r="Y561" s="29">
        <f t="shared" si="35"/>
        <v>1021.7994390000001</v>
      </c>
      <c r="Z561" s="4" t="s">
        <v>659</v>
      </c>
    </row>
    <row r="562" spans="1:26" ht="28.05" customHeight="1" x14ac:dyDescent="0.3">
      <c r="A562" s="5">
        <f t="shared" si="32"/>
        <v>558</v>
      </c>
      <c r="B562" s="23" t="s">
        <v>1311</v>
      </c>
      <c r="C562" s="17" t="s">
        <v>1312</v>
      </c>
      <c r="D562" s="4" t="s">
        <v>52</v>
      </c>
      <c r="E562" s="4" t="s">
        <v>65</v>
      </c>
      <c r="F562" s="4" t="s">
        <v>65</v>
      </c>
      <c r="G562" s="4" t="s">
        <v>171</v>
      </c>
      <c r="H562" s="4" t="s">
        <v>172</v>
      </c>
      <c r="I562" s="24" t="s">
        <v>152</v>
      </c>
      <c r="J562" s="15">
        <v>3</v>
      </c>
      <c r="K562" s="15">
        <v>1</v>
      </c>
      <c r="L562" s="15">
        <v>3</v>
      </c>
      <c r="M562" s="15">
        <v>3</v>
      </c>
      <c r="N562" s="15">
        <v>1</v>
      </c>
      <c r="O562" s="15">
        <v>3</v>
      </c>
      <c r="P562" s="15" t="s">
        <v>415</v>
      </c>
      <c r="Q562" s="23" t="s">
        <v>838</v>
      </c>
      <c r="R562" s="25">
        <f>ROUND((K562*Parametros!$B$4+L562*Parametros!$B$5+M562*Parametros!$B$6+N562*Parametros!$B$7+O562*Parametros!$B$8)/SUM(Parametros!$B$4:$B$8),2)</f>
        <v>2.1</v>
      </c>
      <c r="S562" s="26">
        <f>IFERROR(INDEX(Parametros!$F$33:$F$42,MATCH(D562,Parametros!$A$33:$A$42,0)),1)</f>
        <v>1.05</v>
      </c>
      <c r="T562" s="27">
        <f>IFERROR(INDEX(Parametros!$B$21:$B$26,MATCH(I562,Parametros!$A$21:$A$26,0)),0)</f>
        <v>0</v>
      </c>
      <c r="U562" s="28">
        <f t="shared" si="33"/>
        <v>2.21</v>
      </c>
      <c r="V562" s="9">
        <f>IF(U562&gt;=Parametros!$B$14,4,IF(U562&gt;=Parametros!$B$13,3,IF(U562&gt;=Parametros!$B$12,2,1)))</f>
        <v>1</v>
      </c>
      <c r="W562" s="5">
        <f>MAX(V562,IF(K562=5,Parametros!$B$17,0),IF(P562="Sim",Parametros!$B$18,0))</f>
        <v>1</v>
      </c>
      <c r="X562" s="5" t="str">
        <f t="shared" si="34"/>
        <v>Baixa</v>
      </c>
      <c r="Y562" s="29">
        <f t="shared" si="35"/>
        <v>1021.7994380000001</v>
      </c>
      <c r="Z562" s="4" t="s">
        <v>659</v>
      </c>
    </row>
    <row r="563" spans="1:26" ht="28.05" customHeight="1" x14ac:dyDescent="0.3">
      <c r="A563" s="5">
        <f t="shared" si="32"/>
        <v>559</v>
      </c>
      <c r="B563" s="23" t="s">
        <v>1313</v>
      </c>
      <c r="C563" s="17" t="s">
        <v>1314</v>
      </c>
      <c r="D563" s="4" t="s">
        <v>48</v>
      </c>
      <c r="E563" s="4" t="s">
        <v>66</v>
      </c>
      <c r="F563" s="4" t="s">
        <v>66</v>
      </c>
      <c r="G563" s="4" t="s">
        <v>184</v>
      </c>
      <c r="H563" s="4" t="s">
        <v>185</v>
      </c>
      <c r="I563" s="24" t="s">
        <v>131</v>
      </c>
      <c r="J563" s="15">
        <v>3</v>
      </c>
      <c r="K563" s="15">
        <v>3</v>
      </c>
      <c r="L563" s="15">
        <v>1</v>
      </c>
      <c r="M563" s="15">
        <v>3</v>
      </c>
      <c r="N563" s="15">
        <v>1</v>
      </c>
      <c r="O563" s="15">
        <v>1</v>
      </c>
      <c r="P563" s="15" t="s">
        <v>415</v>
      </c>
      <c r="Q563" s="23" t="s">
        <v>838</v>
      </c>
      <c r="R563" s="25">
        <f>ROUND((K563*Parametros!$B$4+L563*Parametros!$B$5+M563*Parametros!$B$6+N563*Parametros!$B$7+O563*Parametros!$B$8)/SUM(Parametros!$B$4:$B$8),2)</f>
        <v>2</v>
      </c>
      <c r="S563" s="26">
        <f>IFERROR(INDEX(Parametros!$F$33:$F$42,MATCH(D563,Parametros!$A$33:$A$42,0)),1)</f>
        <v>1.1000000000000001</v>
      </c>
      <c r="T563" s="27">
        <f>IFERROR(INDEX(Parametros!$B$21:$B$26,MATCH(I563,Parametros!$A$21:$A$26,0)),0)</f>
        <v>0</v>
      </c>
      <c r="U563" s="28">
        <f t="shared" si="33"/>
        <v>2.2000000000000002</v>
      </c>
      <c r="V563" s="9">
        <f>IF(U563&gt;=Parametros!$B$14,4,IF(U563&gt;=Parametros!$B$13,3,IF(U563&gt;=Parametros!$B$12,2,1)))</f>
        <v>1</v>
      </c>
      <c r="W563" s="5">
        <f>MAX(V563,IF(K563=5,Parametros!$B$17,0),IF(P563="Sim",Parametros!$B$18,0))</f>
        <v>1</v>
      </c>
      <c r="X563" s="5" t="str">
        <f t="shared" si="34"/>
        <v>Baixa</v>
      </c>
      <c r="Y563" s="29">
        <f t="shared" si="35"/>
        <v>1021.699437</v>
      </c>
      <c r="Z563" s="4" t="s">
        <v>659</v>
      </c>
    </row>
    <row r="564" spans="1:26" ht="28.05" customHeight="1" x14ac:dyDescent="0.3">
      <c r="A564" s="5">
        <f t="shared" si="32"/>
        <v>560</v>
      </c>
      <c r="B564" s="23" t="s">
        <v>1315</v>
      </c>
      <c r="C564" s="17" t="s">
        <v>1316</v>
      </c>
      <c r="D564" s="4" t="s">
        <v>49</v>
      </c>
      <c r="E564" s="4" t="s">
        <v>85</v>
      </c>
      <c r="F564" s="4" t="s">
        <v>1317</v>
      </c>
      <c r="G564" s="4" t="s">
        <v>107</v>
      </c>
      <c r="H564" s="4" t="s">
        <v>108</v>
      </c>
      <c r="I564" s="24" t="s">
        <v>954</v>
      </c>
      <c r="J564" s="15">
        <v>2</v>
      </c>
      <c r="K564" s="15">
        <v>2</v>
      </c>
      <c r="L564" s="15">
        <v>3</v>
      </c>
      <c r="M564" s="15">
        <v>3</v>
      </c>
      <c r="N564" s="15">
        <v>1</v>
      </c>
      <c r="O564" s="15">
        <v>2</v>
      </c>
      <c r="P564" s="15" t="s">
        <v>415</v>
      </c>
      <c r="Q564" s="23" t="s">
        <v>838</v>
      </c>
      <c r="R564" s="25">
        <f>ROUND((K564*Parametros!$B$4+L564*Parametros!$B$5+M564*Parametros!$B$6+N564*Parametros!$B$7+O564*Parametros!$B$8)/SUM(Parametros!$B$4:$B$8),2)</f>
        <v>2.25</v>
      </c>
      <c r="S564" s="26">
        <f>IFERROR(INDEX(Parametros!$F$33:$F$42,MATCH(D564,Parametros!$A$33:$A$42,0)),1)</f>
        <v>1.1000000000000001</v>
      </c>
      <c r="T564" s="27">
        <f>IFERROR(INDEX(Parametros!$B$21:$B$26,MATCH(I564,Parametros!$A$21:$A$26,0)),0)</f>
        <v>-0.3</v>
      </c>
      <c r="U564" s="28">
        <f t="shared" si="33"/>
        <v>2.1800000000000002</v>
      </c>
      <c r="V564" s="9">
        <f>IF(U564&gt;=Parametros!$B$14,4,IF(U564&gt;=Parametros!$B$13,3,IF(U564&gt;=Parametros!$B$12,2,1)))</f>
        <v>1</v>
      </c>
      <c r="W564" s="5">
        <f>MAX(V564,IF(K564=5,Parametros!$B$17,0),IF(P564="Sim",Parametros!$B$18,0))</f>
        <v>1</v>
      </c>
      <c r="X564" s="5" t="str">
        <f t="shared" si="34"/>
        <v>Baixa</v>
      </c>
      <c r="Y564" s="29">
        <f t="shared" si="35"/>
        <v>1021.5994359999999</v>
      </c>
      <c r="Z564" s="4" t="s">
        <v>1213</v>
      </c>
    </row>
    <row r="565" spans="1:26" ht="28.05" customHeight="1" x14ac:dyDescent="0.3">
      <c r="A565" s="5">
        <f t="shared" si="32"/>
        <v>561</v>
      </c>
      <c r="B565" s="23" t="s">
        <v>1318</v>
      </c>
      <c r="C565" s="17" t="s">
        <v>1319</v>
      </c>
      <c r="D565" s="4" t="s">
        <v>49</v>
      </c>
      <c r="E565" s="4" t="s">
        <v>85</v>
      </c>
      <c r="F565" s="4" t="s">
        <v>1317</v>
      </c>
      <c r="G565" s="4" t="s">
        <v>107</v>
      </c>
      <c r="H565" s="4" t="s">
        <v>108</v>
      </c>
      <c r="I565" s="24" t="s">
        <v>954</v>
      </c>
      <c r="J565" s="15">
        <v>2</v>
      </c>
      <c r="K565" s="15">
        <v>2</v>
      </c>
      <c r="L565" s="15">
        <v>3</v>
      </c>
      <c r="M565" s="15">
        <v>3</v>
      </c>
      <c r="N565" s="15">
        <v>1</v>
      </c>
      <c r="O565" s="15">
        <v>2</v>
      </c>
      <c r="P565" s="15" t="s">
        <v>415</v>
      </c>
      <c r="Q565" s="23" t="s">
        <v>838</v>
      </c>
      <c r="R565" s="25">
        <f>ROUND((K565*Parametros!$B$4+L565*Parametros!$B$5+M565*Parametros!$B$6+N565*Parametros!$B$7+O565*Parametros!$B$8)/SUM(Parametros!$B$4:$B$8),2)</f>
        <v>2.25</v>
      </c>
      <c r="S565" s="26">
        <f>IFERROR(INDEX(Parametros!$F$33:$F$42,MATCH(D565,Parametros!$A$33:$A$42,0)),1)</f>
        <v>1.1000000000000001</v>
      </c>
      <c r="T565" s="27">
        <f>IFERROR(INDEX(Parametros!$B$21:$B$26,MATCH(I565,Parametros!$A$21:$A$26,0)),0)</f>
        <v>-0.3</v>
      </c>
      <c r="U565" s="28">
        <f t="shared" si="33"/>
        <v>2.1800000000000002</v>
      </c>
      <c r="V565" s="9">
        <f>IF(U565&gt;=Parametros!$B$14,4,IF(U565&gt;=Parametros!$B$13,3,IF(U565&gt;=Parametros!$B$12,2,1)))</f>
        <v>1</v>
      </c>
      <c r="W565" s="5">
        <f>MAX(V565,IF(K565=5,Parametros!$B$17,0),IF(P565="Sim",Parametros!$B$18,0))</f>
        <v>1</v>
      </c>
      <c r="X565" s="5" t="str">
        <f t="shared" si="34"/>
        <v>Baixa</v>
      </c>
      <c r="Y565" s="29">
        <f t="shared" si="35"/>
        <v>1021.5994349999999</v>
      </c>
      <c r="Z565" s="4" t="s">
        <v>1213</v>
      </c>
    </row>
    <row r="566" spans="1:26" ht="28.05" customHeight="1" x14ac:dyDescent="0.3">
      <c r="A566" s="5">
        <f t="shared" si="32"/>
        <v>562</v>
      </c>
      <c r="B566" s="23" t="s">
        <v>1320</v>
      </c>
      <c r="C566" s="17" t="s">
        <v>1321</v>
      </c>
      <c r="D566" s="4" t="s">
        <v>49</v>
      </c>
      <c r="E566" s="4" t="s">
        <v>85</v>
      </c>
      <c r="F566" s="4" t="s">
        <v>1317</v>
      </c>
      <c r="G566" s="4" t="s">
        <v>107</v>
      </c>
      <c r="H566" s="4" t="s">
        <v>108</v>
      </c>
      <c r="I566" s="24" t="s">
        <v>954</v>
      </c>
      <c r="J566" s="15">
        <v>2</v>
      </c>
      <c r="K566" s="15">
        <v>2</v>
      </c>
      <c r="L566" s="15">
        <v>3</v>
      </c>
      <c r="M566" s="15">
        <v>3</v>
      </c>
      <c r="N566" s="15">
        <v>1</v>
      </c>
      <c r="O566" s="15">
        <v>2</v>
      </c>
      <c r="P566" s="15" t="s">
        <v>415</v>
      </c>
      <c r="Q566" s="23" t="s">
        <v>838</v>
      </c>
      <c r="R566" s="25">
        <f>ROUND((K566*Parametros!$B$4+L566*Parametros!$B$5+M566*Parametros!$B$6+N566*Parametros!$B$7+O566*Parametros!$B$8)/SUM(Parametros!$B$4:$B$8),2)</f>
        <v>2.25</v>
      </c>
      <c r="S566" s="26">
        <f>IFERROR(INDEX(Parametros!$F$33:$F$42,MATCH(D566,Parametros!$A$33:$A$42,0)),1)</f>
        <v>1.1000000000000001</v>
      </c>
      <c r="T566" s="27">
        <f>IFERROR(INDEX(Parametros!$B$21:$B$26,MATCH(I566,Parametros!$A$21:$A$26,0)),0)</f>
        <v>-0.3</v>
      </c>
      <c r="U566" s="28">
        <f t="shared" si="33"/>
        <v>2.1800000000000002</v>
      </c>
      <c r="V566" s="9">
        <f>IF(U566&gt;=Parametros!$B$14,4,IF(U566&gt;=Parametros!$B$13,3,IF(U566&gt;=Parametros!$B$12,2,1)))</f>
        <v>1</v>
      </c>
      <c r="W566" s="5">
        <f>MAX(V566,IF(K566=5,Parametros!$B$17,0),IF(P566="Sim",Parametros!$B$18,0))</f>
        <v>1</v>
      </c>
      <c r="X566" s="5" t="str">
        <f t="shared" si="34"/>
        <v>Baixa</v>
      </c>
      <c r="Y566" s="29">
        <f t="shared" si="35"/>
        <v>1021.5994339999999</v>
      </c>
      <c r="Z566" s="4" t="s">
        <v>1213</v>
      </c>
    </row>
    <row r="567" spans="1:26" ht="28.05" customHeight="1" x14ac:dyDescent="0.3">
      <c r="A567" s="5">
        <f t="shared" si="32"/>
        <v>563</v>
      </c>
      <c r="B567" s="23" t="s">
        <v>1322</v>
      </c>
      <c r="C567" s="17" t="s">
        <v>1323</v>
      </c>
      <c r="D567" s="4" t="s">
        <v>49</v>
      </c>
      <c r="E567" s="4" t="s">
        <v>85</v>
      </c>
      <c r="F567" s="4" t="s">
        <v>1317</v>
      </c>
      <c r="G567" s="4" t="s">
        <v>107</v>
      </c>
      <c r="H567" s="4" t="s">
        <v>108</v>
      </c>
      <c r="I567" s="24" t="s">
        <v>954</v>
      </c>
      <c r="J567" s="15">
        <v>2</v>
      </c>
      <c r="K567" s="15">
        <v>2</v>
      </c>
      <c r="L567" s="15">
        <v>3</v>
      </c>
      <c r="M567" s="15">
        <v>3</v>
      </c>
      <c r="N567" s="15">
        <v>1</v>
      </c>
      <c r="O567" s="15">
        <v>2</v>
      </c>
      <c r="P567" s="15" t="s">
        <v>415</v>
      </c>
      <c r="Q567" s="23" t="s">
        <v>838</v>
      </c>
      <c r="R567" s="25">
        <f>ROUND((K567*Parametros!$B$4+L567*Parametros!$B$5+M567*Parametros!$B$6+N567*Parametros!$B$7+O567*Parametros!$B$8)/SUM(Parametros!$B$4:$B$8),2)</f>
        <v>2.25</v>
      </c>
      <c r="S567" s="26">
        <f>IFERROR(INDEX(Parametros!$F$33:$F$42,MATCH(D567,Parametros!$A$33:$A$42,0)),1)</f>
        <v>1.1000000000000001</v>
      </c>
      <c r="T567" s="27">
        <f>IFERROR(INDEX(Parametros!$B$21:$B$26,MATCH(I567,Parametros!$A$21:$A$26,0)),0)</f>
        <v>-0.3</v>
      </c>
      <c r="U567" s="28">
        <f t="shared" si="33"/>
        <v>2.1800000000000002</v>
      </c>
      <c r="V567" s="9">
        <f>IF(U567&gt;=Parametros!$B$14,4,IF(U567&gt;=Parametros!$B$13,3,IF(U567&gt;=Parametros!$B$12,2,1)))</f>
        <v>1</v>
      </c>
      <c r="W567" s="5">
        <f>MAX(V567,IF(K567=5,Parametros!$B$17,0),IF(P567="Sim",Parametros!$B$18,0))</f>
        <v>1</v>
      </c>
      <c r="X567" s="5" t="str">
        <f t="shared" si="34"/>
        <v>Baixa</v>
      </c>
      <c r="Y567" s="29">
        <f t="shared" si="35"/>
        <v>1021.5994329999999</v>
      </c>
      <c r="Z567" s="4" t="s">
        <v>1213</v>
      </c>
    </row>
    <row r="568" spans="1:26" ht="28.05" customHeight="1" x14ac:dyDescent="0.3">
      <c r="A568" s="5">
        <f t="shared" si="32"/>
        <v>564</v>
      </c>
      <c r="B568" s="23" t="s">
        <v>1324</v>
      </c>
      <c r="C568" s="17" t="s">
        <v>1325</v>
      </c>
      <c r="D568" s="4" t="s">
        <v>54</v>
      </c>
      <c r="E568" s="4" t="s">
        <v>72</v>
      </c>
      <c r="F568" s="4" t="s">
        <v>72</v>
      </c>
      <c r="G568" s="4" t="s">
        <v>112</v>
      </c>
      <c r="H568" s="4" t="s">
        <v>108</v>
      </c>
      <c r="I568" s="24" t="s">
        <v>954</v>
      </c>
      <c r="J568" s="15">
        <v>2</v>
      </c>
      <c r="K568" s="15">
        <v>2</v>
      </c>
      <c r="L568" s="15">
        <v>3</v>
      </c>
      <c r="M568" s="15">
        <v>3</v>
      </c>
      <c r="N568" s="15">
        <v>2</v>
      </c>
      <c r="O568" s="15">
        <v>2</v>
      </c>
      <c r="P568" s="15" t="s">
        <v>415</v>
      </c>
      <c r="Q568" s="23" t="s">
        <v>416</v>
      </c>
      <c r="R568" s="25">
        <f>ROUND((K568*Parametros!$B$4+L568*Parametros!$B$5+M568*Parametros!$B$6+N568*Parametros!$B$7+O568*Parametros!$B$8)/SUM(Parametros!$B$4:$B$8),2)</f>
        <v>2.4</v>
      </c>
      <c r="S568" s="26">
        <f>IFERROR(INDEX(Parametros!$F$33:$F$42,MATCH(D568,Parametros!$A$33:$A$42,0)),1)</f>
        <v>1.034</v>
      </c>
      <c r="T568" s="27">
        <f>IFERROR(INDEX(Parametros!$B$21:$B$26,MATCH(I568,Parametros!$A$21:$A$26,0)),0)</f>
        <v>-0.3</v>
      </c>
      <c r="U568" s="28">
        <f t="shared" si="33"/>
        <v>2.1800000000000002</v>
      </c>
      <c r="V568" s="9">
        <f>IF(U568&gt;=Parametros!$B$14,4,IF(U568&gt;=Parametros!$B$13,3,IF(U568&gt;=Parametros!$B$12,2,1)))</f>
        <v>1</v>
      </c>
      <c r="W568" s="5">
        <f>MAX(V568,IF(K568=5,Parametros!$B$17,0),IF(P568="Sim",Parametros!$B$18,0))</f>
        <v>1</v>
      </c>
      <c r="X568" s="5" t="str">
        <f t="shared" si="34"/>
        <v>Baixa</v>
      </c>
      <c r="Y568" s="29">
        <f t="shared" si="35"/>
        <v>1021.5994319999999</v>
      </c>
      <c r="Z568" s="4" t="s">
        <v>1213</v>
      </c>
    </row>
    <row r="569" spans="1:26" ht="28.05" customHeight="1" x14ac:dyDescent="0.3">
      <c r="A569" s="5">
        <f t="shared" si="32"/>
        <v>565</v>
      </c>
      <c r="B569" s="23" t="s">
        <v>1326</v>
      </c>
      <c r="C569" s="17" t="s">
        <v>1327</v>
      </c>
      <c r="D569" s="4" t="s">
        <v>54</v>
      </c>
      <c r="E569" s="4" t="s">
        <v>72</v>
      </c>
      <c r="F569" s="4" t="s">
        <v>72</v>
      </c>
      <c r="G569" s="4" t="s">
        <v>112</v>
      </c>
      <c r="H569" s="4" t="s">
        <v>108</v>
      </c>
      <c r="I569" s="24" t="s">
        <v>954</v>
      </c>
      <c r="J569" s="15">
        <v>2</v>
      </c>
      <c r="K569" s="15">
        <v>2</v>
      </c>
      <c r="L569" s="15">
        <v>3</v>
      </c>
      <c r="M569" s="15">
        <v>3</v>
      </c>
      <c r="N569" s="15">
        <v>2</v>
      </c>
      <c r="O569" s="15">
        <v>2</v>
      </c>
      <c r="P569" s="15" t="s">
        <v>415</v>
      </c>
      <c r="Q569" s="23" t="s">
        <v>416</v>
      </c>
      <c r="R569" s="25">
        <f>ROUND((K569*Parametros!$B$4+L569*Parametros!$B$5+M569*Parametros!$B$6+N569*Parametros!$B$7+O569*Parametros!$B$8)/SUM(Parametros!$B$4:$B$8),2)</f>
        <v>2.4</v>
      </c>
      <c r="S569" s="26">
        <f>IFERROR(INDEX(Parametros!$F$33:$F$42,MATCH(D569,Parametros!$A$33:$A$42,0)),1)</f>
        <v>1.034</v>
      </c>
      <c r="T569" s="27">
        <f>IFERROR(INDEX(Parametros!$B$21:$B$26,MATCH(I569,Parametros!$A$21:$A$26,0)),0)</f>
        <v>-0.3</v>
      </c>
      <c r="U569" s="28">
        <f t="shared" si="33"/>
        <v>2.1800000000000002</v>
      </c>
      <c r="V569" s="9">
        <f>IF(U569&gt;=Parametros!$B$14,4,IF(U569&gt;=Parametros!$B$13,3,IF(U569&gt;=Parametros!$B$12,2,1)))</f>
        <v>1</v>
      </c>
      <c r="W569" s="5">
        <f>MAX(V569,IF(K569=5,Parametros!$B$17,0),IF(P569="Sim",Parametros!$B$18,0))</f>
        <v>1</v>
      </c>
      <c r="X569" s="5" t="str">
        <f t="shared" si="34"/>
        <v>Baixa</v>
      </c>
      <c r="Y569" s="29">
        <f t="shared" si="35"/>
        <v>1021.5994309999999</v>
      </c>
      <c r="Z569" s="4" t="s">
        <v>1213</v>
      </c>
    </row>
    <row r="570" spans="1:26" ht="28.05" customHeight="1" x14ac:dyDescent="0.3">
      <c r="A570" s="5">
        <f t="shared" si="32"/>
        <v>566</v>
      </c>
      <c r="B570" s="23" t="s">
        <v>1328</v>
      </c>
      <c r="C570" s="17" t="s">
        <v>1329</v>
      </c>
      <c r="D570" s="4" t="s">
        <v>54</v>
      </c>
      <c r="E570" s="4" t="s">
        <v>72</v>
      </c>
      <c r="F570" s="4" t="s">
        <v>72</v>
      </c>
      <c r="G570" s="4" t="s">
        <v>107</v>
      </c>
      <c r="H570" s="4" t="s">
        <v>108</v>
      </c>
      <c r="I570" s="24" t="s">
        <v>954</v>
      </c>
      <c r="J570" s="15">
        <v>2</v>
      </c>
      <c r="K570" s="15">
        <v>2</v>
      </c>
      <c r="L570" s="15">
        <v>3</v>
      </c>
      <c r="M570" s="15">
        <v>3</v>
      </c>
      <c r="N570" s="15">
        <v>2</v>
      </c>
      <c r="O570" s="15">
        <v>2</v>
      </c>
      <c r="P570" s="15" t="s">
        <v>415</v>
      </c>
      <c r="Q570" s="23" t="s">
        <v>416</v>
      </c>
      <c r="R570" s="25">
        <f>ROUND((K570*Parametros!$B$4+L570*Parametros!$B$5+M570*Parametros!$B$6+N570*Parametros!$B$7+O570*Parametros!$B$8)/SUM(Parametros!$B$4:$B$8),2)</f>
        <v>2.4</v>
      </c>
      <c r="S570" s="26">
        <f>IFERROR(INDEX(Parametros!$F$33:$F$42,MATCH(D570,Parametros!$A$33:$A$42,0)),1)</f>
        <v>1.034</v>
      </c>
      <c r="T570" s="27">
        <f>IFERROR(INDEX(Parametros!$B$21:$B$26,MATCH(I570,Parametros!$A$21:$A$26,0)),0)</f>
        <v>-0.3</v>
      </c>
      <c r="U570" s="28">
        <f t="shared" si="33"/>
        <v>2.1800000000000002</v>
      </c>
      <c r="V570" s="9">
        <f>IF(U570&gt;=Parametros!$B$14,4,IF(U570&gt;=Parametros!$B$13,3,IF(U570&gt;=Parametros!$B$12,2,1)))</f>
        <v>1</v>
      </c>
      <c r="W570" s="5">
        <f>MAX(V570,IF(K570=5,Parametros!$B$17,0),IF(P570="Sim",Parametros!$B$18,0))</f>
        <v>1</v>
      </c>
      <c r="X570" s="5" t="str">
        <f t="shared" si="34"/>
        <v>Baixa</v>
      </c>
      <c r="Y570" s="29">
        <f t="shared" si="35"/>
        <v>1021.5994299999999</v>
      </c>
      <c r="Z570" s="4" t="s">
        <v>1213</v>
      </c>
    </row>
    <row r="571" spans="1:26" ht="28.05" customHeight="1" x14ac:dyDescent="0.3">
      <c r="A571" s="5">
        <f t="shared" si="32"/>
        <v>567</v>
      </c>
      <c r="B571" s="23" t="s">
        <v>1330</v>
      </c>
      <c r="C571" s="17" t="s">
        <v>1331</v>
      </c>
      <c r="D571" s="4" t="s">
        <v>54</v>
      </c>
      <c r="E571" s="4" t="s">
        <v>72</v>
      </c>
      <c r="F571" s="4" t="s">
        <v>72</v>
      </c>
      <c r="G571" s="4" t="s">
        <v>112</v>
      </c>
      <c r="H571" s="4" t="s">
        <v>108</v>
      </c>
      <c r="I571" s="24" t="s">
        <v>954</v>
      </c>
      <c r="J571" s="15">
        <v>2</v>
      </c>
      <c r="K571" s="15">
        <v>2</v>
      </c>
      <c r="L571" s="15">
        <v>3</v>
      </c>
      <c r="M571" s="15">
        <v>3</v>
      </c>
      <c r="N571" s="15">
        <v>2</v>
      </c>
      <c r="O571" s="15">
        <v>2</v>
      </c>
      <c r="P571" s="15" t="s">
        <v>415</v>
      </c>
      <c r="Q571" s="23" t="s">
        <v>416</v>
      </c>
      <c r="R571" s="25">
        <f>ROUND((K571*Parametros!$B$4+L571*Parametros!$B$5+M571*Parametros!$B$6+N571*Parametros!$B$7+O571*Parametros!$B$8)/SUM(Parametros!$B$4:$B$8),2)</f>
        <v>2.4</v>
      </c>
      <c r="S571" s="26">
        <f>IFERROR(INDEX(Parametros!$F$33:$F$42,MATCH(D571,Parametros!$A$33:$A$42,0)),1)</f>
        <v>1.034</v>
      </c>
      <c r="T571" s="27">
        <f>IFERROR(INDEX(Parametros!$B$21:$B$26,MATCH(I571,Parametros!$A$21:$A$26,0)),0)</f>
        <v>-0.3</v>
      </c>
      <c r="U571" s="28">
        <f t="shared" si="33"/>
        <v>2.1800000000000002</v>
      </c>
      <c r="V571" s="9">
        <f>IF(U571&gt;=Parametros!$B$14,4,IF(U571&gt;=Parametros!$B$13,3,IF(U571&gt;=Parametros!$B$12,2,1)))</f>
        <v>1</v>
      </c>
      <c r="W571" s="5">
        <f>MAX(V571,IF(K571=5,Parametros!$B$17,0),IF(P571="Sim",Parametros!$B$18,0))</f>
        <v>1</v>
      </c>
      <c r="X571" s="5" t="str">
        <f t="shared" si="34"/>
        <v>Baixa</v>
      </c>
      <c r="Y571" s="29">
        <f t="shared" si="35"/>
        <v>1021.5994289999999</v>
      </c>
      <c r="Z571" s="4" t="s">
        <v>1213</v>
      </c>
    </row>
    <row r="572" spans="1:26" ht="28.05" customHeight="1" x14ac:dyDescent="0.3">
      <c r="A572" s="5">
        <f t="shared" si="32"/>
        <v>568</v>
      </c>
      <c r="B572" s="23" t="s">
        <v>1332</v>
      </c>
      <c r="C572" s="17" t="s">
        <v>1333</v>
      </c>
      <c r="D572" s="4" t="s">
        <v>54</v>
      </c>
      <c r="E572" s="4" t="s">
        <v>72</v>
      </c>
      <c r="F572" s="4" t="s">
        <v>72</v>
      </c>
      <c r="G572" s="4" t="s">
        <v>107</v>
      </c>
      <c r="H572" s="4" t="s">
        <v>108</v>
      </c>
      <c r="I572" s="24" t="s">
        <v>954</v>
      </c>
      <c r="J572" s="15">
        <v>2</v>
      </c>
      <c r="K572" s="15">
        <v>2</v>
      </c>
      <c r="L572" s="15">
        <v>3</v>
      </c>
      <c r="M572" s="15">
        <v>3</v>
      </c>
      <c r="N572" s="15">
        <v>2</v>
      </c>
      <c r="O572" s="15">
        <v>2</v>
      </c>
      <c r="P572" s="15" t="s">
        <v>415</v>
      </c>
      <c r="Q572" s="23" t="s">
        <v>416</v>
      </c>
      <c r="R572" s="25">
        <f>ROUND((K572*Parametros!$B$4+L572*Parametros!$B$5+M572*Parametros!$B$6+N572*Parametros!$B$7+O572*Parametros!$B$8)/SUM(Parametros!$B$4:$B$8),2)</f>
        <v>2.4</v>
      </c>
      <c r="S572" s="26">
        <f>IFERROR(INDEX(Parametros!$F$33:$F$42,MATCH(D572,Parametros!$A$33:$A$42,0)),1)</f>
        <v>1.034</v>
      </c>
      <c r="T572" s="27">
        <f>IFERROR(INDEX(Parametros!$B$21:$B$26,MATCH(I572,Parametros!$A$21:$A$26,0)),0)</f>
        <v>-0.3</v>
      </c>
      <c r="U572" s="28">
        <f t="shared" si="33"/>
        <v>2.1800000000000002</v>
      </c>
      <c r="V572" s="9">
        <f>IF(U572&gt;=Parametros!$B$14,4,IF(U572&gt;=Parametros!$B$13,3,IF(U572&gt;=Parametros!$B$12,2,1)))</f>
        <v>1</v>
      </c>
      <c r="W572" s="5">
        <f>MAX(V572,IF(K572=5,Parametros!$B$17,0),IF(P572="Sim",Parametros!$B$18,0))</f>
        <v>1</v>
      </c>
      <c r="X572" s="5" t="str">
        <f t="shared" si="34"/>
        <v>Baixa</v>
      </c>
      <c r="Y572" s="29">
        <f t="shared" si="35"/>
        <v>1021.5994279999999</v>
      </c>
      <c r="Z572" s="4" t="s">
        <v>1213</v>
      </c>
    </row>
    <row r="573" spans="1:26" ht="28.05" customHeight="1" x14ac:dyDescent="0.3">
      <c r="A573" s="5">
        <f t="shared" si="32"/>
        <v>569</v>
      </c>
      <c r="B573" s="23" t="s">
        <v>1334</v>
      </c>
      <c r="C573" s="17" t="s">
        <v>1335</v>
      </c>
      <c r="D573" s="4" t="s">
        <v>49</v>
      </c>
      <c r="E573" s="4" t="s">
        <v>85</v>
      </c>
      <c r="F573" s="4" t="s">
        <v>85</v>
      </c>
      <c r="G573" s="4" t="s">
        <v>171</v>
      </c>
      <c r="H573" s="4" t="s">
        <v>172</v>
      </c>
      <c r="I573" s="24" t="s">
        <v>954</v>
      </c>
      <c r="J573" s="15">
        <v>2</v>
      </c>
      <c r="K573" s="15">
        <v>2</v>
      </c>
      <c r="L573" s="15">
        <v>3</v>
      </c>
      <c r="M573" s="15">
        <v>3</v>
      </c>
      <c r="N573" s="15">
        <v>1</v>
      </c>
      <c r="O573" s="15">
        <v>2</v>
      </c>
      <c r="P573" s="15" t="s">
        <v>415</v>
      </c>
      <c r="Q573" s="23" t="s">
        <v>838</v>
      </c>
      <c r="R573" s="25">
        <f>ROUND((K573*Parametros!$B$4+L573*Parametros!$B$5+M573*Parametros!$B$6+N573*Parametros!$B$7+O573*Parametros!$B$8)/SUM(Parametros!$B$4:$B$8),2)</f>
        <v>2.25</v>
      </c>
      <c r="S573" s="26">
        <f>IFERROR(INDEX(Parametros!$F$33:$F$42,MATCH(D573,Parametros!$A$33:$A$42,0)),1)</f>
        <v>1.1000000000000001</v>
      </c>
      <c r="T573" s="27">
        <f>IFERROR(INDEX(Parametros!$B$21:$B$26,MATCH(I573,Parametros!$A$21:$A$26,0)),0)</f>
        <v>-0.3</v>
      </c>
      <c r="U573" s="28">
        <f t="shared" si="33"/>
        <v>2.1800000000000002</v>
      </c>
      <c r="V573" s="9">
        <f>IF(U573&gt;=Parametros!$B$14,4,IF(U573&gt;=Parametros!$B$13,3,IF(U573&gt;=Parametros!$B$12,2,1)))</f>
        <v>1</v>
      </c>
      <c r="W573" s="5">
        <f>MAX(V573,IF(K573=5,Parametros!$B$17,0),IF(P573="Sim",Parametros!$B$18,0))</f>
        <v>1</v>
      </c>
      <c r="X573" s="5" t="str">
        <f t="shared" si="34"/>
        <v>Baixa</v>
      </c>
      <c r="Y573" s="29">
        <f t="shared" si="35"/>
        <v>1021.5994269999999</v>
      </c>
      <c r="Z573" s="4" t="s">
        <v>1213</v>
      </c>
    </row>
    <row r="574" spans="1:26" ht="28.05" customHeight="1" x14ac:dyDescent="0.3">
      <c r="A574" s="5">
        <f t="shared" si="32"/>
        <v>570</v>
      </c>
      <c r="B574" s="23" t="s">
        <v>1336</v>
      </c>
      <c r="C574" s="17" t="s">
        <v>1337</v>
      </c>
      <c r="D574" s="4" t="s">
        <v>55</v>
      </c>
      <c r="E574" s="4" t="s">
        <v>69</v>
      </c>
      <c r="F574" s="4" t="s">
        <v>69</v>
      </c>
      <c r="G574" s="4" t="s">
        <v>171</v>
      </c>
      <c r="H574" s="4" t="s">
        <v>172</v>
      </c>
      <c r="I574" s="24" t="s">
        <v>152</v>
      </c>
      <c r="J574" s="15">
        <v>2</v>
      </c>
      <c r="K574" s="15">
        <v>2</v>
      </c>
      <c r="L574" s="15">
        <v>2</v>
      </c>
      <c r="M574" s="15">
        <v>1</v>
      </c>
      <c r="N574" s="15">
        <v>3</v>
      </c>
      <c r="O574" s="15">
        <v>3</v>
      </c>
      <c r="P574" s="15" t="s">
        <v>415</v>
      </c>
      <c r="Q574" s="23" t="s">
        <v>416</v>
      </c>
      <c r="R574" s="25">
        <f>ROUND((K574*Parametros!$B$4+L574*Parametros!$B$5+M574*Parametros!$B$6+N574*Parametros!$B$7+O574*Parametros!$B$8)/SUM(Parametros!$B$4:$B$8),2)</f>
        <v>2.1</v>
      </c>
      <c r="S574" s="26">
        <f>IFERROR(INDEX(Parametros!$F$33:$F$42,MATCH(D574,Parametros!$A$33:$A$42,0)),1)</f>
        <v>1.034</v>
      </c>
      <c r="T574" s="27">
        <f>IFERROR(INDEX(Parametros!$B$21:$B$26,MATCH(I574,Parametros!$A$21:$A$26,0)),0)</f>
        <v>0</v>
      </c>
      <c r="U574" s="28">
        <f t="shared" si="33"/>
        <v>2.17</v>
      </c>
      <c r="V574" s="9">
        <f>IF(U574&gt;=Parametros!$B$14,4,IF(U574&gt;=Parametros!$B$13,3,IF(U574&gt;=Parametros!$B$12,2,1)))</f>
        <v>1</v>
      </c>
      <c r="W574" s="5">
        <f>MAX(V574,IF(K574=5,Parametros!$B$17,0),IF(P574="Sim",Parametros!$B$18,0))</f>
        <v>1</v>
      </c>
      <c r="X574" s="5" t="str">
        <f t="shared" si="34"/>
        <v>Baixa</v>
      </c>
      <c r="Y574" s="29">
        <f t="shared" si="35"/>
        <v>1021.499426</v>
      </c>
      <c r="Z574" s="4" t="s">
        <v>659</v>
      </c>
    </row>
    <row r="575" spans="1:26" ht="28.05" customHeight="1" x14ac:dyDescent="0.3">
      <c r="A575" s="5">
        <f t="shared" si="32"/>
        <v>571</v>
      </c>
      <c r="B575" s="23" t="s">
        <v>1338</v>
      </c>
      <c r="C575" s="17" t="s">
        <v>1339</v>
      </c>
      <c r="D575" s="4" t="s">
        <v>50</v>
      </c>
      <c r="E575" s="4" t="s">
        <v>64</v>
      </c>
      <c r="F575" s="4" t="s">
        <v>64</v>
      </c>
      <c r="G575" s="4" t="s">
        <v>184</v>
      </c>
      <c r="H575" s="4" t="s">
        <v>185</v>
      </c>
      <c r="I575" s="24" t="s">
        <v>152</v>
      </c>
      <c r="J575" s="15">
        <v>3</v>
      </c>
      <c r="K575" s="15">
        <v>3</v>
      </c>
      <c r="L575" s="15">
        <v>3</v>
      </c>
      <c r="M575" s="15">
        <v>1</v>
      </c>
      <c r="N575" s="15">
        <v>1</v>
      </c>
      <c r="O575" s="15">
        <v>1</v>
      </c>
      <c r="P575" s="15" t="s">
        <v>415</v>
      </c>
      <c r="Q575" s="23" t="s">
        <v>838</v>
      </c>
      <c r="R575" s="25">
        <f>ROUND((K575*Parametros!$B$4+L575*Parametros!$B$5+M575*Parametros!$B$6+N575*Parametros!$B$7+O575*Parametros!$B$8)/SUM(Parametros!$B$4:$B$8),2)</f>
        <v>2</v>
      </c>
      <c r="S575" s="26">
        <f>IFERROR(INDEX(Parametros!$F$33:$F$42,MATCH(D575,Parametros!$A$33:$A$42,0)),1)</f>
        <v>1.0840000000000001</v>
      </c>
      <c r="T575" s="27">
        <f>IFERROR(INDEX(Parametros!$B$21:$B$26,MATCH(I575,Parametros!$A$21:$A$26,0)),0)</f>
        <v>0</v>
      </c>
      <c r="U575" s="28">
        <f t="shared" si="33"/>
        <v>2.17</v>
      </c>
      <c r="V575" s="9">
        <f>IF(U575&gt;=Parametros!$B$14,4,IF(U575&gt;=Parametros!$B$13,3,IF(U575&gt;=Parametros!$B$12,2,1)))</f>
        <v>1</v>
      </c>
      <c r="W575" s="5">
        <f>MAX(V575,IF(K575=5,Parametros!$B$17,0),IF(P575="Sim",Parametros!$B$18,0))</f>
        <v>1</v>
      </c>
      <c r="X575" s="5" t="str">
        <f t="shared" si="34"/>
        <v>Baixa</v>
      </c>
      <c r="Y575" s="29">
        <f t="shared" si="35"/>
        <v>1021.3994250000001</v>
      </c>
      <c r="Z575" s="4" t="s">
        <v>659</v>
      </c>
    </row>
    <row r="576" spans="1:26" ht="28.05" customHeight="1" x14ac:dyDescent="0.3">
      <c r="A576" s="5">
        <f t="shared" si="32"/>
        <v>572</v>
      </c>
      <c r="B576" s="23" t="s">
        <v>1340</v>
      </c>
      <c r="C576" s="17" t="s">
        <v>1341</v>
      </c>
      <c r="D576" s="4" t="s">
        <v>50</v>
      </c>
      <c r="E576" s="4" t="s">
        <v>64</v>
      </c>
      <c r="F576" s="4" t="s">
        <v>64</v>
      </c>
      <c r="G576" s="4" t="s">
        <v>171</v>
      </c>
      <c r="H576" s="4" t="s">
        <v>172</v>
      </c>
      <c r="I576" s="24" t="s">
        <v>131</v>
      </c>
      <c r="J576" s="15">
        <v>3</v>
      </c>
      <c r="K576" s="15">
        <v>3</v>
      </c>
      <c r="L576" s="15">
        <v>3</v>
      </c>
      <c r="M576" s="15">
        <v>1</v>
      </c>
      <c r="N576" s="15">
        <v>1</v>
      </c>
      <c r="O576" s="15">
        <v>1</v>
      </c>
      <c r="P576" s="15" t="s">
        <v>415</v>
      </c>
      <c r="Q576" s="23" t="s">
        <v>838</v>
      </c>
      <c r="R576" s="25">
        <f>ROUND((K576*Parametros!$B$4+L576*Parametros!$B$5+M576*Parametros!$B$6+N576*Parametros!$B$7+O576*Parametros!$B$8)/SUM(Parametros!$B$4:$B$8),2)</f>
        <v>2</v>
      </c>
      <c r="S576" s="26">
        <f>IFERROR(INDEX(Parametros!$F$33:$F$42,MATCH(D576,Parametros!$A$33:$A$42,0)),1)</f>
        <v>1.0840000000000001</v>
      </c>
      <c r="T576" s="27">
        <f>IFERROR(INDEX(Parametros!$B$21:$B$26,MATCH(I576,Parametros!$A$21:$A$26,0)),0)</f>
        <v>0</v>
      </c>
      <c r="U576" s="28">
        <f t="shared" si="33"/>
        <v>2.17</v>
      </c>
      <c r="V576" s="9">
        <f>IF(U576&gt;=Parametros!$B$14,4,IF(U576&gt;=Parametros!$B$13,3,IF(U576&gt;=Parametros!$B$12,2,1)))</f>
        <v>1</v>
      </c>
      <c r="W576" s="5">
        <f>MAX(V576,IF(K576=5,Parametros!$B$17,0),IF(P576="Sim",Parametros!$B$18,0))</f>
        <v>1</v>
      </c>
      <c r="X576" s="5" t="str">
        <f t="shared" si="34"/>
        <v>Baixa</v>
      </c>
      <c r="Y576" s="29">
        <f t="shared" si="35"/>
        <v>1021.3994240000001</v>
      </c>
      <c r="Z576" s="4" t="s">
        <v>659</v>
      </c>
    </row>
    <row r="577" spans="1:26" ht="28.05" customHeight="1" x14ac:dyDescent="0.3">
      <c r="A577" s="5">
        <f t="shared" si="32"/>
        <v>573</v>
      </c>
      <c r="B577" s="23" t="s">
        <v>1342</v>
      </c>
      <c r="C577" s="17" t="s">
        <v>1337</v>
      </c>
      <c r="D577" s="4" t="s">
        <v>56</v>
      </c>
      <c r="E577" s="4" t="s">
        <v>69</v>
      </c>
      <c r="F577" s="4" t="s">
        <v>69</v>
      </c>
      <c r="G577" s="4" t="s">
        <v>134</v>
      </c>
      <c r="H577" s="4" t="s">
        <v>108</v>
      </c>
      <c r="I577" s="24" t="s">
        <v>152</v>
      </c>
      <c r="J577" s="15">
        <v>2</v>
      </c>
      <c r="K577" s="15">
        <v>2</v>
      </c>
      <c r="L577" s="15">
        <v>2</v>
      </c>
      <c r="M577" s="15">
        <v>1</v>
      </c>
      <c r="N577" s="15">
        <v>3</v>
      </c>
      <c r="O577" s="15">
        <v>3</v>
      </c>
      <c r="P577" s="15" t="s">
        <v>415</v>
      </c>
      <c r="Q577" s="23" t="s">
        <v>416</v>
      </c>
      <c r="R577" s="25">
        <f>ROUND((K577*Parametros!$B$4+L577*Parametros!$B$5+M577*Parametros!$B$6+N577*Parametros!$B$7+O577*Parametros!$B$8)/SUM(Parametros!$B$4:$B$8),2)</f>
        <v>2.1</v>
      </c>
      <c r="S577" s="26">
        <f>IFERROR(INDEX(Parametros!$F$33:$F$42,MATCH(D577,Parametros!$A$33:$A$42,0)),1)</f>
        <v>1.0169999999999999</v>
      </c>
      <c r="T577" s="27">
        <f>IFERROR(INDEX(Parametros!$B$21:$B$26,MATCH(I577,Parametros!$A$21:$A$26,0)),0)</f>
        <v>0</v>
      </c>
      <c r="U577" s="28">
        <f t="shared" si="33"/>
        <v>2.14</v>
      </c>
      <c r="V577" s="9">
        <f>IF(U577&gt;=Parametros!$B$14,4,IF(U577&gt;=Parametros!$B$13,3,IF(U577&gt;=Parametros!$B$12,2,1)))</f>
        <v>1</v>
      </c>
      <c r="W577" s="5">
        <f>MAX(V577,IF(K577=5,Parametros!$B$17,0),IF(P577="Sim",Parametros!$B$18,0))</f>
        <v>1</v>
      </c>
      <c r="X577" s="5" t="str">
        <f t="shared" si="34"/>
        <v>Baixa</v>
      </c>
      <c r="Y577" s="29">
        <f t="shared" si="35"/>
        <v>1021.1994229999999</v>
      </c>
      <c r="Z577" s="4" t="s">
        <v>659</v>
      </c>
    </row>
    <row r="578" spans="1:26" ht="28.05" customHeight="1" x14ac:dyDescent="0.3">
      <c r="A578" s="5">
        <f t="shared" si="32"/>
        <v>574</v>
      </c>
      <c r="B578" s="23" t="s">
        <v>1343</v>
      </c>
      <c r="C578" s="17" t="s">
        <v>1344</v>
      </c>
      <c r="D578" s="4" t="s">
        <v>50</v>
      </c>
      <c r="E578" s="4" t="s">
        <v>75</v>
      </c>
      <c r="F578" s="4" t="s">
        <v>75</v>
      </c>
      <c r="G578" s="4" t="s">
        <v>112</v>
      </c>
      <c r="H578" s="4" t="s">
        <v>108</v>
      </c>
      <c r="I578" s="24" t="s">
        <v>954</v>
      </c>
      <c r="J578" s="15">
        <v>2</v>
      </c>
      <c r="K578" s="15">
        <v>2</v>
      </c>
      <c r="L578" s="15">
        <v>3</v>
      </c>
      <c r="M578" s="15">
        <v>3</v>
      </c>
      <c r="N578" s="15">
        <v>1</v>
      </c>
      <c r="O578" s="15">
        <v>2</v>
      </c>
      <c r="P578" s="15" t="s">
        <v>415</v>
      </c>
      <c r="Q578" s="23" t="s">
        <v>838</v>
      </c>
      <c r="R578" s="25">
        <f>ROUND((K578*Parametros!$B$4+L578*Parametros!$B$5+M578*Parametros!$B$6+N578*Parametros!$B$7+O578*Parametros!$B$8)/SUM(Parametros!$B$4:$B$8),2)</f>
        <v>2.25</v>
      </c>
      <c r="S578" s="26">
        <f>IFERROR(INDEX(Parametros!$F$33:$F$42,MATCH(D578,Parametros!$A$33:$A$42,0)),1)</f>
        <v>1.0840000000000001</v>
      </c>
      <c r="T578" s="27">
        <f>IFERROR(INDEX(Parametros!$B$21:$B$26,MATCH(I578,Parametros!$A$21:$A$26,0)),0)</f>
        <v>-0.3</v>
      </c>
      <c r="U578" s="28">
        <f t="shared" si="33"/>
        <v>2.14</v>
      </c>
      <c r="V578" s="9">
        <f>IF(U578&gt;=Parametros!$B$14,4,IF(U578&gt;=Parametros!$B$13,3,IF(U578&gt;=Parametros!$B$12,2,1)))</f>
        <v>1</v>
      </c>
      <c r="W578" s="5">
        <f>MAX(V578,IF(K578=5,Parametros!$B$17,0),IF(P578="Sim",Parametros!$B$18,0))</f>
        <v>1</v>
      </c>
      <c r="X578" s="5" t="str">
        <f t="shared" si="34"/>
        <v>Baixa</v>
      </c>
      <c r="Y578" s="29">
        <f t="shared" si="35"/>
        <v>1021.1994219999999</v>
      </c>
      <c r="Z578" s="4" t="s">
        <v>1213</v>
      </c>
    </row>
    <row r="579" spans="1:26" ht="28.05" customHeight="1" x14ac:dyDescent="0.3">
      <c r="A579" s="5">
        <f t="shared" si="32"/>
        <v>575</v>
      </c>
      <c r="B579" s="23" t="s">
        <v>1345</v>
      </c>
      <c r="C579" s="17" t="s">
        <v>1346</v>
      </c>
      <c r="D579" s="4" t="s">
        <v>50</v>
      </c>
      <c r="E579" s="4" t="s">
        <v>75</v>
      </c>
      <c r="F579" s="4" t="s">
        <v>75</v>
      </c>
      <c r="G579" s="4" t="s">
        <v>112</v>
      </c>
      <c r="H579" s="4" t="s">
        <v>108</v>
      </c>
      <c r="I579" s="24" t="s">
        <v>954</v>
      </c>
      <c r="J579" s="15">
        <v>2</v>
      </c>
      <c r="K579" s="15">
        <v>2</v>
      </c>
      <c r="L579" s="15">
        <v>3</v>
      </c>
      <c r="M579" s="15">
        <v>3</v>
      </c>
      <c r="N579" s="15">
        <v>1</v>
      </c>
      <c r="O579" s="15">
        <v>2</v>
      </c>
      <c r="P579" s="15" t="s">
        <v>415</v>
      </c>
      <c r="Q579" s="23" t="s">
        <v>838</v>
      </c>
      <c r="R579" s="25">
        <f>ROUND((K579*Parametros!$B$4+L579*Parametros!$B$5+M579*Parametros!$B$6+N579*Parametros!$B$7+O579*Parametros!$B$8)/SUM(Parametros!$B$4:$B$8),2)</f>
        <v>2.25</v>
      </c>
      <c r="S579" s="26">
        <f>IFERROR(INDEX(Parametros!$F$33:$F$42,MATCH(D579,Parametros!$A$33:$A$42,0)),1)</f>
        <v>1.0840000000000001</v>
      </c>
      <c r="T579" s="27">
        <f>IFERROR(INDEX(Parametros!$B$21:$B$26,MATCH(I579,Parametros!$A$21:$A$26,0)),0)</f>
        <v>-0.3</v>
      </c>
      <c r="U579" s="28">
        <f t="shared" si="33"/>
        <v>2.14</v>
      </c>
      <c r="V579" s="9">
        <f>IF(U579&gt;=Parametros!$B$14,4,IF(U579&gt;=Parametros!$B$13,3,IF(U579&gt;=Parametros!$B$12,2,1)))</f>
        <v>1</v>
      </c>
      <c r="W579" s="5">
        <f>MAX(V579,IF(K579=5,Parametros!$B$17,0),IF(P579="Sim",Parametros!$B$18,0))</f>
        <v>1</v>
      </c>
      <c r="X579" s="5" t="str">
        <f t="shared" si="34"/>
        <v>Baixa</v>
      </c>
      <c r="Y579" s="29">
        <f t="shared" si="35"/>
        <v>1021.1994209999999</v>
      </c>
      <c r="Z579" s="4" t="s">
        <v>1213</v>
      </c>
    </row>
    <row r="580" spans="1:26" ht="28.05" customHeight="1" x14ac:dyDescent="0.3">
      <c r="A580" s="5">
        <f t="shared" si="32"/>
        <v>576</v>
      </c>
      <c r="B580" s="23" t="s">
        <v>1347</v>
      </c>
      <c r="C580" s="17" t="s">
        <v>1348</v>
      </c>
      <c r="D580" s="4" t="s">
        <v>50</v>
      </c>
      <c r="E580" s="4" t="s">
        <v>75</v>
      </c>
      <c r="F580" s="4" t="s">
        <v>75</v>
      </c>
      <c r="G580" s="4" t="s">
        <v>112</v>
      </c>
      <c r="H580" s="4" t="s">
        <v>108</v>
      </c>
      <c r="I580" s="24" t="s">
        <v>954</v>
      </c>
      <c r="J580" s="15">
        <v>2</v>
      </c>
      <c r="K580" s="15">
        <v>2</v>
      </c>
      <c r="L580" s="15">
        <v>3</v>
      </c>
      <c r="M580" s="15">
        <v>3</v>
      </c>
      <c r="N580" s="15">
        <v>1</v>
      </c>
      <c r="O580" s="15">
        <v>2</v>
      </c>
      <c r="P580" s="15" t="s">
        <v>415</v>
      </c>
      <c r="Q580" s="23" t="s">
        <v>838</v>
      </c>
      <c r="R580" s="25">
        <f>ROUND((K580*Parametros!$B$4+L580*Parametros!$B$5+M580*Parametros!$B$6+N580*Parametros!$B$7+O580*Parametros!$B$8)/SUM(Parametros!$B$4:$B$8),2)</f>
        <v>2.25</v>
      </c>
      <c r="S580" s="26">
        <f>IFERROR(INDEX(Parametros!$F$33:$F$42,MATCH(D580,Parametros!$A$33:$A$42,0)),1)</f>
        <v>1.0840000000000001</v>
      </c>
      <c r="T580" s="27">
        <f>IFERROR(INDEX(Parametros!$B$21:$B$26,MATCH(I580,Parametros!$A$21:$A$26,0)),0)</f>
        <v>-0.3</v>
      </c>
      <c r="U580" s="28">
        <f t="shared" si="33"/>
        <v>2.14</v>
      </c>
      <c r="V580" s="9">
        <f>IF(U580&gt;=Parametros!$B$14,4,IF(U580&gt;=Parametros!$B$13,3,IF(U580&gt;=Parametros!$B$12,2,1)))</f>
        <v>1</v>
      </c>
      <c r="W580" s="5">
        <f>MAX(V580,IF(K580=5,Parametros!$B$17,0),IF(P580="Sim",Parametros!$B$18,0))</f>
        <v>1</v>
      </c>
      <c r="X580" s="5" t="str">
        <f t="shared" si="34"/>
        <v>Baixa</v>
      </c>
      <c r="Y580" s="29">
        <f t="shared" si="35"/>
        <v>1021.1994199999999</v>
      </c>
      <c r="Z580" s="4" t="s">
        <v>1213</v>
      </c>
    </row>
    <row r="581" spans="1:26" ht="28.05" customHeight="1" x14ac:dyDescent="0.3">
      <c r="A581" s="5">
        <f t="shared" ref="A581:A644" si="36">IF(Y581="","",COUNTIF($Y$5:$Y$983,"&gt;"&amp;Y581)+1)</f>
        <v>577</v>
      </c>
      <c r="B581" s="23" t="s">
        <v>1349</v>
      </c>
      <c r="C581" s="17" t="s">
        <v>1350</v>
      </c>
      <c r="D581" s="4" t="s">
        <v>50</v>
      </c>
      <c r="E581" s="4" t="s">
        <v>1351</v>
      </c>
      <c r="F581" s="4" t="s">
        <v>1351</v>
      </c>
      <c r="G581" s="4" t="s">
        <v>171</v>
      </c>
      <c r="H581" s="4" t="s">
        <v>172</v>
      </c>
      <c r="I581" s="24" t="s">
        <v>954</v>
      </c>
      <c r="J581" s="15">
        <v>2</v>
      </c>
      <c r="K581" s="15">
        <v>2</v>
      </c>
      <c r="L581" s="15">
        <v>3</v>
      </c>
      <c r="M581" s="15">
        <v>3</v>
      </c>
      <c r="N581" s="15">
        <v>1</v>
      </c>
      <c r="O581" s="15">
        <v>2</v>
      </c>
      <c r="P581" s="15" t="s">
        <v>415</v>
      </c>
      <c r="Q581" s="23" t="s">
        <v>838</v>
      </c>
      <c r="R581" s="25">
        <f>ROUND((K581*Parametros!$B$4+L581*Parametros!$B$5+M581*Parametros!$B$6+N581*Parametros!$B$7+O581*Parametros!$B$8)/SUM(Parametros!$B$4:$B$8),2)</f>
        <v>2.25</v>
      </c>
      <c r="S581" s="26">
        <f>IFERROR(INDEX(Parametros!$F$33:$F$42,MATCH(D581,Parametros!$A$33:$A$42,0)),1)</f>
        <v>1.0840000000000001</v>
      </c>
      <c r="T581" s="27">
        <f>IFERROR(INDEX(Parametros!$B$21:$B$26,MATCH(I581,Parametros!$A$21:$A$26,0)),0)</f>
        <v>-0.3</v>
      </c>
      <c r="U581" s="28">
        <f t="shared" ref="U581:U644" si="37">ROUND(R581*S581+T581,2)</f>
        <v>2.14</v>
      </c>
      <c r="V581" s="9">
        <f>IF(U581&gt;=Parametros!$B$14,4,IF(U581&gt;=Parametros!$B$13,3,IF(U581&gt;=Parametros!$B$12,2,1)))</f>
        <v>1</v>
      </c>
      <c r="W581" s="5">
        <f>MAX(V581,IF(K581=5,Parametros!$B$17,0),IF(P581="Sim",Parametros!$B$18,0))</f>
        <v>1</v>
      </c>
      <c r="X581" s="5" t="str">
        <f t="shared" ref="X581:X644" si="38">CHOOSE(W581,"Baixa","Normal","Alta","Urgente")</f>
        <v>Baixa</v>
      </c>
      <c r="Y581" s="29">
        <f t="shared" ref="Y581:Y644" si="39">W581*1000+U581*10-J581/10-ROW()/1000000</f>
        <v>1021.1994189999999</v>
      </c>
      <c r="Z581" s="4" t="s">
        <v>1213</v>
      </c>
    </row>
    <row r="582" spans="1:26" ht="28.05" customHeight="1" x14ac:dyDescent="0.3">
      <c r="A582" s="5">
        <f t="shared" si="36"/>
        <v>578</v>
      </c>
      <c r="B582" s="23" t="s">
        <v>1352</v>
      </c>
      <c r="C582" s="17" t="s">
        <v>1353</v>
      </c>
      <c r="D582" s="4" t="s">
        <v>50</v>
      </c>
      <c r="E582" s="4" t="s">
        <v>70</v>
      </c>
      <c r="F582" s="4" t="s">
        <v>70</v>
      </c>
      <c r="G582" s="4" t="s">
        <v>171</v>
      </c>
      <c r="H582" s="4" t="s">
        <v>172</v>
      </c>
      <c r="I582" s="24" t="s">
        <v>954</v>
      </c>
      <c r="J582" s="15">
        <v>2</v>
      </c>
      <c r="K582" s="15">
        <v>2</v>
      </c>
      <c r="L582" s="15">
        <v>3</v>
      </c>
      <c r="M582" s="15">
        <v>3</v>
      </c>
      <c r="N582" s="15">
        <v>1</v>
      </c>
      <c r="O582" s="15">
        <v>2</v>
      </c>
      <c r="P582" s="15" t="s">
        <v>415</v>
      </c>
      <c r="Q582" s="23" t="s">
        <v>838</v>
      </c>
      <c r="R582" s="25">
        <f>ROUND((K582*Parametros!$B$4+L582*Parametros!$B$5+M582*Parametros!$B$6+N582*Parametros!$B$7+O582*Parametros!$B$8)/SUM(Parametros!$B$4:$B$8),2)</f>
        <v>2.25</v>
      </c>
      <c r="S582" s="26">
        <f>IFERROR(INDEX(Parametros!$F$33:$F$42,MATCH(D582,Parametros!$A$33:$A$42,0)),1)</f>
        <v>1.0840000000000001</v>
      </c>
      <c r="T582" s="27">
        <f>IFERROR(INDEX(Parametros!$B$21:$B$26,MATCH(I582,Parametros!$A$21:$A$26,0)),0)</f>
        <v>-0.3</v>
      </c>
      <c r="U582" s="28">
        <f t="shared" si="37"/>
        <v>2.14</v>
      </c>
      <c r="V582" s="9">
        <f>IF(U582&gt;=Parametros!$B$14,4,IF(U582&gt;=Parametros!$B$13,3,IF(U582&gt;=Parametros!$B$12,2,1)))</f>
        <v>1</v>
      </c>
      <c r="W582" s="5">
        <f>MAX(V582,IF(K582=5,Parametros!$B$17,0),IF(P582="Sim",Parametros!$B$18,0))</f>
        <v>1</v>
      </c>
      <c r="X582" s="5" t="str">
        <f t="shared" si="38"/>
        <v>Baixa</v>
      </c>
      <c r="Y582" s="29">
        <f t="shared" si="39"/>
        <v>1021.1994179999999</v>
      </c>
      <c r="Z582" s="4" t="s">
        <v>1213</v>
      </c>
    </row>
    <row r="583" spans="1:26" ht="28.05" customHeight="1" x14ac:dyDescent="0.3">
      <c r="A583" s="5">
        <f t="shared" si="36"/>
        <v>579</v>
      </c>
      <c r="B583" s="23" t="s">
        <v>1354</v>
      </c>
      <c r="C583" s="17" t="s">
        <v>1355</v>
      </c>
      <c r="D583" s="4" t="s">
        <v>50</v>
      </c>
      <c r="E583" s="4" t="s">
        <v>70</v>
      </c>
      <c r="F583" s="4" t="s">
        <v>70</v>
      </c>
      <c r="G583" s="4" t="s">
        <v>171</v>
      </c>
      <c r="H583" s="4" t="s">
        <v>172</v>
      </c>
      <c r="I583" s="24" t="s">
        <v>954</v>
      </c>
      <c r="J583" s="15">
        <v>2</v>
      </c>
      <c r="K583" s="15">
        <v>2</v>
      </c>
      <c r="L583" s="15">
        <v>3</v>
      </c>
      <c r="M583" s="15">
        <v>3</v>
      </c>
      <c r="N583" s="15">
        <v>1</v>
      </c>
      <c r="O583" s="15">
        <v>2</v>
      </c>
      <c r="P583" s="15" t="s">
        <v>415</v>
      </c>
      <c r="Q583" s="23" t="s">
        <v>838</v>
      </c>
      <c r="R583" s="25">
        <f>ROUND((K583*Parametros!$B$4+L583*Parametros!$B$5+M583*Parametros!$B$6+N583*Parametros!$B$7+O583*Parametros!$B$8)/SUM(Parametros!$B$4:$B$8),2)</f>
        <v>2.25</v>
      </c>
      <c r="S583" s="26">
        <f>IFERROR(INDEX(Parametros!$F$33:$F$42,MATCH(D583,Parametros!$A$33:$A$42,0)),1)</f>
        <v>1.0840000000000001</v>
      </c>
      <c r="T583" s="27">
        <f>IFERROR(INDEX(Parametros!$B$21:$B$26,MATCH(I583,Parametros!$A$21:$A$26,0)),0)</f>
        <v>-0.3</v>
      </c>
      <c r="U583" s="28">
        <f t="shared" si="37"/>
        <v>2.14</v>
      </c>
      <c r="V583" s="9">
        <f>IF(U583&gt;=Parametros!$B$14,4,IF(U583&gt;=Parametros!$B$13,3,IF(U583&gt;=Parametros!$B$12,2,1)))</f>
        <v>1</v>
      </c>
      <c r="W583" s="5">
        <f>MAX(V583,IF(K583=5,Parametros!$B$17,0),IF(P583="Sim",Parametros!$B$18,0))</f>
        <v>1</v>
      </c>
      <c r="X583" s="5" t="str">
        <f t="shared" si="38"/>
        <v>Baixa</v>
      </c>
      <c r="Y583" s="29">
        <f t="shared" si="39"/>
        <v>1021.1994169999999</v>
      </c>
      <c r="Z583" s="4" t="s">
        <v>1213</v>
      </c>
    </row>
    <row r="584" spans="1:26" ht="28.05" customHeight="1" x14ac:dyDescent="0.3">
      <c r="A584" s="5">
        <f t="shared" si="36"/>
        <v>580</v>
      </c>
      <c r="B584" s="23" t="s">
        <v>1356</v>
      </c>
      <c r="C584" s="17" t="s">
        <v>1357</v>
      </c>
      <c r="D584" s="4" t="s">
        <v>50</v>
      </c>
      <c r="E584" s="4" t="s">
        <v>70</v>
      </c>
      <c r="F584" s="4" t="s">
        <v>70</v>
      </c>
      <c r="G584" s="4" t="s">
        <v>171</v>
      </c>
      <c r="H584" s="4" t="s">
        <v>172</v>
      </c>
      <c r="I584" s="24" t="s">
        <v>954</v>
      </c>
      <c r="J584" s="15">
        <v>2</v>
      </c>
      <c r="K584" s="15">
        <v>2</v>
      </c>
      <c r="L584" s="15">
        <v>3</v>
      </c>
      <c r="M584" s="15">
        <v>3</v>
      </c>
      <c r="N584" s="15">
        <v>1</v>
      </c>
      <c r="O584" s="15">
        <v>2</v>
      </c>
      <c r="P584" s="15" t="s">
        <v>415</v>
      </c>
      <c r="Q584" s="23" t="s">
        <v>838</v>
      </c>
      <c r="R584" s="25">
        <f>ROUND((K584*Parametros!$B$4+L584*Parametros!$B$5+M584*Parametros!$B$6+N584*Parametros!$B$7+O584*Parametros!$B$8)/SUM(Parametros!$B$4:$B$8),2)</f>
        <v>2.25</v>
      </c>
      <c r="S584" s="26">
        <f>IFERROR(INDEX(Parametros!$F$33:$F$42,MATCH(D584,Parametros!$A$33:$A$42,0)),1)</f>
        <v>1.0840000000000001</v>
      </c>
      <c r="T584" s="27">
        <f>IFERROR(INDEX(Parametros!$B$21:$B$26,MATCH(I584,Parametros!$A$21:$A$26,0)),0)</f>
        <v>-0.3</v>
      </c>
      <c r="U584" s="28">
        <f t="shared" si="37"/>
        <v>2.14</v>
      </c>
      <c r="V584" s="9">
        <f>IF(U584&gt;=Parametros!$B$14,4,IF(U584&gt;=Parametros!$B$13,3,IF(U584&gt;=Parametros!$B$12,2,1)))</f>
        <v>1</v>
      </c>
      <c r="W584" s="5">
        <f>MAX(V584,IF(K584=5,Parametros!$B$17,0),IF(P584="Sim",Parametros!$B$18,0))</f>
        <v>1</v>
      </c>
      <c r="X584" s="5" t="str">
        <f t="shared" si="38"/>
        <v>Baixa</v>
      </c>
      <c r="Y584" s="29">
        <f t="shared" si="39"/>
        <v>1021.1994159999999</v>
      </c>
      <c r="Z584" s="4" t="s">
        <v>1213</v>
      </c>
    </row>
    <row r="585" spans="1:26" ht="28.05" customHeight="1" x14ac:dyDescent="0.3">
      <c r="A585" s="5">
        <f t="shared" si="36"/>
        <v>581</v>
      </c>
      <c r="B585" s="23" t="s">
        <v>1358</v>
      </c>
      <c r="C585" s="17" t="s">
        <v>1359</v>
      </c>
      <c r="D585" s="4" t="s">
        <v>50</v>
      </c>
      <c r="E585" s="4" t="s">
        <v>65</v>
      </c>
      <c r="F585" s="4" t="s">
        <v>65</v>
      </c>
      <c r="G585" s="4" t="s">
        <v>171</v>
      </c>
      <c r="H585" s="4" t="s">
        <v>172</v>
      </c>
      <c r="I585" s="24" t="s">
        <v>954</v>
      </c>
      <c r="J585" s="15">
        <v>2</v>
      </c>
      <c r="K585" s="15">
        <v>2</v>
      </c>
      <c r="L585" s="15">
        <v>3</v>
      </c>
      <c r="M585" s="15">
        <v>3</v>
      </c>
      <c r="N585" s="15">
        <v>1</v>
      </c>
      <c r="O585" s="15">
        <v>2</v>
      </c>
      <c r="P585" s="15" t="s">
        <v>415</v>
      </c>
      <c r="Q585" s="23" t="s">
        <v>838</v>
      </c>
      <c r="R585" s="25">
        <f>ROUND((K585*Parametros!$B$4+L585*Parametros!$B$5+M585*Parametros!$B$6+N585*Parametros!$B$7+O585*Parametros!$B$8)/SUM(Parametros!$B$4:$B$8),2)</f>
        <v>2.25</v>
      </c>
      <c r="S585" s="26">
        <f>IFERROR(INDEX(Parametros!$F$33:$F$42,MATCH(D585,Parametros!$A$33:$A$42,0)),1)</f>
        <v>1.0840000000000001</v>
      </c>
      <c r="T585" s="27">
        <f>IFERROR(INDEX(Parametros!$B$21:$B$26,MATCH(I585,Parametros!$A$21:$A$26,0)),0)</f>
        <v>-0.3</v>
      </c>
      <c r="U585" s="28">
        <f t="shared" si="37"/>
        <v>2.14</v>
      </c>
      <c r="V585" s="9">
        <f>IF(U585&gt;=Parametros!$B$14,4,IF(U585&gt;=Parametros!$B$13,3,IF(U585&gt;=Parametros!$B$12,2,1)))</f>
        <v>1</v>
      </c>
      <c r="W585" s="5">
        <f>MAX(V585,IF(K585=5,Parametros!$B$17,0),IF(P585="Sim",Parametros!$B$18,0))</f>
        <v>1</v>
      </c>
      <c r="X585" s="5" t="str">
        <f t="shared" si="38"/>
        <v>Baixa</v>
      </c>
      <c r="Y585" s="29">
        <f t="shared" si="39"/>
        <v>1021.1994149999999</v>
      </c>
      <c r="Z585" s="4" t="s">
        <v>1213</v>
      </c>
    </row>
    <row r="586" spans="1:26" ht="28.05" customHeight="1" x14ac:dyDescent="0.3">
      <c r="A586" s="5">
        <f t="shared" si="36"/>
        <v>582</v>
      </c>
      <c r="B586" s="23" t="s">
        <v>1360</v>
      </c>
      <c r="C586" s="17" t="s">
        <v>1361</v>
      </c>
      <c r="D586" s="4" t="s">
        <v>50</v>
      </c>
      <c r="E586" s="4" t="s">
        <v>65</v>
      </c>
      <c r="F586" s="4" t="s">
        <v>65</v>
      </c>
      <c r="G586" s="4" t="s">
        <v>171</v>
      </c>
      <c r="H586" s="4" t="s">
        <v>172</v>
      </c>
      <c r="I586" s="24" t="s">
        <v>954</v>
      </c>
      <c r="J586" s="15">
        <v>2</v>
      </c>
      <c r="K586" s="15">
        <v>2</v>
      </c>
      <c r="L586" s="15">
        <v>3</v>
      </c>
      <c r="M586" s="15">
        <v>3</v>
      </c>
      <c r="N586" s="15">
        <v>1</v>
      </c>
      <c r="O586" s="15">
        <v>2</v>
      </c>
      <c r="P586" s="15" t="s">
        <v>415</v>
      </c>
      <c r="Q586" s="23" t="s">
        <v>838</v>
      </c>
      <c r="R586" s="25">
        <f>ROUND((K586*Parametros!$B$4+L586*Parametros!$B$5+M586*Parametros!$B$6+N586*Parametros!$B$7+O586*Parametros!$B$8)/SUM(Parametros!$B$4:$B$8),2)</f>
        <v>2.25</v>
      </c>
      <c r="S586" s="26">
        <f>IFERROR(INDEX(Parametros!$F$33:$F$42,MATCH(D586,Parametros!$A$33:$A$42,0)),1)</f>
        <v>1.0840000000000001</v>
      </c>
      <c r="T586" s="27">
        <f>IFERROR(INDEX(Parametros!$B$21:$B$26,MATCH(I586,Parametros!$A$21:$A$26,0)),0)</f>
        <v>-0.3</v>
      </c>
      <c r="U586" s="28">
        <f t="shared" si="37"/>
        <v>2.14</v>
      </c>
      <c r="V586" s="9">
        <f>IF(U586&gt;=Parametros!$B$14,4,IF(U586&gt;=Parametros!$B$13,3,IF(U586&gt;=Parametros!$B$12,2,1)))</f>
        <v>1</v>
      </c>
      <c r="W586" s="5">
        <f>MAX(V586,IF(K586=5,Parametros!$B$17,0),IF(P586="Sim",Parametros!$B$18,0))</f>
        <v>1</v>
      </c>
      <c r="X586" s="5" t="str">
        <f t="shared" si="38"/>
        <v>Baixa</v>
      </c>
      <c r="Y586" s="29">
        <f t="shared" si="39"/>
        <v>1021.1994139999999</v>
      </c>
      <c r="Z586" s="4" t="s">
        <v>1213</v>
      </c>
    </row>
    <row r="587" spans="1:26" ht="28.05" customHeight="1" x14ac:dyDescent="0.3">
      <c r="A587" s="5">
        <f t="shared" si="36"/>
        <v>583</v>
      </c>
      <c r="B587" s="23" t="s">
        <v>1362</v>
      </c>
      <c r="C587" s="17" t="s">
        <v>1363</v>
      </c>
      <c r="D587" s="4" t="s">
        <v>50</v>
      </c>
      <c r="E587" s="4" t="s">
        <v>70</v>
      </c>
      <c r="F587" s="4" t="s">
        <v>70</v>
      </c>
      <c r="G587" s="4" t="s">
        <v>171</v>
      </c>
      <c r="H587" s="4" t="s">
        <v>172</v>
      </c>
      <c r="I587" s="24" t="s">
        <v>954</v>
      </c>
      <c r="J587" s="15">
        <v>2</v>
      </c>
      <c r="K587" s="15">
        <v>2</v>
      </c>
      <c r="L587" s="15">
        <v>3</v>
      </c>
      <c r="M587" s="15">
        <v>3</v>
      </c>
      <c r="N587" s="15">
        <v>1</v>
      </c>
      <c r="O587" s="15">
        <v>2</v>
      </c>
      <c r="P587" s="15" t="s">
        <v>415</v>
      </c>
      <c r="Q587" s="23" t="s">
        <v>838</v>
      </c>
      <c r="R587" s="25">
        <f>ROUND((K587*Parametros!$B$4+L587*Parametros!$B$5+M587*Parametros!$B$6+N587*Parametros!$B$7+O587*Parametros!$B$8)/SUM(Parametros!$B$4:$B$8),2)</f>
        <v>2.25</v>
      </c>
      <c r="S587" s="26">
        <f>IFERROR(INDEX(Parametros!$F$33:$F$42,MATCH(D587,Parametros!$A$33:$A$42,0)),1)</f>
        <v>1.0840000000000001</v>
      </c>
      <c r="T587" s="27">
        <f>IFERROR(INDEX(Parametros!$B$21:$B$26,MATCH(I587,Parametros!$A$21:$A$26,0)),0)</f>
        <v>-0.3</v>
      </c>
      <c r="U587" s="28">
        <f t="shared" si="37"/>
        <v>2.14</v>
      </c>
      <c r="V587" s="9">
        <f>IF(U587&gt;=Parametros!$B$14,4,IF(U587&gt;=Parametros!$B$13,3,IF(U587&gt;=Parametros!$B$12,2,1)))</f>
        <v>1</v>
      </c>
      <c r="W587" s="5">
        <f>MAX(V587,IF(K587=5,Parametros!$B$17,0),IF(P587="Sim",Parametros!$B$18,0))</f>
        <v>1</v>
      </c>
      <c r="X587" s="5" t="str">
        <f t="shared" si="38"/>
        <v>Baixa</v>
      </c>
      <c r="Y587" s="29">
        <f t="shared" si="39"/>
        <v>1021.1994129999999</v>
      </c>
      <c r="Z587" s="4" t="s">
        <v>1213</v>
      </c>
    </row>
    <row r="588" spans="1:26" ht="28.05" customHeight="1" x14ac:dyDescent="0.3">
      <c r="A588" s="5">
        <f t="shared" si="36"/>
        <v>584</v>
      </c>
      <c r="B588" s="23" t="s">
        <v>1364</v>
      </c>
      <c r="C588" s="17" t="s">
        <v>1365</v>
      </c>
      <c r="D588" s="4" t="s">
        <v>50</v>
      </c>
      <c r="E588" s="4" t="s">
        <v>70</v>
      </c>
      <c r="F588" s="4" t="s">
        <v>70</v>
      </c>
      <c r="G588" s="4" t="s">
        <v>171</v>
      </c>
      <c r="H588" s="4" t="s">
        <v>172</v>
      </c>
      <c r="I588" s="24" t="s">
        <v>954</v>
      </c>
      <c r="J588" s="15">
        <v>2</v>
      </c>
      <c r="K588" s="15">
        <v>2</v>
      </c>
      <c r="L588" s="15">
        <v>3</v>
      </c>
      <c r="M588" s="15">
        <v>3</v>
      </c>
      <c r="N588" s="15">
        <v>1</v>
      </c>
      <c r="O588" s="15">
        <v>2</v>
      </c>
      <c r="P588" s="15" t="s">
        <v>415</v>
      </c>
      <c r="Q588" s="23" t="s">
        <v>838</v>
      </c>
      <c r="R588" s="25">
        <f>ROUND((K588*Parametros!$B$4+L588*Parametros!$B$5+M588*Parametros!$B$6+N588*Parametros!$B$7+O588*Parametros!$B$8)/SUM(Parametros!$B$4:$B$8),2)</f>
        <v>2.25</v>
      </c>
      <c r="S588" s="26">
        <f>IFERROR(INDEX(Parametros!$F$33:$F$42,MATCH(D588,Parametros!$A$33:$A$42,0)),1)</f>
        <v>1.0840000000000001</v>
      </c>
      <c r="T588" s="27">
        <f>IFERROR(INDEX(Parametros!$B$21:$B$26,MATCH(I588,Parametros!$A$21:$A$26,0)),0)</f>
        <v>-0.3</v>
      </c>
      <c r="U588" s="28">
        <f t="shared" si="37"/>
        <v>2.14</v>
      </c>
      <c r="V588" s="9">
        <f>IF(U588&gt;=Parametros!$B$14,4,IF(U588&gt;=Parametros!$B$13,3,IF(U588&gt;=Parametros!$B$12,2,1)))</f>
        <v>1</v>
      </c>
      <c r="W588" s="5">
        <f>MAX(V588,IF(K588=5,Parametros!$B$17,0),IF(P588="Sim",Parametros!$B$18,0))</f>
        <v>1</v>
      </c>
      <c r="X588" s="5" t="str">
        <f t="shared" si="38"/>
        <v>Baixa</v>
      </c>
      <c r="Y588" s="29">
        <f t="shared" si="39"/>
        <v>1021.1994119999999</v>
      </c>
      <c r="Z588" s="4" t="s">
        <v>1213</v>
      </c>
    </row>
    <row r="589" spans="1:26" ht="28.05" customHeight="1" x14ac:dyDescent="0.3">
      <c r="A589" s="5">
        <f t="shared" si="36"/>
        <v>585</v>
      </c>
      <c r="B589" s="23" t="s">
        <v>1366</v>
      </c>
      <c r="C589" s="17" t="s">
        <v>1367</v>
      </c>
      <c r="D589" s="4" t="s">
        <v>50</v>
      </c>
      <c r="E589" s="4" t="s">
        <v>86</v>
      </c>
      <c r="F589" s="4" t="s">
        <v>86</v>
      </c>
      <c r="G589" s="4" t="s">
        <v>184</v>
      </c>
      <c r="H589" s="4" t="s">
        <v>185</v>
      </c>
      <c r="I589" s="24" t="s">
        <v>954</v>
      </c>
      <c r="J589" s="15">
        <v>2</v>
      </c>
      <c r="K589" s="15">
        <v>2</v>
      </c>
      <c r="L589" s="15">
        <v>3</v>
      </c>
      <c r="M589" s="15">
        <v>3</v>
      </c>
      <c r="N589" s="15">
        <v>1</v>
      </c>
      <c r="O589" s="15">
        <v>2</v>
      </c>
      <c r="P589" s="15" t="s">
        <v>415</v>
      </c>
      <c r="Q589" s="23" t="s">
        <v>838</v>
      </c>
      <c r="R589" s="25">
        <f>ROUND((K589*Parametros!$B$4+L589*Parametros!$B$5+M589*Parametros!$B$6+N589*Parametros!$B$7+O589*Parametros!$B$8)/SUM(Parametros!$B$4:$B$8),2)</f>
        <v>2.25</v>
      </c>
      <c r="S589" s="26">
        <f>IFERROR(INDEX(Parametros!$F$33:$F$42,MATCH(D589,Parametros!$A$33:$A$42,0)),1)</f>
        <v>1.0840000000000001</v>
      </c>
      <c r="T589" s="27">
        <f>IFERROR(INDEX(Parametros!$B$21:$B$26,MATCH(I589,Parametros!$A$21:$A$26,0)),0)</f>
        <v>-0.3</v>
      </c>
      <c r="U589" s="28">
        <f t="shared" si="37"/>
        <v>2.14</v>
      </c>
      <c r="V589" s="9">
        <f>IF(U589&gt;=Parametros!$B$14,4,IF(U589&gt;=Parametros!$B$13,3,IF(U589&gt;=Parametros!$B$12,2,1)))</f>
        <v>1</v>
      </c>
      <c r="W589" s="5">
        <f>MAX(V589,IF(K589=5,Parametros!$B$17,0),IF(P589="Sim",Parametros!$B$18,0))</f>
        <v>1</v>
      </c>
      <c r="X589" s="5" t="str">
        <f t="shared" si="38"/>
        <v>Baixa</v>
      </c>
      <c r="Y589" s="29">
        <f t="shared" si="39"/>
        <v>1021.1994109999999</v>
      </c>
      <c r="Z589" s="4" t="s">
        <v>1213</v>
      </c>
    </row>
    <row r="590" spans="1:26" ht="28.05" customHeight="1" x14ac:dyDescent="0.3">
      <c r="A590" s="5">
        <f t="shared" si="36"/>
        <v>586</v>
      </c>
      <c r="B590" s="23" t="s">
        <v>1368</v>
      </c>
      <c r="C590" s="17" t="s">
        <v>1369</v>
      </c>
      <c r="D590" s="4" t="s">
        <v>50</v>
      </c>
      <c r="E590" s="4" t="s">
        <v>70</v>
      </c>
      <c r="F590" s="4" t="s">
        <v>70</v>
      </c>
      <c r="G590" s="4" t="s">
        <v>184</v>
      </c>
      <c r="H590" s="4" t="s">
        <v>185</v>
      </c>
      <c r="I590" s="24" t="s">
        <v>954</v>
      </c>
      <c r="J590" s="15">
        <v>2</v>
      </c>
      <c r="K590" s="15">
        <v>2</v>
      </c>
      <c r="L590" s="15">
        <v>3</v>
      </c>
      <c r="M590" s="15">
        <v>3</v>
      </c>
      <c r="N590" s="15">
        <v>1</v>
      </c>
      <c r="O590" s="15">
        <v>2</v>
      </c>
      <c r="P590" s="15" t="s">
        <v>415</v>
      </c>
      <c r="Q590" s="23" t="s">
        <v>838</v>
      </c>
      <c r="R590" s="25">
        <f>ROUND((K590*Parametros!$B$4+L590*Parametros!$B$5+M590*Parametros!$B$6+N590*Parametros!$B$7+O590*Parametros!$B$8)/SUM(Parametros!$B$4:$B$8),2)</f>
        <v>2.25</v>
      </c>
      <c r="S590" s="26">
        <f>IFERROR(INDEX(Parametros!$F$33:$F$42,MATCH(D590,Parametros!$A$33:$A$42,0)),1)</f>
        <v>1.0840000000000001</v>
      </c>
      <c r="T590" s="27">
        <f>IFERROR(INDEX(Parametros!$B$21:$B$26,MATCH(I590,Parametros!$A$21:$A$26,0)),0)</f>
        <v>-0.3</v>
      </c>
      <c r="U590" s="28">
        <f t="shared" si="37"/>
        <v>2.14</v>
      </c>
      <c r="V590" s="9">
        <f>IF(U590&gt;=Parametros!$B$14,4,IF(U590&gt;=Parametros!$B$13,3,IF(U590&gt;=Parametros!$B$12,2,1)))</f>
        <v>1</v>
      </c>
      <c r="W590" s="5">
        <f>MAX(V590,IF(K590=5,Parametros!$B$17,0),IF(P590="Sim",Parametros!$B$18,0))</f>
        <v>1</v>
      </c>
      <c r="X590" s="5" t="str">
        <f t="shared" si="38"/>
        <v>Baixa</v>
      </c>
      <c r="Y590" s="29">
        <f t="shared" si="39"/>
        <v>1021.1994099999999</v>
      </c>
      <c r="Z590" s="4" t="s">
        <v>1213</v>
      </c>
    </row>
    <row r="591" spans="1:26" ht="28.05" customHeight="1" x14ac:dyDescent="0.3">
      <c r="A591" s="5">
        <f t="shared" si="36"/>
        <v>587</v>
      </c>
      <c r="B591" s="23" t="s">
        <v>1370</v>
      </c>
      <c r="C591" s="17" t="s">
        <v>1371</v>
      </c>
      <c r="D591" s="4" t="s">
        <v>50</v>
      </c>
      <c r="E591" s="4" t="s">
        <v>389</v>
      </c>
      <c r="F591" s="4" t="s">
        <v>389</v>
      </c>
      <c r="G591" s="4" t="s">
        <v>171</v>
      </c>
      <c r="H591" s="4" t="s">
        <v>172</v>
      </c>
      <c r="I591" s="24" t="s">
        <v>954</v>
      </c>
      <c r="J591" s="15">
        <v>2</v>
      </c>
      <c r="K591" s="15">
        <v>2</v>
      </c>
      <c r="L591" s="15">
        <v>3</v>
      </c>
      <c r="M591" s="15">
        <v>3</v>
      </c>
      <c r="N591" s="15">
        <v>1</v>
      </c>
      <c r="O591" s="15">
        <v>2</v>
      </c>
      <c r="P591" s="15" t="s">
        <v>415</v>
      </c>
      <c r="Q591" s="23" t="s">
        <v>838</v>
      </c>
      <c r="R591" s="25">
        <f>ROUND((K591*Parametros!$B$4+L591*Parametros!$B$5+M591*Parametros!$B$6+N591*Parametros!$B$7+O591*Parametros!$B$8)/SUM(Parametros!$B$4:$B$8),2)</f>
        <v>2.25</v>
      </c>
      <c r="S591" s="26">
        <f>IFERROR(INDEX(Parametros!$F$33:$F$42,MATCH(D591,Parametros!$A$33:$A$42,0)),1)</f>
        <v>1.0840000000000001</v>
      </c>
      <c r="T591" s="27">
        <f>IFERROR(INDEX(Parametros!$B$21:$B$26,MATCH(I591,Parametros!$A$21:$A$26,0)),0)</f>
        <v>-0.3</v>
      </c>
      <c r="U591" s="28">
        <f t="shared" si="37"/>
        <v>2.14</v>
      </c>
      <c r="V591" s="9">
        <f>IF(U591&gt;=Parametros!$B$14,4,IF(U591&gt;=Parametros!$B$13,3,IF(U591&gt;=Parametros!$B$12,2,1)))</f>
        <v>1</v>
      </c>
      <c r="W591" s="5">
        <f>MAX(V591,IF(K591=5,Parametros!$B$17,0),IF(P591="Sim",Parametros!$B$18,0))</f>
        <v>1</v>
      </c>
      <c r="X591" s="5" t="str">
        <f t="shared" si="38"/>
        <v>Baixa</v>
      </c>
      <c r="Y591" s="29">
        <f t="shared" si="39"/>
        <v>1021.1994089999999</v>
      </c>
      <c r="Z591" s="4" t="s">
        <v>1213</v>
      </c>
    </row>
    <row r="592" spans="1:26" ht="28.05" customHeight="1" x14ac:dyDescent="0.3">
      <c r="A592" s="5">
        <f t="shared" si="36"/>
        <v>588</v>
      </c>
      <c r="B592" s="23" t="s">
        <v>1372</v>
      </c>
      <c r="C592" s="17" t="s">
        <v>1373</v>
      </c>
      <c r="D592" s="4" t="s">
        <v>50</v>
      </c>
      <c r="E592" s="4" t="s">
        <v>389</v>
      </c>
      <c r="F592" s="4" t="s">
        <v>389</v>
      </c>
      <c r="G592" s="4" t="s">
        <v>184</v>
      </c>
      <c r="H592" s="4" t="s">
        <v>185</v>
      </c>
      <c r="I592" s="24" t="s">
        <v>954</v>
      </c>
      <c r="J592" s="15">
        <v>2</v>
      </c>
      <c r="K592" s="15">
        <v>2</v>
      </c>
      <c r="L592" s="15">
        <v>3</v>
      </c>
      <c r="M592" s="15">
        <v>3</v>
      </c>
      <c r="N592" s="15">
        <v>1</v>
      </c>
      <c r="O592" s="15">
        <v>2</v>
      </c>
      <c r="P592" s="15" t="s">
        <v>415</v>
      </c>
      <c r="Q592" s="23" t="s">
        <v>838</v>
      </c>
      <c r="R592" s="25">
        <f>ROUND((K592*Parametros!$B$4+L592*Parametros!$B$5+M592*Parametros!$B$6+N592*Parametros!$B$7+O592*Parametros!$B$8)/SUM(Parametros!$B$4:$B$8),2)</f>
        <v>2.25</v>
      </c>
      <c r="S592" s="26">
        <f>IFERROR(INDEX(Parametros!$F$33:$F$42,MATCH(D592,Parametros!$A$33:$A$42,0)),1)</f>
        <v>1.0840000000000001</v>
      </c>
      <c r="T592" s="27">
        <f>IFERROR(INDEX(Parametros!$B$21:$B$26,MATCH(I592,Parametros!$A$21:$A$26,0)),0)</f>
        <v>-0.3</v>
      </c>
      <c r="U592" s="28">
        <f t="shared" si="37"/>
        <v>2.14</v>
      </c>
      <c r="V592" s="9">
        <f>IF(U592&gt;=Parametros!$B$14,4,IF(U592&gt;=Parametros!$B$13,3,IF(U592&gt;=Parametros!$B$12,2,1)))</f>
        <v>1</v>
      </c>
      <c r="W592" s="5">
        <f>MAX(V592,IF(K592=5,Parametros!$B$17,0),IF(P592="Sim",Parametros!$B$18,0))</f>
        <v>1</v>
      </c>
      <c r="X592" s="5" t="str">
        <f t="shared" si="38"/>
        <v>Baixa</v>
      </c>
      <c r="Y592" s="29">
        <f t="shared" si="39"/>
        <v>1021.1994079999999</v>
      </c>
      <c r="Z592" s="4" t="s">
        <v>1213</v>
      </c>
    </row>
    <row r="593" spans="1:26" ht="28.05" customHeight="1" x14ac:dyDescent="0.3">
      <c r="A593" s="5">
        <f t="shared" si="36"/>
        <v>589</v>
      </c>
      <c r="B593" s="23" t="s">
        <v>1374</v>
      </c>
      <c r="C593" s="17" t="s">
        <v>1375</v>
      </c>
      <c r="D593" s="4" t="s">
        <v>50</v>
      </c>
      <c r="E593" s="4" t="s">
        <v>75</v>
      </c>
      <c r="F593" s="4" t="s">
        <v>75</v>
      </c>
      <c r="G593" s="4" t="s">
        <v>171</v>
      </c>
      <c r="H593" s="4" t="s">
        <v>172</v>
      </c>
      <c r="I593" s="24" t="s">
        <v>954</v>
      </c>
      <c r="J593" s="15">
        <v>2</v>
      </c>
      <c r="K593" s="15">
        <v>2</v>
      </c>
      <c r="L593" s="15">
        <v>3</v>
      </c>
      <c r="M593" s="15">
        <v>3</v>
      </c>
      <c r="N593" s="15">
        <v>1</v>
      </c>
      <c r="O593" s="15">
        <v>2</v>
      </c>
      <c r="P593" s="15" t="s">
        <v>415</v>
      </c>
      <c r="Q593" s="23" t="s">
        <v>416</v>
      </c>
      <c r="R593" s="25">
        <f>ROUND((K593*Parametros!$B$4+L593*Parametros!$B$5+M593*Parametros!$B$6+N593*Parametros!$B$7+O593*Parametros!$B$8)/SUM(Parametros!$B$4:$B$8),2)</f>
        <v>2.25</v>
      </c>
      <c r="S593" s="26">
        <f>IFERROR(INDEX(Parametros!$F$33:$F$42,MATCH(D593,Parametros!$A$33:$A$42,0)),1)</f>
        <v>1.0840000000000001</v>
      </c>
      <c r="T593" s="27">
        <f>IFERROR(INDEX(Parametros!$B$21:$B$26,MATCH(I593,Parametros!$A$21:$A$26,0)),0)</f>
        <v>-0.3</v>
      </c>
      <c r="U593" s="28">
        <f t="shared" si="37"/>
        <v>2.14</v>
      </c>
      <c r="V593" s="9">
        <f>IF(U593&gt;=Parametros!$B$14,4,IF(U593&gt;=Parametros!$B$13,3,IF(U593&gt;=Parametros!$B$12,2,1)))</f>
        <v>1</v>
      </c>
      <c r="W593" s="5">
        <f>MAX(V593,IF(K593=5,Parametros!$B$17,0),IF(P593="Sim",Parametros!$B$18,0))</f>
        <v>1</v>
      </c>
      <c r="X593" s="5" t="str">
        <f t="shared" si="38"/>
        <v>Baixa</v>
      </c>
      <c r="Y593" s="29">
        <f t="shared" si="39"/>
        <v>1021.199407</v>
      </c>
      <c r="Z593" s="4" t="s">
        <v>1213</v>
      </c>
    </row>
    <row r="594" spans="1:26" ht="28.05" customHeight="1" x14ac:dyDescent="0.3">
      <c r="A594" s="5">
        <f t="shared" si="36"/>
        <v>590</v>
      </c>
      <c r="B594" s="23" t="s">
        <v>1376</v>
      </c>
      <c r="C594" s="17" t="s">
        <v>1377</v>
      </c>
      <c r="D594" s="4" t="s">
        <v>50</v>
      </c>
      <c r="E594" s="4" t="s">
        <v>75</v>
      </c>
      <c r="F594" s="4" t="s">
        <v>75</v>
      </c>
      <c r="G594" s="4" t="s">
        <v>171</v>
      </c>
      <c r="H594" s="4" t="s">
        <v>172</v>
      </c>
      <c r="I594" s="24" t="s">
        <v>954</v>
      </c>
      <c r="J594" s="15">
        <v>2</v>
      </c>
      <c r="K594" s="15">
        <v>2</v>
      </c>
      <c r="L594" s="15">
        <v>3</v>
      </c>
      <c r="M594" s="15">
        <v>3</v>
      </c>
      <c r="N594" s="15">
        <v>1</v>
      </c>
      <c r="O594" s="15">
        <v>2</v>
      </c>
      <c r="P594" s="15" t="s">
        <v>415</v>
      </c>
      <c r="Q594" s="23" t="s">
        <v>416</v>
      </c>
      <c r="R594" s="25">
        <f>ROUND((K594*Parametros!$B$4+L594*Parametros!$B$5+M594*Parametros!$B$6+N594*Parametros!$B$7+O594*Parametros!$B$8)/SUM(Parametros!$B$4:$B$8),2)</f>
        <v>2.25</v>
      </c>
      <c r="S594" s="26">
        <f>IFERROR(INDEX(Parametros!$F$33:$F$42,MATCH(D594,Parametros!$A$33:$A$42,0)),1)</f>
        <v>1.0840000000000001</v>
      </c>
      <c r="T594" s="27">
        <f>IFERROR(INDEX(Parametros!$B$21:$B$26,MATCH(I594,Parametros!$A$21:$A$26,0)),0)</f>
        <v>-0.3</v>
      </c>
      <c r="U594" s="28">
        <f t="shared" si="37"/>
        <v>2.14</v>
      </c>
      <c r="V594" s="9">
        <f>IF(U594&gt;=Parametros!$B$14,4,IF(U594&gt;=Parametros!$B$13,3,IF(U594&gt;=Parametros!$B$12,2,1)))</f>
        <v>1</v>
      </c>
      <c r="W594" s="5">
        <f>MAX(V594,IF(K594=5,Parametros!$B$17,0),IF(P594="Sim",Parametros!$B$18,0))</f>
        <v>1</v>
      </c>
      <c r="X594" s="5" t="str">
        <f t="shared" si="38"/>
        <v>Baixa</v>
      </c>
      <c r="Y594" s="29">
        <f t="shared" si="39"/>
        <v>1021.199406</v>
      </c>
      <c r="Z594" s="4" t="s">
        <v>1213</v>
      </c>
    </row>
    <row r="595" spans="1:26" ht="28.05" customHeight="1" x14ac:dyDescent="0.3">
      <c r="A595" s="5">
        <f t="shared" si="36"/>
        <v>591</v>
      </c>
      <c r="B595" s="23" t="s">
        <v>1378</v>
      </c>
      <c r="C595" s="17" t="s">
        <v>1379</v>
      </c>
      <c r="D595" s="4" t="s">
        <v>50</v>
      </c>
      <c r="E595" s="4" t="s">
        <v>75</v>
      </c>
      <c r="F595" s="4" t="s">
        <v>75</v>
      </c>
      <c r="G595" s="4" t="s">
        <v>171</v>
      </c>
      <c r="H595" s="4" t="s">
        <v>172</v>
      </c>
      <c r="I595" s="24" t="s">
        <v>954</v>
      </c>
      <c r="J595" s="15">
        <v>2</v>
      </c>
      <c r="K595" s="15">
        <v>2</v>
      </c>
      <c r="L595" s="15">
        <v>3</v>
      </c>
      <c r="M595" s="15">
        <v>3</v>
      </c>
      <c r="N595" s="15">
        <v>1</v>
      </c>
      <c r="O595" s="15">
        <v>2</v>
      </c>
      <c r="P595" s="15" t="s">
        <v>415</v>
      </c>
      <c r="Q595" s="23" t="s">
        <v>416</v>
      </c>
      <c r="R595" s="25">
        <f>ROUND((K595*Parametros!$B$4+L595*Parametros!$B$5+M595*Parametros!$B$6+N595*Parametros!$B$7+O595*Parametros!$B$8)/SUM(Parametros!$B$4:$B$8),2)</f>
        <v>2.25</v>
      </c>
      <c r="S595" s="26">
        <f>IFERROR(INDEX(Parametros!$F$33:$F$42,MATCH(D595,Parametros!$A$33:$A$42,0)),1)</f>
        <v>1.0840000000000001</v>
      </c>
      <c r="T595" s="27">
        <f>IFERROR(INDEX(Parametros!$B$21:$B$26,MATCH(I595,Parametros!$A$21:$A$26,0)),0)</f>
        <v>-0.3</v>
      </c>
      <c r="U595" s="28">
        <f t="shared" si="37"/>
        <v>2.14</v>
      </c>
      <c r="V595" s="9">
        <f>IF(U595&gt;=Parametros!$B$14,4,IF(U595&gt;=Parametros!$B$13,3,IF(U595&gt;=Parametros!$B$12,2,1)))</f>
        <v>1</v>
      </c>
      <c r="W595" s="5">
        <f>MAX(V595,IF(K595=5,Parametros!$B$17,0),IF(P595="Sim",Parametros!$B$18,0))</f>
        <v>1</v>
      </c>
      <c r="X595" s="5" t="str">
        <f t="shared" si="38"/>
        <v>Baixa</v>
      </c>
      <c r="Y595" s="29">
        <f t="shared" si="39"/>
        <v>1021.199405</v>
      </c>
      <c r="Z595" s="4" t="s">
        <v>1213</v>
      </c>
    </row>
    <row r="596" spans="1:26" ht="28.05" customHeight="1" x14ac:dyDescent="0.3">
      <c r="A596" s="5">
        <f t="shared" si="36"/>
        <v>592</v>
      </c>
      <c r="B596" s="23" t="s">
        <v>1380</v>
      </c>
      <c r="C596" s="17" t="s">
        <v>1381</v>
      </c>
      <c r="D596" s="4" t="s">
        <v>50</v>
      </c>
      <c r="E596" s="4" t="s">
        <v>75</v>
      </c>
      <c r="F596" s="4" t="s">
        <v>75</v>
      </c>
      <c r="G596" s="4" t="s">
        <v>171</v>
      </c>
      <c r="H596" s="4" t="s">
        <v>172</v>
      </c>
      <c r="I596" s="24" t="s">
        <v>954</v>
      </c>
      <c r="J596" s="15">
        <v>2</v>
      </c>
      <c r="K596" s="15">
        <v>2</v>
      </c>
      <c r="L596" s="15">
        <v>3</v>
      </c>
      <c r="M596" s="15">
        <v>3</v>
      </c>
      <c r="N596" s="15">
        <v>1</v>
      </c>
      <c r="O596" s="15">
        <v>2</v>
      </c>
      <c r="P596" s="15" t="s">
        <v>415</v>
      </c>
      <c r="Q596" s="23" t="s">
        <v>416</v>
      </c>
      <c r="R596" s="25">
        <f>ROUND((K596*Parametros!$B$4+L596*Parametros!$B$5+M596*Parametros!$B$6+N596*Parametros!$B$7+O596*Parametros!$B$8)/SUM(Parametros!$B$4:$B$8),2)</f>
        <v>2.25</v>
      </c>
      <c r="S596" s="26">
        <f>IFERROR(INDEX(Parametros!$F$33:$F$42,MATCH(D596,Parametros!$A$33:$A$42,0)),1)</f>
        <v>1.0840000000000001</v>
      </c>
      <c r="T596" s="27">
        <f>IFERROR(INDEX(Parametros!$B$21:$B$26,MATCH(I596,Parametros!$A$21:$A$26,0)),0)</f>
        <v>-0.3</v>
      </c>
      <c r="U596" s="28">
        <f t="shared" si="37"/>
        <v>2.14</v>
      </c>
      <c r="V596" s="9">
        <f>IF(U596&gt;=Parametros!$B$14,4,IF(U596&gt;=Parametros!$B$13,3,IF(U596&gt;=Parametros!$B$12,2,1)))</f>
        <v>1</v>
      </c>
      <c r="W596" s="5">
        <f>MAX(V596,IF(K596=5,Parametros!$B$17,0),IF(P596="Sim",Parametros!$B$18,0))</f>
        <v>1</v>
      </c>
      <c r="X596" s="5" t="str">
        <f t="shared" si="38"/>
        <v>Baixa</v>
      </c>
      <c r="Y596" s="29">
        <f t="shared" si="39"/>
        <v>1021.199404</v>
      </c>
      <c r="Z596" s="4" t="s">
        <v>1213</v>
      </c>
    </row>
    <row r="597" spans="1:26" ht="28.05" customHeight="1" x14ac:dyDescent="0.3">
      <c r="A597" s="5">
        <f t="shared" si="36"/>
        <v>593</v>
      </c>
      <c r="B597" s="23" t="s">
        <v>1382</v>
      </c>
      <c r="C597" s="17" t="s">
        <v>1383</v>
      </c>
      <c r="D597" s="4" t="s">
        <v>54</v>
      </c>
      <c r="E597" s="4" t="s">
        <v>72</v>
      </c>
      <c r="F597" s="4" t="s">
        <v>72</v>
      </c>
      <c r="G597" s="4" t="s">
        <v>134</v>
      </c>
      <c r="H597" s="4" t="s">
        <v>108</v>
      </c>
      <c r="I597" s="24" t="s">
        <v>152</v>
      </c>
      <c r="J597" s="15">
        <v>2</v>
      </c>
      <c r="K597" s="15">
        <v>2</v>
      </c>
      <c r="L597" s="15">
        <v>2</v>
      </c>
      <c r="M597" s="15">
        <v>3</v>
      </c>
      <c r="N597" s="15">
        <v>1</v>
      </c>
      <c r="O597" s="15">
        <v>2</v>
      </c>
      <c r="P597" s="15" t="s">
        <v>415</v>
      </c>
      <c r="Q597" s="23" t="s">
        <v>416</v>
      </c>
      <c r="R597" s="25">
        <f>ROUND((K597*Parametros!$B$4+L597*Parametros!$B$5+M597*Parametros!$B$6+N597*Parametros!$B$7+O597*Parametros!$B$8)/SUM(Parametros!$B$4:$B$8),2)</f>
        <v>2.0499999999999998</v>
      </c>
      <c r="S597" s="26">
        <f>IFERROR(INDEX(Parametros!$F$33:$F$42,MATCH(D597,Parametros!$A$33:$A$42,0)),1)</f>
        <v>1.034</v>
      </c>
      <c r="T597" s="27">
        <f>IFERROR(INDEX(Parametros!$B$21:$B$26,MATCH(I597,Parametros!$A$21:$A$26,0)),0)</f>
        <v>0</v>
      </c>
      <c r="U597" s="28">
        <f t="shared" si="37"/>
        <v>2.12</v>
      </c>
      <c r="V597" s="9">
        <f>IF(U597&gt;=Parametros!$B$14,4,IF(U597&gt;=Parametros!$B$13,3,IF(U597&gt;=Parametros!$B$12,2,1)))</f>
        <v>1</v>
      </c>
      <c r="W597" s="5">
        <f>MAX(V597,IF(K597=5,Parametros!$B$17,0),IF(P597="Sim",Parametros!$B$18,0))</f>
        <v>1</v>
      </c>
      <c r="X597" s="5" t="str">
        <f t="shared" si="38"/>
        <v>Baixa</v>
      </c>
      <c r="Y597" s="29">
        <f t="shared" si="39"/>
        <v>1020.999403</v>
      </c>
      <c r="Z597" s="4" t="s">
        <v>659</v>
      </c>
    </row>
    <row r="598" spans="1:26" ht="28.05" customHeight="1" x14ac:dyDescent="0.3">
      <c r="A598" s="5">
        <f t="shared" si="36"/>
        <v>594</v>
      </c>
      <c r="B598" s="23" t="s">
        <v>1384</v>
      </c>
      <c r="C598" s="17" t="s">
        <v>1385</v>
      </c>
      <c r="D598" s="4" t="s">
        <v>52</v>
      </c>
      <c r="E598" s="4" t="s">
        <v>66</v>
      </c>
      <c r="F598" s="4" t="s">
        <v>66</v>
      </c>
      <c r="G598" s="4" t="s">
        <v>171</v>
      </c>
      <c r="H598" s="4" t="s">
        <v>172</v>
      </c>
      <c r="I598" s="24" t="s">
        <v>954</v>
      </c>
      <c r="J598" s="15">
        <v>2</v>
      </c>
      <c r="K598" s="15">
        <v>3</v>
      </c>
      <c r="L598" s="15">
        <v>3</v>
      </c>
      <c r="M598" s="15">
        <v>1</v>
      </c>
      <c r="N598" s="15">
        <v>2</v>
      </c>
      <c r="O598" s="15">
        <v>2</v>
      </c>
      <c r="P598" s="15" t="s">
        <v>415</v>
      </c>
      <c r="Q598" s="23" t="s">
        <v>416</v>
      </c>
      <c r="R598" s="25">
        <f>ROUND((K598*Parametros!$B$4+L598*Parametros!$B$5+M598*Parametros!$B$6+N598*Parametros!$B$7+O598*Parametros!$B$8)/SUM(Parametros!$B$4:$B$8),2)</f>
        <v>2.2999999999999998</v>
      </c>
      <c r="S598" s="26">
        <f>IFERROR(INDEX(Parametros!$F$33:$F$42,MATCH(D598,Parametros!$A$33:$A$42,0)),1)</f>
        <v>1.05</v>
      </c>
      <c r="T598" s="27">
        <f>IFERROR(INDEX(Parametros!$B$21:$B$26,MATCH(I598,Parametros!$A$21:$A$26,0)),0)</f>
        <v>-0.3</v>
      </c>
      <c r="U598" s="28">
        <f t="shared" si="37"/>
        <v>2.12</v>
      </c>
      <c r="V598" s="9">
        <f>IF(U598&gt;=Parametros!$B$14,4,IF(U598&gt;=Parametros!$B$13,3,IF(U598&gt;=Parametros!$B$12,2,1)))</f>
        <v>1</v>
      </c>
      <c r="W598" s="5">
        <f>MAX(V598,IF(K598=5,Parametros!$B$17,0),IF(P598="Sim",Parametros!$B$18,0))</f>
        <v>1</v>
      </c>
      <c r="X598" s="5" t="str">
        <f t="shared" si="38"/>
        <v>Baixa</v>
      </c>
      <c r="Y598" s="29">
        <f t="shared" si="39"/>
        <v>1020.999402</v>
      </c>
      <c r="Z598" s="4" t="s">
        <v>1213</v>
      </c>
    </row>
    <row r="599" spans="1:26" ht="28.05" customHeight="1" x14ac:dyDescent="0.3">
      <c r="A599" s="5">
        <f t="shared" si="36"/>
        <v>595</v>
      </c>
      <c r="B599" s="23" t="s">
        <v>1386</v>
      </c>
      <c r="C599" s="17" t="s">
        <v>1387</v>
      </c>
      <c r="D599" s="4" t="s">
        <v>51</v>
      </c>
      <c r="E599" s="4" t="s">
        <v>194</v>
      </c>
      <c r="F599" s="4" t="s">
        <v>194</v>
      </c>
      <c r="G599" s="4" t="s">
        <v>171</v>
      </c>
      <c r="H599" s="4" t="s">
        <v>172</v>
      </c>
      <c r="I599" s="24" t="s">
        <v>152</v>
      </c>
      <c r="J599" s="15">
        <v>3</v>
      </c>
      <c r="K599" s="15">
        <v>3</v>
      </c>
      <c r="L599" s="15">
        <v>3</v>
      </c>
      <c r="M599" s="15">
        <v>1</v>
      </c>
      <c r="N599" s="15">
        <v>1</v>
      </c>
      <c r="O599" s="15">
        <v>1</v>
      </c>
      <c r="P599" s="15" t="s">
        <v>415</v>
      </c>
      <c r="Q599" s="23" t="s">
        <v>838</v>
      </c>
      <c r="R599" s="25">
        <f>ROUND((K599*Parametros!$B$4+L599*Parametros!$B$5+M599*Parametros!$B$6+N599*Parametros!$B$7+O599*Parametros!$B$8)/SUM(Parametros!$B$4:$B$8),2)</f>
        <v>2</v>
      </c>
      <c r="S599" s="26">
        <f>IFERROR(INDEX(Parametros!$F$33:$F$42,MATCH(D599,Parametros!$A$33:$A$42,0)),1)</f>
        <v>1.0669999999999999</v>
      </c>
      <c r="T599" s="27">
        <f>IFERROR(INDEX(Parametros!$B$21:$B$26,MATCH(I599,Parametros!$A$21:$A$26,0)),0)</f>
        <v>0</v>
      </c>
      <c r="U599" s="28">
        <f t="shared" si="37"/>
        <v>2.13</v>
      </c>
      <c r="V599" s="9">
        <f>IF(U599&gt;=Parametros!$B$14,4,IF(U599&gt;=Parametros!$B$13,3,IF(U599&gt;=Parametros!$B$12,2,1)))</f>
        <v>1</v>
      </c>
      <c r="W599" s="5">
        <f>MAX(V599,IF(K599=5,Parametros!$B$17,0),IF(P599="Sim",Parametros!$B$18,0))</f>
        <v>1</v>
      </c>
      <c r="X599" s="5" t="str">
        <f t="shared" si="38"/>
        <v>Baixa</v>
      </c>
      <c r="Y599" s="29">
        <f t="shared" si="39"/>
        <v>1020.999401</v>
      </c>
      <c r="Z599" s="4" t="s">
        <v>659</v>
      </c>
    </row>
    <row r="600" spans="1:26" ht="28.05" customHeight="1" x14ac:dyDescent="0.3">
      <c r="A600" s="5">
        <f t="shared" si="36"/>
        <v>596</v>
      </c>
      <c r="B600" s="23" t="s">
        <v>1388</v>
      </c>
      <c r="C600" s="17" t="s">
        <v>1389</v>
      </c>
      <c r="D600" s="4" t="s">
        <v>48</v>
      </c>
      <c r="E600" s="4" t="s">
        <v>75</v>
      </c>
      <c r="F600" s="4" t="s">
        <v>75</v>
      </c>
      <c r="G600" s="4" t="s">
        <v>171</v>
      </c>
      <c r="H600" s="4" t="s">
        <v>172</v>
      </c>
      <c r="I600" s="24" t="s">
        <v>152</v>
      </c>
      <c r="J600" s="15">
        <v>5</v>
      </c>
      <c r="K600" s="15">
        <v>1</v>
      </c>
      <c r="L600" s="15">
        <v>3</v>
      </c>
      <c r="M600" s="15">
        <v>3</v>
      </c>
      <c r="N600" s="15">
        <v>1</v>
      </c>
      <c r="O600" s="15">
        <v>2</v>
      </c>
      <c r="P600" s="15" t="s">
        <v>415</v>
      </c>
      <c r="Q600" s="23" t="s">
        <v>838</v>
      </c>
      <c r="R600" s="25">
        <f>ROUND((K600*Parametros!$B$4+L600*Parametros!$B$5+M600*Parametros!$B$6+N600*Parametros!$B$7+O600*Parametros!$B$8)/SUM(Parametros!$B$4:$B$8),2)</f>
        <v>1.95</v>
      </c>
      <c r="S600" s="26">
        <f>IFERROR(INDEX(Parametros!$F$33:$F$42,MATCH(D600,Parametros!$A$33:$A$42,0)),1)</f>
        <v>1.1000000000000001</v>
      </c>
      <c r="T600" s="27">
        <f>IFERROR(INDEX(Parametros!$B$21:$B$26,MATCH(I600,Parametros!$A$21:$A$26,0)),0)</f>
        <v>0</v>
      </c>
      <c r="U600" s="28">
        <f t="shared" si="37"/>
        <v>2.15</v>
      </c>
      <c r="V600" s="9">
        <f>IF(U600&gt;=Parametros!$B$14,4,IF(U600&gt;=Parametros!$B$13,3,IF(U600&gt;=Parametros!$B$12,2,1)))</f>
        <v>1</v>
      </c>
      <c r="W600" s="5">
        <f>MAX(V600,IF(K600=5,Parametros!$B$17,0),IF(P600="Sim",Parametros!$B$18,0))</f>
        <v>1</v>
      </c>
      <c r="X600" s="5" t="str">
        <f t="shared" si="38"/>
        <v>Baixa</v>
      </c>
      <c r="Y600" s="29">
        <f t="shared" si="39"/>
        <v>1020.9994</v>
      </c>
      <c r="Z600" s="4" t="s">
        <v>659</v>
      </c>
    </row>
    <row r="601" spans="1:26" ht="28.05" customHeight="1" x14ac:dyDescent="0.3">
      <c r="A601" s="5">
        <f t="shared" si="36"/>
        <v>597</v>
      </c>
      <c r="B601" s="23" t="s">
        <v>1390</v>
      </c>
      <c r="C601" s="17" t="s">
        <v>1391</v>
      </c>
      <c r="D601" s="4" t="s">
        <v>51</v>
      </c>
      <c r="E601" s="4" t="s">
        <v>64</v>
      </c>
      <c r="F601" s="4" t="s">
        <v>64</v>
      </c>
      <c r="G601" s="4" t="s">
        <v>184</v>
      </c>
      <c r="H601" s="4" t="s">
        <v>185</v>
      </c>
      <c r="I601" s="24" t="s">
        <v>152</v>
      </c>
      <c r="J601" s="15">
        <v>3</v>
      </c>
      <c r="K601" s="15">
        <v>3</v>
      </c>
      <c r="L601" s="15">
        <v>3</v>
      </c>
      <c r="M601" s="15">
        <v>1</v>
      </c>
      <c r="N601" s="15">
        <v>1</v>
      </c>
      <c r="O601" s="15">
        <v>1</v>
      </c>
      <c r="P601" s="15" t="s">
        <v>415</v>
      </c>
      <c r="Q601" s="23" t="s">
        <v>838</v>
      </c>
      <c r="R601" s="25">
        <f>ROUND((K601*Parametros!$B$4+L601*Parametros!$B$5+M601*Parametros!$B$6+N601*Parametros!$B$7+O601*Parametros!$B$8)/SUM(Parametros!$B$4:$B$8),2)</f>
        <v>2</v>
      </c>
      <c r="S601" s="26">
        <f>IFERROR(INDEX(Parametros!$F$33:$F$42,MATCH(D601,Parametros!$A$33:$A$42,0)),1)</f>
        <v>1.0669999999999999</v>
      </c>
      <c r="T601" s="27">
        <f>IFERROR(INDEX(Parametros!$B$21:$B$26,MATCH(I601,Parametros!$A$21:$A$26,0)),0)</f>
        <v>0</v>
      </c>
      <c r="U601" s="28">
        <f t="shared" si="37"/>
        <v>2.13</v>
      </c>
      <c r="V601" s="9">
        <f>IF(U601&gt;=Parametros!$B$14,4,IF(U601&gt;=Parametros!$B$13,3,IF(U601&gt;=Parametros!$B$12,2,1)))</f>
        <v>1</v>
      </c>
      <c r="W601" s="5">
        <f>MAX(V601,IF(K601=5,Parametros!$B$17,0),IF(P601="Sim",Parametros!$B$18,0))</f>
        <v>1</v>
      </c>
      <c r="X601" s="5" t="str">
        <f t="shared" si="38"/>
        <v>Baixa</v>
      </c>
      <c r="Y601" s="29">
        <f t="shared" si="39"/>
        <v>1020.999399</v>
      </c>
      <c r="Z601" s="4" t="s">
        <v>659</v>
      </c>
    </row>
    <row r="602" spans="1:26" ht="28.05" customHeight="1" x14ac:dyDescent="0.3">
      <c r="A602" s="5">
        <f t="shared" si="36"/>
        <v>598</v>
      </c>
      <c r="B602" s="23" t="s">
        <v>1392</v>
      </c>
      <c r="C602" s="17" t="s">
        <v>1393</v>
      </c>
      <c r="D602" s="4" t="s">
        <v>51</v>
      </c>
      <c r="E602" s="4" t="s">
        <v>64</v>
      </c>
      <c r="F602" s="4" t="s">
        <v>64</v>
      </c>
      <c r="G602" s="4" t="s">
        <v>107</v>
      </c>
      <c r="H602" s="4" t="s">
        <v>108</v>
      </c>
      <c r="I602" s="24" t="s">
        <v>152</v>
      </c>
      <c r="J602" s="15">
        <v>3</v>
      </c>
      <c r="K602" s="15">
        <v>3</v>
      </c>
      <c r="L602" s="15">
        <v>3</v>
      </c>
      <c r="M602" s="15">
        <v>1</v>
      </c>
      <c r="N602" s="15">
        <v>1</v>
      </c>
      <c r="O602" s="15">
        <v>1</v>
      </c>
      <c r="P602" s="15" t="s">
        <v>415</v>
      </c>
      <c r="Q602" s="23" t="s">
        <v>838</v>
      </c>
      <c r="R602" s="25">
        <f>ROUND((K602*Parametros!$B$4+L602*Parametros!$B$5+M602*Parametros!$B$6+N602*Parametros!$B$7+O602*Parametros!$B$8)/SUM(Parametros!$B$4:$B$8),2)</f>
        <v>2</v>
      </c>
      <c r="S602" s="26">
        <f>IFERROR(INDEX(Parametros!$F$33:$F$42,MATCH(D602,Parametros!$A$33:$A$42,0)),1)</f>
        <v>1.0669999999999999</v>
      </c>
      <c r="T602" s="27">
        <f>IFERROR(INDEX(Parametros!$B$21:$B$26,MATCH(I602,Parametros!$A$21:$A$26,0)),0)</f>
        <v>0</v>
      </c>
      <c r="U602" s="28">
        <f t="shared" si="37"/>
        <v>2.13</v>
      </c>
      <c r="V602" s="9">
        <f>IF(U602&gt;=Parametros!$B$14,4,IF(U602&gt;=Parametros!$B$13,3,IF(U602&gt;=Parametros!$B$12,2,1)))</f>
        <v>1</v>
      </c>
      <c r="W602" s="5">
        <f>MAX(V602,IF(K602=5,Parametros!$B$17,0),IF(P602="Sim",Parametros!$B$18,0))</f>
        <v>1</v>
      </c>
      <c r="X602" s="5" t="str">
        <f t="shared" si="38"/>
        <v>Baixa</v>
      </c>
      <c r="Y602" s="29">
        <f t="shared" si="39"/>
        <v>1020.999398</v>
      </c>
      <c r="Z602" s="4" t="s">
        <v>659</v>
      </c>
    </row>
    <row r="603" spans="1:26" ht="28.05" customHeight="1" x14ac:dyDescent="0.3">
      <c r="A603" s="5">
        <f t="shared" si="36"/>
        <v>599</v>
      </c>
      <c r="B603" s="23" t="s">
        <v>1394</v>
      </c>
      <c r="C603" s="17" t="s">
        <v>1395</v>
      </c>
      <c r="D603" s="4" t="s">
        <v>51</v>
      </c>
      <c r="E603" s="4" t="s">
        <v>170</v>
      </c>
      <c r="F603" s="4" t="s">
        <v>170</v>
      </c>
      <c r="G603" s="4" t="s">
        <v>171</v>
      </c>
      <c r="H603" s="4" t="s">
        <v>172</v>
      </c>
      <c r="I603" s="24" t="s">
        <v>152</v>
      </c>
      <c r="J603" s="15">
        <v>3</v>
      </c>
      <c r="K603" s="15">
        <v>3</v>
      </c>
      <c r="L603" s="15">
        <v>3</v>
      </c>
      <c r="M603" s="15">
        <v>1</v>
      </c>
      <c r="N603" s="15">
        <v>1</v>
      </c>
      <c r="O603" s="15">
        <v>1</v>
      </c>
      <c r="P603" s="15" t="s">
        <v>415</v>
      </c>
      <c r="Q603" s="23" t="s">
        <v>838</v>
      </c>
      <c r="R603" s="25">
        <f>ROUND((K603*Parametros!$B$4+L603*Parametros!$B$5+M603*Parametros!$B$6+N603*Parametros!$B$7+O603*Parametros!$B$8)/SUM(Parametros!$B$4:$B$8),2)</f>
        <v>2</v>
      </c>
      <c r="S603" s="26">
        <f>IFERROR(INDEX(Parametros!$F$33:$F$42,MATCH(D603,Parametros!$A$33:$A$42,0)),1)</f>
        <v>1.0669999999999999</v>
      </c>
      <c r="T603" s="27">
        <f>IFERROR(INDEX(Parametros!$B$21:$B$26,MATCH(I603,Parametros!$A$21:$A$26,0)),0)</f>
        <v>0</v>
      </c>
      <c r="U603" s="28">
        <f t="shared" si="37"/>
        <v>2.13</v>
      </c>
      <c r="V603" s="9">
        <f>IF(U603&gt;=Parametros!$B$14,4,IF(U603&gt;=Parametros!$B$13,3,IF(U603&gt;=Parametros!$B$12,2,1)))</f>
        <v>1</v>
      </c>
      <c r="W603" s="5">
        <f>MAX(V603,IF(K603=5,Parametros!$B$17,0),IF(P603="Sim",Parametros!$B$18,0))</f>
        <v>1</v>
      </c>
      <c r="X603" s="5" t="str">
        <f t="shared" si="38"/>
        <v>Baixa</v>
      </c>
      <c r="Y603" s="29">
        <f t="shared" si="39"/>
        <v>1020.999397</v>
      </c>
      <c r="Z603" s="4" t="s">
        <v>659</v>
      </c>
    </row>
    <row r="604" spans="1:26" ht="28.05" customHeight="1" x14ac:dyDescent="0.3">
      <c r="A604" s="5">
        <f t="shared" si="36"/>
        <v>600</v>
      </c>
      <c r="B604" s="23" t="s">
        <v>1396</v>
      </c>
      <c r="C604" s="17" t="s">
        <v>1397</v>
      </c>
      <c r="D604" s="4" t="s">
        <v>51</v>
      </c>
      <c r="E604" s="4" t="s">
        <v>170</v>
      </c>
      <c r="F604" s="4" t="s">
        <v>170</v>
      </c>
      <c r="G604" s="4" t="s">
        <v>171</v>
      </c>
      <c r="H604" s="4" t="s">
        <v>172</v>
      </c>
      <c r="I604" s="24" t="s">
        <v>131</v>
      </c>
      <c r="J604" s="15">
        <v>3</v>
      </c>
      <c r="K604" s="15">
        <v>3</v>
      </c>
      <c r="L604" s="15">
        <v>3</v>
      </c>
      <c r="M604" s="15">
        <v>1</v>
      </c>
      <c r="N604" s="15">
        <v>1</v>
      </c>
      <c r="O604" s="15">
        <v>1</v>
      </c>
      <c r="P604" s="15" t="s">
        <v>415</v>
      </c>
      <c r="Q604" s="23" t="s">
        <v>838</v>
      </c>
      <c r="R604" s="25">
        <f>ROUND((K604*Parametros!$B$4+L604*Parametros!$B$5+M604*Parametros!$B$6+N604*Parametros!$B$7+O604*Parametros!$B$8)/SUM(Parametros!$B$4:$B$8),2)</f>
        <v>2</v>
      </c>
      <c r="S604" s="26">
        <f>IFERROR(INDEX(Parametros!$F$33:$F$42,MATCH(D604,Parametros!$A$33:$A$42,0)),1)</f>
        <v>1.0669999999999999</v>
      </c>
      <c r="T604" s="27">
        <f>IFERROR(INDEX(Parametros!$B$21:$B$26,MATCH(I604,Parametros!$A$21:$A$26,0)),0)</f>
        <v>0</v>
      </c>
      <c r="U604" s="28">
        <f t="shared" si="37"/>
        <v>2.13</v>
      </c>
      <c r="V604" s="9">
        <f>IF(U604&gt;=Parametros!$B$14,4,IF(U604&gt;=Parametros!$B$13,3,IF(U604&gt;=Parametros!$B$12,2,1)))</f>
        <v>1</v>
      </c>
      <c r="W604" s="5">
        <f>MAX(V604,IF(K604=5,Parametros!$B$17,0),IF(P604="Sim",Parametros!$B$18,0))</f>
        <v>1</v>
      </c>
      <c r="X604" s="5" t="str">
        <f t="shared" si="38"/>
        <v>Baixa</v>
      </c>
      <c r="Y604" s="29">
        <f t="shared" si="39"/>
        <v>1020.999396</v>
      </c>
      <c r="Z604" s="4" t="s">
        <v>659</v>
      </c>
    </row>
    <row r="605" spans="1:26" ht="28.05" customHeight="1" x14ac:dyDescent="0.3">
      <c r="A605" s="5">
        <f t="shared" si="36"/>
        <v>601</v>
      </c>
      <c r="B605" s="23" t="s">
        <v>1398</v>
      </c>
      <c r="C605" s="17" t="s">
        <v>1399</v>
      </c>
      <c r="D605" s="4" t="s">
        <v>51</v>
      </c>
      <c r="E605" s="4" t="s">
        <v>64</v>
      </c>
      <c r="F605" s="4" t="s">
        <v>64</v>
      </c>
      <c r="G605" s="4" t="s">
        <v>107</v>
      </c>
      <c r="H605" s="4" t="s">
        <v>108</v>
      </c>
      <c r="I605" s="24" t="s">
        <v>152</v>
      </c>
      <c r="J605" s="15">
        <v>3</v>
      </c>
      <c r="K605" s="15">
        <v>3</v>
      </c>
      <c r="L605" s="15">
        <v>3</v>
      </c>
      <c r="M605" s="15">
        <v>1</v>
      </c>
      <c r="N605" s="15">
        <v>1</v>
      </c>
      <c r="O605" s="15">
        <v>1</v>
      </c>
      <c r="P605" s="15" t="s">
        <v>415</v>
      </c>
      <c r="Q605" s="23" t="s">
        <v>838</v>
      </c>
      <c r="R605" s="25">
        <f>ROUND((K605*Parametros!$B$4+L605*Parametros!$B$5+M605*Parametros!$B$6+N605*Parametros!$B$7+O605*Parametros!$B$8)/SUM(Parametros!$B$4:$B$8),2)</f>
        <v>2</v>
      </c>
      <c r="S605" s="26">
        <f>IFERROR(INDEX(Parametros!$F$33:$F$42,MATCH(D605,Parametros!$A$33:$A$42,0)),1)</f>
        <v>1.0669999999999999</v>
      </c>
      <c r="T605" s="27">
        <f>IFERROR(INDEX(Parametros!$B$21:$B$26,MATCH(I605,Parametros!$A$21:$A$26,0)),0)</f>
        <v>0</v>
      </c>
      <c r="U605" s="28">
        <f t="shared" si="37"/>
        <v>2.13</v>
      </c>
      <c r="V605" s="9">
        <f>IF(U605&gt;=Parametros!$B$14,4,IF(U605&gt;=Parametros!$B$13,3,IF(U605&gt;=Parametros!$B$12,2,1)))</f>
        <v>1</v>
      </c>
      <c r="W605" s="5">
        <f>MAX(V605,IF(K605=5,Parametros!$B$17,0),IF(P605="Sim",Parametros!$B$18,0))</f>
        <v>1</v>
      </c>
      <c r="X605" s="5" t="str">
        <f t="shared" si="38"/>
        <v>Baixa</v>
      </c>
      <c r="Y605" s="29">
        <f t="shared" si="39"/>
        <v>1020.999395</v>
      </c>
      <c r="Z605" s="4" t="s">
        <v>659</v>
      </c>
    </row>
    <row r="606" spans="1:26" ht="28.05" customHeight="1" x14ac:dyDescent="0.3">
      <c r="A606" s="5">
        <f t="shared" si="36"/>
        <v>602</v>
      </c>
      <c r="B606" s="23" t="s">
        <v>1400</v>
      </c>
      <c r="C606" s="17" t="s">
        <v>1401</v>
      </c>
      <c r="D606" s="4" t="s">
        <v>51</v>
      </c>
      <c r="E606" s="4" t="s">
        <v>194</v>
      </c>
      <c r="F606" s="4" t="s">
        <v>194</v>
      </c>
      <c r="G606" s="4" t="s">
        <v>171</v>
      </c>
      <c r="H606" s="4" t="s">
        <v>172</v>
      </c>
      <c r="I606" s="24" t="s">
        <v>152</v>
      </c>
      <c r="J606" s="15">
        <v>3</v>
      </c>
      <c r="K606" s="15">
        <v>3</v>
      </c>
      <c r="L606" s="15">
        <v>3</v>
      </c>
      <c r="M606" s="15">
        <v>1</v>
      </c>
      <c r="N606" s="15">
        <v>1</v>
      </c>
      <c r="O606" s="15">
        <v>1</v>
      </c>
      <c r="P606" s="15" t="s">
        <v>415</v>
      </c>
      <c r="Q606" s="23" t="s">
        <v>838</v>
      </c>
      <c r="R606" s="25">
        <f>ROUND((K606*Parametros!$B$4+L606*Parametros!$B$5+M606*Parametros!$B$6+N606*Parametros!$B$7+O606*Parametros!$B$8)/SUM(Parametros!$B$4:$B$8),2)</f>
        <v>2</v>
      </c>
      <c r="S606" s="26">
        <f>IFERROR(INDEX(Parametros!$F$33:$F$42,MATCH(D606,Parametros!$A$33:$A$42,0)),1)</f>
        <v>1.0669999999999999</v>
      </c>
      <c r="T606" s="27">
        <f>IFERROR(INDEX(Parametros!$B$21:$B$26,MATCH(I606,Parametros!$A$21:$A$26,0)),0)</f>
        <v>0</v>
      </c>
      <c r="U606" s="28">
        <f t="shared" si="37"/>
        <v>2.13</v>
      </c>
      <c r="V606" s="9">
        <f>IF(U606&gt;=Parametros!$B$14,4,IF(U606&gt;=Parametros!$B$13,3,IF(U606&gt;=Parametros!$B$12,2,1)))</f>
        <v>1</v>
      </c>
      <c r="W606" s="5">
        <f>MAX(V606,IF(K606=5,Parametros!$B$17,0),IF(P606="Sim",Parametros!$B$18,0))</f>
        <v>1</v>
      </c>
      <c r="X606" s="5" t="str">
        <f t="shared" si="38"/>
        <v>Baixa</v>
      </c>
      <c r="Y606" s="29">
        <f t="shared" si="39"/>
        <v>1020.9993940000001</v>
      </c>
      <c r="Z606" s="4" t="s">
        <v>659</v>
      </c>
    </row>
    <row r="607" spans="1:26" ht="28.05" customHeight="1" x14ac:dyDescent="0.3">
      <c r="A607" s="5">
        <f t="shared" si="36"/>
        <v>603</v>
      </c>
      <c r="B607" s="23" t="s">
        <v>1402</v>
      </c>
      <c r="C607" s="17" t="s">
        <v>1403</v>
      </c>
      <c r="D607" s="4" t="s">
        <v>51</v>
      </c>
      <c r="E607" s="4" t="s">
        <v>194</v>
      </c>
      <c r="F607" s="4" t="s">
        <v>194</v>
      </c>
      <c r="G607" s="4" t="s">
        <v>171</v>
      </c>
      <c r="H607" s="4" t="s">
        <v>172</v>
      </c>
      <c r="I607" s="24" t="s">
        <v>152</v>
      </c>
      <c r="J607" s="15">
        <v>3</v>
      </c>
      <c r="K607" s="15">
        <v>3</v>
      </c>
      <c r="L607" s="15">
        <v>3</v>
      </c>
      <c r="M607" s="15">
        <v>1</v>
      </c>
      <c r="N607" s="15">
        <v>1</v>
      </c>
      <c r="O607" s="15">
        <v>1</v>
      </c>
      <c r="P607" s="15" t="s">
        <v>415</v>
      </c>
      <c r="Q607" s="23" t="s">
        <v>838</v>
      </c>
      <c r="R607" s="25">
        <f>ROUND((K607*Parametros!$B$4+L607*Parametros!$B$5+M607*Parametros!$B$6+N607*Parametros!$B$7+O607*Parametros!$B$8)/SUM(Parametros!$B$4:$B$8),2)</f>
        <v>2</v>
      </c>
      <c r="S607" s="26">
        <f>IFERROR(INDEX(Parametros!$F$33:$F$42,MATCH(D607,Parametros!$A$33:$A$42,0)),1)</f>
        <v>1.0669999999999999</v>
      </c>
      <c r="T607" s="27">
        <f>IFERROR(INDEX(Parametros!$B$21:$B$26,MATCH(I607,Parametros!$A$21:$A$26,0)),0)</f>
        <v>0</v>
      </c>
      <c r="U607" s="28">
        <f t="shared" si="37"/>
        <v>2.13</v>
      </c>
      <c r="V607" s="9">
        <f>IF(U607&gt;=Parametros!$B$14,4,IF(U607&gt;=Parametros!$B$13,3,IF(U607&gt;=Parametros!$B$12,2,1)))</f>
        <v>1</v>
      </c>
      <c r="W607" s="5">
        <f>MAX(V607,IF(K607=5,Parametros!$B$17,0),IF(P607="Sim",Parametros!$B$18,0))</f>
        <v>1</v>
      </c>
      <c r="X607" s="5" t="str">
        <f t="shared" si="38"/>
        <v>Baixa</v>
      </c>
      <c r="Y607" s="29">
        <f t="shared" si="39"/>
        <v>1020.9993930000001</v>
      </c>
      <c r="Z607" s="4" t="s">
        <v>659</v>
      </c>
    </row>
    <row r="608" spans="1:26" ht="28.05" customHeight="1" x14ac:dyDescent="0.3">
      <c r="A608" s="5">
        <f t="shared" si="36"/>
        <v>604</v>
      </c>
      <c r="B608" s="23" t="s">
        <v>1404</v>
      </c>
      <c r="C608" s="17" t="s">
        <v>1405</v>
      </c>
      <c r="D608" s="4" t="s">
        <v>50</v>
      </c>
      <c r="E608" s="4" t="s">
        <v>72</v>
      </c>
      <c r="F608" s="4" t="s">
        <v>72</v>
      </c>
      <c r="G608" s="4" t="s">
        <v>171</v>
      </c>
      <c r="H608" s="4" t="s">
        <v>172</v>
      </c>
      <c r="I608" s="24" t="s">
        <v>152</v>
      </c>
      <c r="J608" s="15">
        <v>2</v>
      </c>
      <c r="K608" s="15">
        <v>1</v>
      </c>
      <c r="L608" s="15">
        <v>3</v>
      </c>
      <c r="M608" s="15">
        <v>3</v>
      </c>
      <c r="N608" s="15">
        <v>1</v>
      </c>
      <c r="O608" s="15">
        <v>2</v>
      </c>
      <c r="P608" s="15" t="s">
        <v>415</v>
      </c>
      <c r="Q608" s="23" t="s">
        <v>838</v>
      </c>
      <c r="R608" s="25">
        <f>ROUND((K608*Parametros!$B$4+L608*Parametros!$B$5+M608*Parametros!$B$6+N608*Parametros!$B$7+O608*Parametros!$B$8)/SUM(Parametros!$B$4:$B$8),2)</f>
        <v>1.95</v>
      </c>
      <c r="S608" s="26">
        <f>IFERROR(INDEX(Parametros!$F$33:$F$42,MATCH(D608,Parametros!$A$33:$A$42,0)),1)</f>
        <v>1.0840000000000001</v>
      </c>
      <c r="T608" s="27">
        <f>IFERROR(INDEX(Parametros!$B$21:$B$26,MATCH(I608,Parametros!$A$21:$A$26,0)),0)</f>
        <v>0</v>
      </c>
      <c r="U608" s="28">
        <f t="shared" si="37"/>
        <v>2.11</v>
      </c>
      <c r="V608" s="9">
        <f>IF(U608&gt;=Parametros!$B$14,4,IF(U608&gt;=Parametros!$B$13,3,IF(U608&gt;=Parametros!$B$12,2,1)))</f>
        <v>1</v>
      </c>
      <c r="W608" s="5">
        <f>MAX(V608,IF(K608=5,Parametros!$B$17,0),IF(P608="Sim",Parametros!$B$18,0))</f>
        <v>1</v>
      </c>
      <c r="X608" s="5" t="str">
        <f t="shared" si="38"/>
        <v>Baixa</v>
      </c>
      <c r="Y608" s="29">
        <f t="shared" si="39"/>
        <v>1020.8993919999999</v>
      </c>
      <c r="Z608" s="4" t="s">
        <v>659</v>
      </c>
    </row>
    <row r="609" spans="1:26" ht="28.05" customHeight="1" x14ac:dyDescent="0.3">
      <c r="A609" s="5">
        <f t="shared" si="36"/>
        <v>605</v>
      </c>
      <c r="B609" s="23" t="s">
        <v>1406</v>
      </c>
      <c r="C609" s="17" t="s">
        <v>1407</v>
      </c>
      <c r="D609" s="4" t="s">
        <v>50</v>
      </c>
      <c r="E609" s="4" t="s">
        <v>1175</v>
      </c>
      <c r="F609" s="4" t="s">
        <v>1176</v>
      </c>
      <c r="G609" s="4" t="s">
        <v>171</v>
      </c>
      <c r="H609" s="4" t="s">
        <v>172</v>
      </c>
      <c r="I609" s="24" t="s">
        <v>152</v>
      </c>
      <c r="J609" s="15">
        <v>2</v>
      </c>
      <c r="K609" s="15">
        <v>1</v>
      </c>
      <c r="L609" s="15">
        <v>3</v>
      </c>
      <c r="M609" s="15">
        <v>3</v>
      </c>
      <c r="N609" s="15">
        <v>2</v>
      </c>
      <c r="O609" s="15">
        <v>1</v>
      </c>
      <c r="P609" s="15" t="s">
        <v>415</v>
      </c>
      <c r="Q609" s="23" t="s">
        <v>838</v>
      </c>
      <c r="R609" s="25">
        <f>ROUND((K609*Parametros!$B$4+L609*Parametros!$B$5+M609*Parametros!$B$6+N609*Parametros!$B$7+O609*Parametros!$B$8)/SUM(Parametros!$B$4:$B$8),2)</f>
        <v>1.95</v>
      </c>
      <c r="S609" s="26">
        <f>IFERROR(INDEX(Parametros!$F$33:$F$42,MATCH(D609,Parametros!$A$33:$A$42,0)),1)</f>
        <v>1.0840000000000001</v>
      </c>
      <c r="T609" s="27">
        <f>IFERROR(INDEX(Parametros!$B$21:$B$26,MATCH(I609,Parametros!$A$21:$A$26,0)),0)</f>
        <v>0</v>
      </c>
      <c r="U609" s="28">
        <f t="shared" si="37"/>
        <v>2.11</v>
      </c>
      <c r="V609" s="9">
        <f>IF(U609&gt;=Parametros!$B$14,4,IF(U609&gt;=Parametros!$B$13,3,IF(U609&gt;=Parametros!$B$12,2,1)))</f>
        <v>1</v>
      </c>
      <c r="W609" s="5">
        <f>MAX(V609,IF(K609=5,Parametros!$B$17,0),IF(P609="Sim",Parametros!$B$18,0))</f>
        <v>1</v>
      </c>
      <c r="X609" s="5" t="str">
        <f t="shared" si="38"/>
        <v>Baixa</v>
      </c>
      <c r="Y609" s="29">
        <f t="shared" si="39"/>
        <v>1020.8993909999999</v>
      </c>
      <c r="Z609" s="4" t="s">
        <v>659</v>
      </c>
    </row>
    <row r="610" spans="1:26" ht="28.05" customHeight="1" x14ac:dyDescent="0.3">
      <c r="A610" s="5">
        <f t="shared" si="36"/>
        <v>606</v>
      </c>
      <c r="B610" s="23" t="s">
        <v>1408</v>
      </c>
      <c r="C610" s="17" t="s">
        <v>1409</v>
      </c>
      <c r="D610" s="4" t="s">
        <v>52</v>
      </c>
      <c r="E610" s="4" t="s">
        <v>66</v>
      </c>
      <c r="F610" s="4" t="s">
        <v>66</v>
      </c>
      <c r="G610" s="4" t="s">
        <v>107</v>
      </c>
      <c r="H610" s="4" t="s">
        <v>108</v>
      </c>
      <c r="I610" s="24" t="s">
        <v>359</v>
      </c>
      <c r="J610" s="15">
        <v>2</v>
      </c>
      <c r="K610" s="15">
        <v>2</v>
      </c>
      <c r="L610" s="15">
        <v>2</v>
      </c>
      <c r="M610" s="15">
        <v>3</v>
      </c>
      <c r="N610" s="15">
        <v>2</v>
      </c>
      <c r="O610" s="15">
        <v>2</v>
      </c>
      <c r="P610" s="15" t="s">
        <v>415</v>
      </c>
      <c r="Q610" s="23" t="s">
        <v>838</v>
      </c>
      <c r="R610" s="25">
        <f>ROUND((K610*Parametros!$B$4+L610*Parametros!$B$5+M610*Parametros!$B$6+N610*Parametros!$B$7+O610*Parametros!$B$8)/SUM(Parametros!$B$4:$B$8),2)</f>
        <v>2.2000000000000002</v>
      </c>
      <c r="S610" s="26">
        <f>IFERROR(INDEX(Parametros!$F$33:$F$42,MATCH(D610,Parametros!$A$33:$A$42,0)),1)</f>
        <v>1.05</v>
      </c>
      <c r="T610" s="27">
        <f>IFERROR(INDEX(Parametros!$B$21:$B$26,MATCH(I610,Parametros!$A$21:$A$26,0)),0)</f>
        <v>-0.2</v>
      </c>
      <c r="U610" s="28">
        <f t="shared" si="37"/>
        <v>2.11</v>
      </c>
      <c r="V610" s="9">
        <f>IF(U610&gt;=Parametros!$B$14,4,IF(U610&gt;=Parametros!$B$13,3,IF(U610&gt;=Parametros!$B$12,2,1)))</f>
        <v>1</v>
      </c>
      <c r="W610" s="5">
        <f>MAX(V610,IF(K610=5,Parametros!$B$17,0),IF(P610="Sim",Parametros!$B$18,0))</f>
        <v>1</v>
      </c>
      <c r="X610" s="5" t="str">
        <f t="shared" si="38"/>
        <v>Baixa</v>
      </c>
      <c r="Y610" s="29">
        <f t="shared" si="39"/>
        <v>1020.8993899999999</v>
      </c>
      <c r="Z610" s="4" t="s">
        <v>1410</v>
      </c>
    </row>
    <row r="611" spans="1:26" ht="28.05" customHeight="1" x14ac:dyDescent="0.3">
      <c r="A611" s="5">
        <f t="shared" si="36"/>
        <v>607</v>
      </c>
      <c r="B611" s="23" t="s">
        <v>1411</v>
      </c>
      <c r="C611" s="17" t="s">
        <v>1412</v>
      </c>
      <c r="D611" s="4" t="s">
        <v>50</v>
      </c>
      <c r="E611" s="4" t="s">
        <v>75</v>
      </c>
      <c r="F611" s="4" t="s">
        <v>75</v>
      </c>
      <c r="G611" s="4" t="s">
        <v>171</v>
      </c>
      <c r="H611" s="4" t="s">
        <v>172</v>
      </c>
      <c r="I611" s="24" t="s">
        <v>152</v>
      </c>
      <c r="J611" s="15">
        <v>2</v>
      </c>
      <c r="K611" s="15">
        <v>1</v>
      </c>
      <c r="L611" s="15">
        <v>3</v>
      </c>
      <c r="M611" s="15">
        <v>3</v>
      </c>
      <c r="N611" s="15">
        <v>1</v>
      </c>
      <c r="O611" s="15">
        <v>2</v>
      </c>
      <c r="P611" s="15" t="s">
        <v>415</v>
      </c>
      <c r="Q611" s="23" t="s">
        <v>838</v>
      </c>
      <c r="R611" s="25">
        <f>ROUND((K611*Parametros!$B$4+L611*Parametros!$B$5+M611*Parametros!$B$6+N611*Parametros!$B$7+O611*Parametros!$B$8)/SUM(Parametros!$B$4:$B$8),2)</f>
        <v>1.95</v>
      </c>
      <c r="S611" s="26">
        <f>IFERROR(INDEX(Parametros!$F$33:$F$42,MATCH(D611,Parametros!$A$33:$A$42,0)),1)</f>
        <v>1.0840000000000001</v>
      </c>
      <c r="T611" s="27">
        <f>IFERROR(INDEX(Parametros!$B$21:$B$26,MATCH(I611,Parametros!$A$21:$A$26,0)),0)</f>
        <v>0</v>
      </c>
      <c r="U611" s="28">
        <f t="shared" si="37"/>
        <v>2.11</v>
      </c>
      <c r="V611" s="9">
        <f>IF(U611&gt;=Parametros!$B$14,4,IF(U611&gt;=Parametros!$B$13,3,IF(U611&gt;=Parametros!$B$12,2,1)))</f>
        <v>1</v>
      </c>
      <c r="W611" s="5">
        <f>MAX(V611,IF(K611=5,Parametros!$B$17,0),IF(P611="Sim",Parametros!$B$18,0))</f>
        <v>1</v>
      </c>
      <c r="X611" s="5" t="str">
        <f t="shared" si="38"/>
        <v>Baixa</v>
      </c>
      <c r="Y611" s="29">
        <f t="shared" si="39"/>
        <v>1020.8993889999999</v>
      </c>
      <c r="Z611" s="4" t="s">
        <v>659</v>
      </c>
    </row>
    <row r="612" spans="1:26" ht="28.05" customHeight="1" x14ac:dyDescent="0.3">
      <c r="A612" s="5">
        <f t="shared" si="36"/>
        <v>608</v>
      </c>
      <c r="B612" s="23" t="s">
        <v>1413</v>
      </c>
      <c r="C612" s="17" t="s">
        <v>1414</v>
      </c>
      <c r="D612" s="4" t="s">
        <v>50</v>
      </c>
      <c r="E612" s="4" t="s">
        <v>86</v>
      </c>
      <c r="F612" s="4" t="s">
        <v>554</v>
      </c>
      <c r="G612" s="4" t="s">
        <v>134</v>
      </c>
      <c r="H612" s="4" t="s">
        <v>108</v>
      </c>
      <c r="I612" s="24" t="s">
        <v>152</v>
      </c>
      <c r="J612" s="15">
        <v>2</v>
      </c>
      <c r="K612" s="15">
        <v>1</v>
      </c>
      <c r="L612" s="15">
        <v>3</v>
      </c>
      <c r="M612" s="15">
        <v>3</v>
      </c>
      <c r="N612" s="15">
        <v>1</v>
      </c>
      <c r="O612" s="15">
        <v>2</v>
      </c>
      <c r="P612" s="15" t="s">
        <v>415</v>
      </c>
      <c r="Q612" s="23" t="s">
        <v>838</v>
      </c>
      <c r="R612" s="25">
        <f>ROUND((K612*Parametros!$B$4+L612*Parametros!$B$5+M612*Parametros!$B$6+N612*Parametros!$B$7+O612*Parametros!$B$8)/SUM(Parametros!$B$4:$B$8),2)</f>
        <v>1.95</v>
      </c>
      <c r="S612" s="26">
        <f>IFERROR(INDEX(Parametros!$F$33:$F$42,MATCH(D612,Parametros!$A$33:$A$42,0)),1)</f>
        <v>1.0840000000000001</v>
      </c>
      <c r="T612" s="27">
        <f>IFERROR(INDEX(Parametros!$B$21:$B$26,MATCH(I612,Parametros!$A$21:$A$26,0)),0)</f>
        <v>0</v>
      </c>
      <c r="U612" s="28">
        <f t="shared" si="37"/>
        <v>2.11</v>
      </c>
      <c r="V612" s="9">
        <f>IF(U612&gt;=Parametros!$B$14,4,IF(U612&gt;=Parametros!$B$13,3,IF(U612&gt;=Parametros!$B$12,2,1)))</f>
        <v>1</v>
      </c>
      <c r="W612" s="5">
        <f>MAX(V612,IF(K612=5,Parametros!$B$17,0),IF(P612="Sim",Parametros!$B$18,0))</f>
        <v>1</v>
      </c>
      <c r="X612" s="5" t="str">
        <f t="shared" si="38"/>
        <v>Baixa</v>
      </c>
      <c r="Y612" s="29">
        <f t="shared" si="39"/>
        <v>1020.8993879999999</v>
      </c>
      <c r="Z612" s="4" t="s">
        <v>659</v>
      </c>
    </row>
    <row r="613" spans="1:26" ht="28.05" customHeight="1" x14ac:dyDescent="0.3">
      <c r="A613" s="5">
        <f t="shared" si="36"/>
        <v>609</v>
      </c>
      <c r="B613" s="23" t="s">
        <v>1415</v>
      </c>
      <c r="C613" s="17" t="s">
        <v>1416</v>
      </c>
      <c r="D613" s="4" t="s">
        <v>50</v>
      </c>
      <c r="E613" s="4" t="s">
        <v>70</v>
      </c>
      <c r="F613" s="4" t="s">
        <v>70</v>
      </c>
      <c r="G613" s="4" t="s">
        <v>184</v>
      </c>
      <c r="H613" s="4" t="s">
        <v>185</v>
      </c>
      <c r="I613" s="24" t="s">
        <v>152</v>
      </c>
      <c r="J613" s="15">
        <v>2</v>
      </c>
      <c r="K613" s="15">
        <v>1</v>
      </c>
      <c r="L613" s="15">
        <v>3</v>
      </c>
      <c r="M613" s="15">
        <v>3</v>
      </c>
      <c r="N613" s="15">
        <v>1</v>
      </c>
      <c r="O613" s="15">
        <v>2</v>
      </c>
      <c r="P613" s="15" t="s">
        <v>415</v>
      </c>
      <c r="Q613" s="23" t="s">
        <v>838</v>
      </c>
      <c r="R613" s="25">
        <f>ROUND((K613*Parametros!$B$4+L613*Parametros!$B$5+M613*Parametros!$B$6+N613*Parametros!$B$7+O613*Parametros!$B$8)/SUM(Parametros!$B$4:$B$8),2)</f>
        <v>1.95</v>
      </c>
      <c r="S613" s="26">
        <f>IFERROR(INDEX(Parametros!$F$33:$F$42,MATCH(D613,Parametros!$A$33:$A$42,0)),1)</f>
        <v>1.0840000000000001</v>
      </c>
      <c r="T613" s="27">
        <f>IFERROR(INDEX(Parametros!$B$21:$B$26,MATCH(I613,Parametros!$A$21:$A$26,0)),0)</f>
        <v>0</v>
      </c>
      <c r="U613" s="28">
        <f t="shared" si="37"/>
        <v>2.11</v>
      </c>
      <c r="V613" s="9">
        <f>IF(U613&gt;=Parametros!$B$14,4,IF(U613&gt;=Parametros!$B$13,3,IF(U613&gt;=Parametros!$B$12,2,1)))</f>
        <v>1</v>
      </c>
      <c r="W613" s="5">
        <f>MAX(V613,IF(K613=5,Parametros!$B$17,0),IF(P613="Sim",Parametros!$B$18,0))</f>
        <v>1</v>
      </c>
      <c r="X613" s="5" t="str">
        <f t="shared" si="38"/>
        <v>Baixa</v>
      </c>
      <c r="Y613" s="29">
        <f t="shared" si="39"/>
        <v>1020.8993869999999</v>
      </c>
      <c r="Z613" s="4" t="s">
        <v>659</v>
      </c>
    </row>
    <row r="614" spans="1:26" ht="28.05" customHeight="1" x14ac:dyDescent="0.3">
      <c r="A614" s="5">
        <f t="shared" si="36"/>
        <v>610</v>
      </c>
      <c r="B614" s="23" t="s">
        <v>1417</v>
      </c>
      <c r="C614" s="17" t="s">
        <v>1418</v>
      </c>
      <c r="D614" s="4" t="s">
        <v>50</v>
      </c>
      <c r="E614" s="4" t="s">
        <v>70</v>
      </c>
      <c r="F614" s="4" t="s">
        <v>70</v>
      </c>
      <c r="G614" s="4" t="s">
        <v>171</v>
      </c>
      <c r="H614" s="4" t="s">
        <v>172</v>
      </c>
      <c r="I614" s="24" t="s">
        <v>131</v>
      </c>
      <c r="J614" s="15">
        <v>2</v>
      </c>
      <c r="K614" s="15">
        <v>1</v>
      </c>
      <c r="L614" s="15">
        <v>3</v>
      </c>
      <c r="M614" s="15">
        <v>3</v>
      </c>
      <c r="N614" s="15">
        <v>1</v>
      </c>
      <c r="O614" s="15">
        <v>2</v>
      </c>
      <c r="P614" s="15" t="s">
        <v>415</v>
      </c>
      <c r="Q614" s="23" t="s">
        <v>838</v>
      </c>
      <c r="R614" s="25">
        <f>ROUND((K614*Parametros!$B$4+L614*Parametros!$B$5+M614*Parametros!$B$6+N614*Parametros!$B$7+O614*Parametros!$B$8)/SUM(Parametros!$B$4:$B$8),2)</f>
        <v>1.95</v>
      </c>
      <c r="S614" s="26">
        <f>IFERROR(INDEX(Parametros!$F$33:$F$42,MATCH(D614,Parametros!$A$33:$A$42,0)),1)</f>
        <v>1.0840000000000001</v>
      </c>
      <c r="T614" s="27">
        <f>IFERROR(INDEX(Parametros!$B$21:$B$26,MATCH(I614,Parametros!$A$21:$A$26,0)),0)</f>
        <v>0</v>
      </c>
      <c r="U614" s="28">
        <f t="shared" si="37"/>
        <v>2.11</v>
      </c>
      <c r="V614" s="9">
        <f>IF(U614&gt;=Parametros!$B$14,4,IF(U614&gt;=Parametros!$B$13,3,IF(U614&gt;=Parametros!$B$12,2,1)))</f>
        <v>1</v>
      </c>
      <c r="W614" s="5">
        <f>MAX(V614,IF(K614=5,Parametros!$B$17,0),IF(P614="Sim",Parametros!$B$18,0))</f>
        <v>1</v>
      </c>
      <c r="X614" s="5" t="str">
        <f t="shared" si="38"/>
        <v>Baixa</v>
      </c>
      <c r="Y614" s="29">
        <f t="shared" si="39"/>
        <v>1020.8993859999999</v>
      </c>
      <c r="Z614" s="4" t="s">
        <v>659</v>
      </c>
    </row>
    <row r="615" spans="1:26" ht="28.05" customHeight="1" x14ac:dyDescent="0.3">
      <c r="A615" s="5">
        <f t="shared" si="36"/>
        <v>611</v>
      </c>
      <c r="B615" s="23" t="s">
        <v>1419</v>
      </c>
      <c r="C615" s="17" t="s">
        <v>1420</v>
      </c>
      <c r="D615" s="4" t="s">
        <v>50</v>
      </c>
      <c r="E615" s="4" t="s">
        <v>389</v>
      </c>
      <c r="F615" s="4" t="s">
        <v>389</v>
      </c>
      <c r="G615" s="4" t="s">
        <v>171</v>
      </c>
      <c r="H615" s="4" t="s">
        <v>172</v>
      </c>
      <c r="I615" s="24" t="s">
        <v>122</v>
      </c>
      <c r="J615" s="15">
        <v>3</v>
      </c>
      <c r="K615" s="15">
        <v>2</v>
      </c>
      <c r="L615" s="15">
        <v>2</v>
      </c>
      <c r="M615" s="15">
        <v>1</v>
      </c>
      <c r="N615" s="15">
        <v>2</v>
      </c>
      <c r="O615" s="15">
        <v>3</v>
      </c>
      <c r="P615" s="15" t="s">
        <v>415</v>
      </c>
      <c r="Q615" s="23" t="s">
        <v>838</v>
      </c>
      <c r="R615" s="25">
        <f>ROUND((K615*Parametros!$B$4+L615*Parametros!$B$5+M615*Parametros!$B$6+N615*Parametros!$B$7+O615*Parametros!$B$8)/SUM(Parametros!$B$4:$B$8),2)</f>
        <v>1.95</v>
      </c>
      <c r="S615" s="26">
        <f>IFERROR(INDEX(Parametros!$F$33:$F$42,MATCH(D615,Parametros!$A$33:$A$42,0)),1)</f>
        <v>1.0840000000000001</v>
      </c>
      <c r="T615" s="27">
        <f>IFERROR(INDEX(Parametros!$B$21:$B$26,MATCH(I615,Parametros!$A$21:$A$26,0)),0)</f>
        <v>0</v>
      </c>
      <c r="U615" s="28">
        <f t="shared" si="37"/>
        <v>2.11</v>
      </c>
      <c r="V615" s="9">
        <f>IF(U615&gt;=Parametros!$B$14,4,IF(U615&gt;=Parametros!$B$13,3,IF(U615&gt;=Parametros!$B$12,2,1)))</f>
        <v>1</v>
      </c>
      <c r="W615" s="5">
        <f>MAX(V615,IF(K615=5,Parametros!$B$17,0),IF(P615="Sim",Parametros!$B$18,0))</f>
        <v>1</v>
      </c>
      <c r="X615" s="5" t="str">
        <f t="shared" si="38"/>
        <v>Baixa</v>
      </c>
      <c r="Y615" s="29">
        <f t="shared" si="39"/>
        <v>1020.799385</v>
      </c>
      <c r="Z615" s="4" t="s">
        <v>659</v>
      </c>
    </row>
    <row r="616" spans="1:26" ht="28.05" customHeight="1" x14ac:dyDescent="0.3">
      <c r="A616" s="5">
        <f t="shared" si="36"/>
        <v>612</v>
      </c>
      <c r="B616" s="23" t="s">
        <v>1421</v>
      </c>
      <c r="C616" s="17" t="s">
        <v>1422</v>
      </c>
      <c r="D616" s="4" t="s">
        <v>50</v>
      </c>
      <c r="E616" s="4" t="s">
        <v>70</v>
      </c>
      <c r="F616" s="4" t="s">
        <v>70</v>
      </c>
      <c r="G616" s="4" t="s">
        <v>171</v>
      </c>
      <c r="H616" s="4" t="s">
        <v>172</v>
      </c>
      <c r="I616" s="24" t="s">
        <v>122</v>
      </c>
      <c r="J616" s="15">
        <v>3</v>
      </c>
      <c r="K616" s="15">
        <v>2</v>
      </c>
      <c r="L616" s="15">
        <v>2</v>
      </c>
      <c r="M616" s="15">
        <v>1</v>
      </c>
      <c r="N616" s="15">
        <v>2</v>
      </c>
      <c r="O616" s="15">
        <v>3</v>
      </c>
      <c r="P616" s="15" t="s">
        <v>415</v>
      </c>
      <c r="Q616" s="23" t="s">
        <v>838</v>
      </c>
      <c r="R616" s="25">
        <f>ROUND((K616*Parametros!$B$4+L616*Parametros!$B$5+M616*Parametros!$B$6+N616*Parametros!$B$7+O616*Parametros!$B$8)/SUM(Parametros!$B$4:$B$8),2)</f>
        <v>1.95</v>
      </c>
      <c r="S616" s="26">
        <f>IFERROR(INDEX(Parametros!$F$33:$F$42,MATCH(D616,Parametros!$A$33:$A$42,0)),1)</f>
        <v>1.0840000000000001</v>
      </c>
      <c r="T616" s="27">
        <f>IFERROR(INDEX(Parametros!$B$21:$B$26,MATCH(I616,Parametros!$A$21:$A$26,0)),0)</f>
        <v>0</v>
      </c>
      <c r="U616" s="28">
        <f t="shared" si="37"/>
        <v>2.11</v>
      </c>
      <c r="V616" s="9">
        <f>IF(U616&gt;=Parametros!$B$14,4,IF(U616&gt;=Parametros!$B$13,3,IF(U616&gt;=Parametros!$B$12,2,1)))</f>
        <v>1</v>
      </c>
      <c r="W616" s="5">
        <f>MAX(V616,IF(K616=5,Parametros!$B$17,0),IF(P616="Sim",Parametros!$B$18,0))</f>
        <v>1</v>
      </c>
      <c r="X616" s="5" t="str">
        <f t="shared" si="38"/>
        <v>Baixa</v>
      </c>
      <c r="Y616" s="29">
        <f t="shared" si="39"/>
        <v>1020.799384</v>
      </c>
      <c r="Z616" s="4" t="s">
        <v>659</v>
      </c>
    </row>
    <row r="617" spans="1:26" ht="28.05" customHeight="1" x14ac:dyDescent="0.3">
      <c r="A617" s="5">
        <f t="shared" si="36"/>
        <v>613</v>
      </c>
      <c r="B617" s="23" t="s">
        <v>1423</v>
      </c>
      <c r="C617" s="17" t="s">
        <v>1424</v>
      </c>
      <c r="D617" s="4" t="s">
        <v>50</v>
      </c>
      <c r="E617" s="4" t="s">
        <v>64</v>
      </c>
      <c r="F617" s="4" t="s">
        <v>64</v>
      </c>
      <c r="G617" s="4" t="s">
        <v>184</v>
      </c>
      <c r="H617" s="4" t="s">
        <v>185</v>
      </c>
      <c r="I617" s="24" t="s">
        <v>131</v>
      </c>
      <c r="J617" s="15">
        <v>3</v>
      </c>
      <c r="K617" s="15">
        <v>2</v>
      </c>
      <c r="L617" s="15">
        <v>2</v>
      </c>
      <c r="M617" s="15">
        <v>1</v>
      </c>
      <c r="N617" s="15">
        <v>2</v>
      </c>
      <c r="O617" s="15">
        <v>3</v>
      </c>
      <c r="P617" s="15" t="s">
        <v>415</v>
      </c>
      <c r="Q617" s="23" t="s">
        <v>838</v>
      </c>
      <c r="R617" s="25">
        <f>ROUND((K617*Parametros!$B$4+L617*Parametros!$B$5+M617*Parametros!$B$6+N617*Parametros!$B$7+O617*Parametros!$B$8)/SUM(Parametros!$B$4:$B$8),2)</f>
        <v>1.95</v>
      </c>
      <c r="S617" s="26">
        <f>IFERROR(INDEX(Parametros!$F$33:$F$42,MATCH(D617,Parametros!$A$33:$A$42,0)),1)</f>
        <v>1.0840000000000001</v>
      </c>
      <c r="T617" s="27">
        <f>IFERROR(INDEX(Parametros!$B$21:$B$26,MATCH(I617,Parametros!$A$21:$A$26,0)),0)</f>
        <v>0</v>
      </c>
      <c r="U617" s="28">
        <f t="shared" si="37"/>
        <v>2.11</v>
      </c>
      <c r="V617" s="9">
        <f>IF(U617&gt;=Parametros!$B$14,4,IF(U617&gt;=Parametros!$B$13,3,IF(U617&gt;=Parametros!$B$12,2,1)))</f>
        <v>1</v>
      </c>
      <c r="W617" s="5">
        <f>MAX(V617,IF(K617=5,Parametros!$B$17,0),IF(P617="Sim",Parametros!$B$18,0))</f>
        <v>1</v>
      </c>
      <c r="X617" s="5" t="str">
        <f t="shared" si="38"/>
        <v>Baixa</v>
      </c>
      <c r="Y617" s="29">
        <f t="shared" si="39"/>
        <v>1020.799383</v>
      </c>
      <c r="Z617" s="4" t="s">
        <v>659</v>
      </c>
    </row>
    <row r="618" spans="1:26" ht="28.05" customHeight="1" x14ac:dyDescent="0.3">
      <c r="A618" s="5">
        <f t="shared" si="36"/>
        <v>614</v>
      </c>
      <c r="B618" s="23" t="s">
        <v>1425</v>
      </c>
      <c r="C618" s="17" t="s">
        <v>1426</v>
      </c>
      <c r="D618" s="4" t="s">
        <v>53</v>
      </c>
      <c r="E618" s="4" t="s">
        <v>64</v>
      </c>
      <c r="F618" s="4" t="s">
        <v>64</v>
      </c>
      <c r="G618" s="4" t="s">
        <v>171</v>
      </c>
      <c r="H618" s="4" t="s">
        <v>172</v>
      </c>
      <c r="I618" s="24" t="s">
        <v>131</v>
      </c>
      <c r="J618" s="15">
        <v>2</v>
      </c>
      <c r="K618" s="15">
        <v>2</v>
      </c>
      <c r="L618" s="15">
        <v>3</v>
      </c>
      <c r="M618" s="15">
        <v>1</v>
      </c>
      <c r="N618" s="15">
        <v>1</v>
      </c>
      <c r="O618" s="15">
        <v>3</v>
      </c>
      <c r="P618" s="15" t="s">
        <v>415</v>
      </c>
      <c r="Q618" s="23" t="s">
        <v>838</v>
      </c>
      <c r="R618" s="25">
        <f>ROUND((K618*Parametros!$B$4+L618*Parametros!$B$5+M618*Parametros!$B$6+N618*Parametros!$B$7+O618*Parametros!$B$8)/SUM(Parametros!$B$4:$B$8),2)</f>
        <v>2</v>
      </c>
      <c r="S618" s="26">
        <f>IFERROR(INDEX(Parametros!$F$33:$F$42,MATCH(D618,Parametros!$A$33:$A$42,0)),1)</f>
        <v>1.05</v>
      </c>
      <c r="T618" s="27">
        <f>IFERROR(INDEX(Parametros!$B$21:$B$26,MATCH(I618,Parametros!$A$21:$A$26,0)),0)</f>
        <v>0</v>
      </c>
      <c r="U618" s="28">
        <f t="shared" si="37"/>
        <v>2.1</v>
      </c>
      <c r="V618" s="9">
        <f>IF(U618&gt;=Parametros!$B$14,4,IF(U618&gt;=Parametros!$B$13,3,IF(U618&gt;=Parametros!$B$12,2,1)))</f>
        <v>1</v>
      </c>
      <c r="W618" s="5">
        <f>MAX(V618,IF(K618=5,Parametros!$B$17,0),IF(P618="Sim",Parametros!$B$18,0))</f>
        <v>1</v>
      </c>
      <c r="X618" s="5" t="str">
        <f t="shared" si="38"/>
        <v>Baixa</v>
      </c>
      <c r="Y618" s="29">
        <f t="shared" si="39"/>
        <v>1020.7993819999999</v>
      </c>
      <c r="Z618" s="4" t="s">
        <v>659</v>
      </c>
    </row>
    <row r="619" spans="1:26" ht="28.05" customHeight="1" x14ac:dyDescent="0.3">
      <c r="A619" s="5">
        <f t="shared" si="36"/>
        <v>615</v>
      </c>
      <c r="B619" s="23" t="s">
        <v>1427</v>
      </c>
      <c r="C619" s="17" t="s">
        <v>1428</v>
      </c>
      <c r="D619" s="4" t="s">
        <v>52</v>
      </c>
      <c r="E619" s="4" t="s">
        <v>64</v>
      </c>
      <c r="F619" s="4" t="s">
        <v>64</v>
      </c>
      <c r="G619" s="4" t="s">
        <v>184</v>
      </c>
      <c r="H619" s="4" t="s">
        <v>185</v>
      </c>
      <c r="I619" s="24" t="s">
        <v>131</v>
      </c>
      <c r="J619" s="15">
        <v>2</v>
      </c>
      <c r="K619" s="15">
        <v>3</v>
      </c>
      <c r="L619" s="15">
        <v>3</v>
      </c>
      <c r="M619" s="15">
        <v>1</v>
      </c>
      <c r="N619" s="15">
        <v>1</v>
      </c>
      <c r="O619" s="15">
        <v>1</v>
      </c>
      <c r="P619" s="15" t="s">
        <v>415</v>
      </c>
      <c r="Q619" s="23" t="s">
        <v>838</v>
      </c>
      <c r="R619" s="25">
        <f>ROUND((K619*Parametros!$B$4+L619*Parametros!$B$5+M619*Parametros!$B$6+N619*Parametros!$B$7+O619*Parametros!$B$8)/SUM(Parametros!$B$4:$B$8),2)</f>
        <v>2</v>
      </c>
      <c r="S619" s="26">
        <f>IFERROR(INDEX(Parametros!$F$33:$F$42,MATCH(D619,Parametros!$A$33:$A$42,0)),1)</f>
        <v>1.05</v>
      </c>
      <c r="T619" s="27">
        <f>IFERROR(INDEX(Parametros!$B$21:$B$26,MATCH(I619,Parametros!$A$21:$A$26,0)),0)</f>
        <v>0</v>
      </c>
      <c r="U619" s="28">
        <f t="shared" si="37"/>
        <v>2.1</v>
      </c>
      <c r="V619" s="9">
        <f>IF(U619&gt;=Parametros!$B$14,4,IF(U619&gt;=Parametros!$B$13,3,IF(U619&gt;=Parametros!$B$12,2,1)))</f>
        <v>1</v>
      </c>
      <c r="W619" s="5">
        <f>MAX(V619,IF(K619=5,Parametros!$B$17,0),IF(P619="Sim",Parametros!$B$18,0))</f>
        <v>1</v>
      </c>
      <c r="X619" s="5" t="str">
        <f t="shared" si="38"/>
        <v>Baixa</v>
      </c>
      <c r="Y619" s="29">
        <f t="shared" si="39"/>
        <v>1020.7993809999999</v>
      </c>
      <c r="Z619" s="4" t="s">
        <v>659</v>
      </c>
    </row>
    <row r="620" spans="1:26" ht="28.05" customHeight="1" x14ac:dyDescent="0.3">
      <c r="A620" s="5">
        <f t="shared" si="36"/>
        <v>616</v>
      </c>
      <c r="B620" s="23" t="s">
        <v>1429</v>
      </c>
      <c r="C620" s="17" t="s">
        <v>1430</v>
      </c>
      <c r="D620" s="4" t="s">
        <v>51</v>
      </c>
      <c r="E620" s="4" t="s">
        <v>194</v>
      </c>
      <c r="F620" s="4" t="s">
        <v>194</v>
      </c>
      <c r="G620" s="4" t="s">
        <v>171</v>
      </c>
      <c r="H620" s="4" t="s">
        <v>172</v>
      </c>
      <c r="I620" s="24" t="s">
        <v>954</v>
      </c>
      <c r="J620" s="15">
        <v>2</v>
      </c>
      <c r="K620" s="15">
        <v>2</v>
      </c>
      <c r="L620" s="15">
        <v>3</v>
      </c>
      <c r="M620" s="15">
        <v>3</v>
      </c>
      <c r="N620" s="15">
        <v>1</v>
      </c>
      <c r="O620" s="15">
        <v>2</v>
      </c>
      <c r="P620" s="15" t="s">
        <v>415</v>
      </c>
      <c r="Q620" s="23" t="s">
        <v>838</v>
      </c>
      <c r="R620" s="25">
        <f>ROUND((K620*Parametros!$B$4+L620*Parametros!$B$5+M620*Parametros!$B$6+N620*Parametros!$B$7+O620*Parametros!$B$8)/SUM(Parametros!$B$4:$B$8),2)</f>
        <v>2.25</v>
      </c>
      <c r="S620" s="26">
        <f>IFERROR(INDEX(Parametros!$F$33:$F$42,MATCH(D620,Parametros!$A$33:$A$42,0)),1)</f>
        <v>1.0669999999999999</v>
      </c>
      <c r="T620" s="27">
        <f>IFERROR(INDEX(Parametros!$B$21:$B$26,MATCH(I620,Parametros!$A$21:$A$26,0)),0)</f>
        <v>-0.3</v>
      </c>
      <c r="U620" s="28">
        <f t="shared" si="37"/>
        <v>2.1</v>
      </c>
      <c r="V620" s="9">
        <f>IF(U620&gt;=Parametros!$B$14,4,IF(U620&gt;=Parametros!$B$13,3,IF(U620&gt;=Parametros!$B$12,2,1)))</f>
        <v>1</v>
      </c>
      <c r="W620" s="5">
        <f>MAX(V620,IF(K620=5,Parametros!$B$17,0),IF(P620="Sim",Parametros!$B$18,0))</f>
        <v>1</v>
      </c>
      <c r="X620" s="5" t="str">
        <f t="shared" si="38"/>
        <v>Baixa</v>
      </c>
      <c r="Y620" s="29">
        <f t="shared" si="39"/>
        <v>1020.7993799999999</v>
      </c>
      <c r="Z620" s="4" t="s">
        <v>1213</v>
      </c>
    </row>
    <row r="621" spans="1:26" ht="28.05" customHeight="1" x14ac:dyDescent="0.3">
      <c r="A621" s="5">
        <f t="shared" si="36"/>
        <v>617</v>
      </c>
      <c r="B621" s="23" t="s">
        <v>1431</v>
      </c>
      <c r="C621" s="17" t="s">
        <v>1432</v>
      </c>
      <c r="D621" s="4" t="s">
        <v>51</v>
      </c>
      <c r="E621" s="4" t="s">
        <v>194</v>
      </c>
      <c r="F621" s="4" t="s">
        <v>194</v>
      </c>
      <c r="G621" s="4" t="s">
        <v>171</v>
      </c>
      <c r="H621" s="4" t="s">
        <v>172</v>
      </c>
      <c r="I621" s="24" t="s">
        <v>954</v>
      </c>
      <c r="J621" s="15">
        <v>2</v>
      </c>
      <c r="K621" s="15">
        <v>2</v>
      </c>
      <c r="L621" s="15">
        <v>3</v>
      </c>
      <c r="M621" s="15">
        <v>3</v>
      </c>
      <c r="N621" s="15">
        <v>1</v>
      </c>
      <c r="O621" s="15">
        <v>2</v>
      </c>
      <c r="P621" s="15" t="s">
        <v>415</v>
      </c>
      <c r="Q621" s="23" t="s">
        <v>838</v>
      </c>
      <c r="R621" s="25">
        <f>ROUND((K621*Parametros!$B$4+L621*Parametros!$B$5+M621*Parametros!$B$6+N621*Parametros!$B$7+O621*Parametros!$B$8)/SUM(Parametros!$B$4:$B$8),2)</f>
        <v>2.25</v>
      </c>
      <c r="S621" s="26">
        <f>IFERROR(INDEX(Parametros!$F$33:$F$42,MATCH(D621,Parametros!$A$33:$A$42,0)),1)</f>
        <v>1.0669999999999999</v>
      </c>
      <c r="T621" s="27">
        <f>IFERROR(INDEX(Parametros!$B$21:$B$26,MATCH(I621,Parametros!$A$21:$A$26,0)),0)</f>
        <v>-0.3</v>
      </c>
      <c r="U621" s="28">
        <f t="shared" si="37"/>
        <v>2.1</v>
      </c>
      <c r="V621" s="9">
        <f>IF(U621&gt;=Parametros!$B$14,4,IF(U621&gt;=Parametros!$B$13,3,IF(U621&gt;=Parametros!$B$12,2,1)))</f>
        <v>1</v>
      </c>
      <c r="W621" s="5">
        <f>MAX(V621,IF(K621=5,Parametros!$B$17,0),IF(P621="Sim",Parametros!$B$18,0))</f>
        <v>1</v>
      </c>
      <c r="X621" s="5" t="str">
        <f t="shared" si="38"/>
        <v>Baixa</v>
      </c>
      <c r="Y621" s="29">
        <f t="shared" si="39"/>
        <v>1020.7993789999999</v>
      </c>
      <c r="Z621" s="4" t="s">
        <v>1213</v>
      </c>
    </row>
    <row r="622" spans="1:26" ht="28.05" customHeight="1" x14ac:dyDescent="0.3">
      <c r="A622" s="5">
        <f t="shared" si="36"/>
        <v>618</v>
      </c>
      <c r="B622" s="23" t="s">
        <v>1433</v>
      </c>
      <c r="C622" s="17" t="s">
        <v>1434</v>
      </c>
      <c r="D622" s="4" t="s">
        <v>53</v>
      </c>
      <c r="E622" s="4" t="s">
        <v>68</v>
      </c>
      <c r="F622" s="4" t="s">
        <v>68</v>
      </c>
      <c r="G622" s="4" t="s">
        <v>112</v>
      </c>
      <c r="H622" s="4" t="s">
        <v>108</v>
      </c>
      <c r="I622" s="24" t="s">
        <v>152</v>
      </c>
      <c r="J622" s="15">
        <v>3</v>
      </c>
      <c r="K622" s="15">
        <v>2</v>
      </c>
      <c r="L622" s="15">
        <v>3</v>
      </c>
      <c r="M622" s="15">
        <v>1</v>
      </c>
      <c r="N622" s="15">
        <v>2</v>
      </c>
      <c r="O622" s="15">
        <v>2</v>
      </c>
      <c r="P622" s="15" t="s">
        <v>415</v>
      </c>
      <c r="Q622" s="23" t="s">
        <v>416</v>
      </c>
      <c r="R622" s="25">
        <f>ROUND((K622*Parametros!$B$4+L622*Parametros!$B$5+M622*Parametros!$B$6+N622*Parametros!$B$7+O622*Parametros!$B$8)/SUM(Parametros!$B$4:$B$8),2)</f>
        <v>2</v>
      </c>
      <c r="S622" s="26">
        <f>IFERROR(INDEX(Parametros!$F$33:$F$42,MATCH(D622,Parametros!$A$33:$A$42,0)),1)</f>
        <v>1.05</v>
      </c>
      <c r="T622" s="27">
        <f>IFERROR(INDEX(Parametros!$B$21:$B$26,MATCH(I622,Parametros!$A$21:$A$26,0)),0)</f>
        <v>0</v>
      </c>
      <c r="U622" s="28">
        <f t="shared" si="37"/>
        <v>2.1</v>
      </c>
      <c r="V622" s="9">
        <f>IF(U622&gt;=Parametros!$B$14,4,IF(U622&gt;=Parametros!$B$13,3,IF(U622&gt;=Parametros!$B$12,2,1)))</f>
        <v>1</v>
      </c>
      <c r="W622" s="5">
        <f>MAX(V622,IF(K622=5,Parametros!$B$17,0),IF(P622="Sim",Parametros!$B$18,0))</f>
        <v>1</v>
      </c>
      <c r="X622" s="5" t="str">
        <f t="shared" si="38"/>
        <v>Baixa</v>
      </c>
      <c r="Y622" s="29">
        <f t="shared" si="39"/>
        <v>1020.699378</v>
      </c>
      <c r="Z622" s="4" t="s">
        <v>659</v>
      </c>
    </row>
    <row r="623" spans="1:26" ht="28.05" customHeight="1" x14ac:dyDescent="0.3">
      <c r="A623" s="5">
        <f t="shared" si="36"/>
        <v>619</v>
      </c>
      <c r="B623" s="23" t="s">
        <v>1435</v>
      </c>
      <c r="C623" s="17" t="s">
        <v>1436</v>
      </c>
      <c r="D623" s="4" t="s">
        <v>52</v>
      </c>
      <c r="E623" s="4" t="s">
        <v>64</v>
      </c>
      <c r="F623" s="4" t="s">
        <v>64</v>
      </c>
      <c r="G623" s="4" t="s">
        <v>171</v>
      </c>
      <c r="H623" s="4" t="s">
        <v>172</v>
      </c>
      <c r="I623" s="24" t="s">
        <v>131</v>
      </c>
      <c r="J623" s="15">
        <v>3</v>
      </c>
      <c r="K623" s="15">
        <v>2</v>
      </c>
      <c r="L623" s="15">
        <v>1</v>
      </c>
      <c r="M623" s="15">
        <v>3</v>
      </c>
      <c r="N623" s="15">
        <v>1</v>
      </c>
      <c r="O623" s="15">
        <v>3</v>
      </c>
      <c r="P623" s="15" t="s">
        <v>415</v>
      </c>
      <c r="Q623" s="23" t="s">
        <v>838</v>
      </c>
      <c r="R623" s="25">
        <f>ROUND((K623*Parametros!$B$4+L623*Parametros!$B$5+M623*Parametros!$B$6+N623*Parametros!$B$7+O623*Parametros!$B$8)/SUM(Parametros!$B$4:$B$8),2)</f>
        <v>2</v>
      </c>
      <c r="S623" s="26">
        <f>IFERROR(INDEX(Parametros!$F$33:$F$42,MATCH(D623,Parametros!$A$33:$A$42,0)),1)</f>
        <v>1.05</v>
      </c>
      <c r="T623" s="27">
        <f>IFERROR(INDEX(Parametros!$B$21:$B$26,MATCH(I623,Parametros!$A$21:$A$26,0)),0)</f>
        <v>0</v>
      </c>
      <c r="U623" s="28">
        <f t="shared" si="37"/>
        <v>2.1</v>
      </c>
      <c r="V623" s="9">
        <f>IF(U623&gt;=Parametros!$B$14,4,IF(U623&gt;=Parametros!$B$13,3,IF(U623&gt;=Parametros!$B$12,2,1)))</f>
        <v>1</v>
      </c>
      <c r="W623" s="5">
        <f>MAX(V623,IF(K623=5,Parametros!$B$17,0),IF(P623="Sim",Parametros!$B$18,0))</f>
        <v>1</v>
      </c>
      <c r="X623" s="5" t="str">
        <f t="shared" si="38"/>
        <v>Baixa</v>
      </c>
      <c r="Y623" s="29">
        <f t="shared" si="39"/>
        <v>1020.699377</v>
      </c>
      <c r="Z623" s="4" t="s">
        <v>659</v>
      </c>
    </row>
    <row r="624" spans="1:26" ht="28.05" customHeight="1" x14ac:dyDescent="0.3">
      <c r="A624" s="5">
        <f t="shared" si="36"/>
        <v>620</v>
      </c>
      <c r="B624" s="23" t="s">
        <v>1437</v>
      </c>
      <c r="C624" s="17" t="s">
        <v>1438</v>
      </c>
      <c r="D624" s="4" t="s">
        <v>53</v>
      </c>
      <c r="E624" s="4" t="s">
        <v>64</v>
      </c>
      <c r="F624" s="4" t="s">
        <v>64</v>
      </c>
      <c r="G624" s="4" t="s">
        <v>184</v>
      </c>
      <c r="H624" s="4" t="s">
        <v>185</v>
      </c>
      <c r="I624" s="24" t="s">
        <v>152</v>
      </c>
      <c r="J624" s="15">
        <v>3</v>
      </c>
      <c r="K624" s="15">
        <v>3</v>
      </c>
      <c r="L624" s="15">
        <v>3</v>
      </c>
      <c r="M624" s="15">
        <v>1</v>
      </c>
      <c r="N624" s="15">
        <v>1</v>
      </c>
      <c r="O624" s="15">
        <v>1</v>
      </c>
      <c r="P624" s="15" t="s">
        <v>415</v>
      </c>
      <c r="Q624" s="23" t="s">
        <v>838</v>
      </c>
      <c r="R624" s="25">
        <f>ROUND((K624*Parametros!$B$4+L624*Parametros!$B$5+M624*Parametros!$B$6+N624*Parametros!$B$7+O624*Parametros!$B$8)/SUM(Parametros!$B$4:$B$8),2)</f>
        <v>2</v>
      </c>
      <c r="S624" s="26">
        <f>IFERROR(INDEX(Parametros!$F$33:$F$42,MATCH(D624,Parametros!$A$33:$A$42,0)),1)</f>
        <v>1.05</v>
      </c>
      <c r="T624" s="27">
        <f>IFERROR(INDEX(Parametros!$B$21:$B$26,MATCH(I624,Parametros!$A$21:$A$26,0)),0)</f>
        <v>0</v>
      </c>
      <c r="U624" s="28">
        <f t="shared" si="37"/>
        <v>2.1</v>
      </c>
      <c r="V624" s="9">
        <f>IF(U624&gt;=Parametros!$B$14,4,IF(U624&gt;=Parametros!$B$13,3,IF(U624&gt;=Parametros!$B$12,2,1)))</f>
        <v>1</v>
      </c>
      <c r="W624" s="5">
        <f>MAX(V624,IF(K624=5,Parametros!$B$17,0),IF(P624="Sim",Parametros!$B$18,0))</f>
        <v>1</v>
      </c>
      <c r="X624" s="5" t="str">
        <f t="shared" si="38"/>
        <v>Baixa</v>
      </c>
      <c r="Y624" s="29">
        <f t="shared" si="39"/>
        <v>1020.699376</v>
      </c>
      <c r="Z624" s="4" t="s">
        <v>659</v>
      </c>
    </row>
    <row r="625" spans="1:26" ht="28.05" customHeight="1" x14ac:dyDescent="0.3">
      <c r="A625" s="5">
        <f t="shared" si="36"/>
        <v>621</v>
      </c>
      <c r="B625" s="23" t="s">
        <v>1439</v>
      </c>
      <c r="C625" s="17" t="s">
        <v>1440</v>
      </c>
      <c r="D625" s="4" t="s">
        <v>52</v>
      </c>
      <c r="E625" s="4" t="s">
        <v>64</v>
      </c>
      <c r="F625" s="4" t="s">
        <v>64</v>
      </c>
      <c r="G625" s="4" t="s">
        <v>119</v>
      </c>
      <c r="H625" s="4" t="s">
        <v>108</v>
      </c>
      <c r="I625" s="24" t="s">
        <v>131</v>
      </c>
      <c r="J625" s="15">
        <v>3</v>
      </c>
      <c r="K625" s="15">
        <v>2</v>
      </c>
      <c r="L625" s="15">
        <v>2</v>
      </c>
      <c r="M625" s="15">
        <v>2</v>
      </c>
      <c r="N625" s="15">
        <v>2</v>
      </c>
      <c r="O625" s="15">
        <v>2</v>
      </c>
      <c r="P625" s="15" t="s">
        <v>415</v>
      </c>
      <c r="Q625" s="23" t="s">
        <v>416</v>
      </c>
      <c r="R625" s="25">
        <f>ROUND((K625*Parametros!$B$4+L625*Parametros!$B$5+M625*Parametros!$B$6+N625*Parametros!$B$7+O625*Parametros!$B$8)/SUM(Parametros!$B$4:$B$8),2)</f>
        <v>2</v>
      </c>
      <c r="S625" s="26">
        <f>IFERROR(INDEX(Parametros!$F$33:$F$42,MATCH(D625,Parametros!$A$33:$A$42,0)),1)</f>
        <v>1.05</v>
      </c>
      <c r="T625" s="27">
        <f>IFERROR(INDEX(Parametros!$B$21:$B$26,MATCH(I625,Parametros!$A$21:$A$26,0)),0)</f>
        <v>0</v>
      </c>
      <c r="U625" s="28">
        <f t="shared" si="37"/>
        <v>2.1</v>
      </c>
      <c r="V625" s="9">
        <f>IF(U625&gt;=Parametros!$B$14,4,IF(U625&gt;=Parametros!$B$13,3,IF(U625&gt;=Parametros!$B$12,2,1)))</f>
        <v>1</v>
      </c>
      <c r="W625" s="5">
        <f>MAX(V625,IF(K625=5,Parametros!$B$17,0),IF(P625="Sim",Parametros!$B$18,0))</f>
        <v>1</v>
      </c>
      <c r="X625" s="5" t="str">
        <f t="shared" si="38"/>
        <v>Baixa</v>
      </c>
      <c r="Y625" s="29">
        <f t="shared" si="39"/>
        <v>1020.699375</v>
      </c>
      <c r="Z625" s="4" t="s">
        <v>659</v>
      </c>
    </row>
    <row r="626" spans="1:26" ht="28.05" customHeight="1" x14ac:dyDescent="0.3">
      <c r="A626" s="5">
        <f t="shared" si="36"/>
        <v>622</v>
      </c>
      <c r="B626" s="23" t="s">
        <v>1441</v>
      </c>
      <c r="C626" s="17" t="s">
        <v>1442</v>
      </c>
      <c r="D626" s="4" t="s">
        <v>52</v>
      </c>
      <c r="E626" s="4" t="s">
        <v>66</v>
      </c>
      <c r="F626" s="4" t="s">
        <v>66</v>
      </c>
      <c r="G626" s="4" t="s">
        <v>171</v>
      </c>
      <c r="H626" s="4" t="s">
        <v>172</v>
      </c>
      <c r="I626" s="24" t="s">
        <v>152</v>
      </c>
      <c r="J626" s="15">
        <v>3</v>
      </c>
      <c r="K626" s="15">
        <v>3</v>
      </c>
      <c r="L626" s="15">
        <v>3</v>
      </c>
      <c r="M626" s="15">
        <v>1</v>
      </c>
      <c r="N626" s="15">
        <v>1</v>
      </c>
      <c r="O626" s="15">
        <v>1</v>
      </c>
      <c r="P626" s="15" t="s">
        <v>415</v>
      </c>
      <c r="Q626" s="23" t="s">
        <v>838</v>
      </c>
      <c r="R626" s="25">
        <f>ROUND((K626*Parametros!$B$4+L626*Parametros!$B$5+M626*Parametros!$B$6+N626*Parametros!$B$7+O626*Parametros!$B$8)/SUM(Parametros!$B$4:$B$8),2)</f>
        <v>2</v>
      </c>
      <c r="S626" s="26">
        <f>IFERROR(INDEX(Parametros!$F$33:$F$42,MATCH(D626,Parametros!$A$33:$A$42,0)),1)</f>
        <v>1.05</v>
      </c>
      <c r="T626" s="27">
        <f>IFERROR(INDEX(Parametros!$B$21:$B$26,MATCH(I626,Parametros!$A$21:$A$26,0)),0)</f>
        <v>0</v>
      </c>
      <c r="U626" s="28">
        <f t="shared" si="37"/>
        <v>2.1</v>
      </c>
      <c r="V626" s="9">
        <f>IF(U626&gt;=Parametros!$B$14,4,IF(U626&gt;=Parametros!$B$13,3,IF(U626&gt;=Parametros!$B$12,2,1)))</f>
        <v>1</v>
      </c>
      <c r="W626" s="5">
        <f>MAX(V626,IF(K626=5,Parametros!$B$17,0),IF(P626="Sim",Parametros!$B$18,0))</f>
        <v>1</v>
      </c>
      <c r="X626" s="5" t="str">
        <f t="shared" si="38"/>
        <v>Baixa</v>
      </c>
      <c r="Y626" s="29">
        <f t="shared" si="39"/>
        <v>1020.699374</v>
      </c>
      <c r="Z626" s="4" t="s">
        <v>659</v>
      </c>
    </row>
    <row r="627" spans="1:26" ht="28.05" customHeight="1" x14ac:dyDescent="0.3">
      <c r="A627" s="5">
        <f t="shared" si="36"/>
        <v>623</v>
      </c>
      <c r="B627" s="23" t="s">
        <v>1443</v>
      </c>
      <c r="C627" s="17" t="s">
        <v>1444</v>
      </c>
      <c r="D627" s="4" t="s">
        <v>54</v>
      </c>
      <c r="E627" s="4" t="s">
        <v>64</v>
      </c>
      <c r="F627" s="4" t="s">
        <v>64</v>
      </c>
      <c r="G627" s="4" t="s">
        <v>134</v>
      </c>
      <c r="H627" s="4" t="s">
        <v>108</v>
      </c>
      <c r="I627" s="24" t="s">
        <v>131</v>
      </c>
      <c r="J627" s="15">
        <v>2</v>
      </c>
      <c r="K627" s="15">
        <v>2</v>
      </c>
      <c r="L627" s="15">
        <v>2</v>
      </c>
      <c r="M627" s="15">
        <v>2</v>
      </c>
      <c r="N627" s="15">
        <v>2</v>
      </c>
      <c r="O627" s="15">
        <v>2</v>
      </c>
      <c r="P627" s="15" t="s">
        <v>415</v>
      </c>
      <c r="Q627" s="23" t="s">
        <v>416</v>
      </c>
      <c r="R627" s="25">
        <f>ROUND((K627*Parametros!$B$4+L627*Parametros!$B$5+M627*Parametros!$B$6+N627*Parametros!$B$7+O627*Parametros!$B$8)/SUM(Parametros!$B$4:$B$8),2)</f>
        <v>2</v>
      </c>
      <c r="S627" s="26">
        <f>IFERROR(INDEX(Parametros!$F$33:$F$42,MATCH(D627,Parametros!$A$33:$A$42,0)),1)</f>
        <v>1.034</v>
      </c>
      <c r="T627" s="27">
        <f>IFERROR(INDEX(Parametros!$B$21:$B$26,MATCH(I627,Parametros!$A$21:$A$26,0)),0)</f>
        <v>0</v>
      </c>
      <c r="U627" s="28">
        <f t="shared" si="37"/>
        <v>2.0699999999999998</v>
      </c>
      <c r="V627" s="9">
        <f>IF(U627&gt;=Parametros!$B$14,4,IF(U627&gt;=Parametros!$B$13,3,IF(U627&gt;=Parametros!$B$12,2,1)))</f>
        <v>1</v>
      </c>
      <c r="W627" s="5">
        <f>MAX(V627,IF(K627=5,Parametros!$B$17,0),IF(P627="Sim",Parametros!$B$18,0))</f>
        <v>1</v>
      </c>
      <c r="X627" s="5" t="str">
        <f t="shared" si="38"/>
        <v>Baixa</v>
      </c>
      <c r="Y627" s="29">
        <f t="shared" si="39"/>
        <v>1020.499373</v>
      </c>
      <c r="Z627" s="4" t="s">
        <v>659</v>
      </c>
    </row>
    <row r="628" spans="1:26" ht="28.05" customHeight="1" x14ac:dyDescent="0.3">
      <c r="A628" s="5">
        <f t="shared" si="36"/>
        <v>624</v>
      </c>
      <c r="B628" s="23" t="s">
        <v>1445</v>
      </c>
      <c r="C628" s="17" t="s">
        <v>1446</v>
      </c>
      <c r="D628" s="4" t="s">
        <v>54</v>
      </c>
      <c r="E628" s="4" t="s">
        <v>64</v>
      </c>
      <c r="F628" s="4" t="s">
        <v>64</v>
      </c>
      <c r="G628" s="4" t="s">
        <v>134</v>
      </c>
      <c r="H628" s="4" t="s">
        <v>108</v>
      </c>
      <c r="I628" s="24" t="s">
        <v>131</v>
      </c>
      <c r="J628" s="15">
        <v>2</v>
      </c>
      <c r="K628" s="15">
        <v>2</v>
      </c>
      <c r="L628" s="15">
        <v>2</v>
      </c>
      <c r="M628" s="15">
        <v>2</v>
      </c>
      <c r="N628" s="15">
        <v>2</v>
      </c>
      <c r="O628" s="15">
        <v>2</v>
      </c>
      <c r="P628" s="15" t="s">
        <v>415</v>
      </c>
      <c r="Q628" s="23" t="s">
        <v>416</v>
      </c>
      <c r="R628" s="25">
        <f>ROUND((K628*Parametros!$B$4+L628*Parametros!$B$5+M628*Parametros!$B$6+N628*Parametros!$B$7+O628*Parametros!$B$8)/SUM(Parametros!$B$4:$B$8),2)</f>
        <v>2</v>
      </c>
      <c r="S628" s="26">
        <f>IFERROR(INDEX(Parametros!$F$33:$F$42,MATCH(D628,Parametros!$A$33:$A$42,0)),1)</f>
        <v>1.034</v>
      </c>
      <c r="T628" s="27">
        <f>IFERROR(INDEX(Parametros!$B$21:$B$26,MATCH(I628,Parametros!$A$21:$A$26,0)),0)</f>
        <v>0</v>
      </c>
      <c r="U628" s="28">
        <f t="shared" si="37"/>
        <v>2.0699999999999998</v>
      </c>
      <c r="V628" s="9">
        <f>IF(U628&gt;=Parametros!$B$14,4,IF(U628&gt;=Parametros!$B$13,3,IF(U628&gt;=Parametros!$B$12,2,1)))</f>
        <v>1</v>
      </c>
      <c r="W628" s="5">
        <f>MAX(V628,IF(K628=5,Parametros!$B$17,0),IF(P628="Sim",Parametros!$B$18,0))</f>
        <v>1</v>
      </c>
      <c r="X628" s="5" t="str">
        <f t="shared" si="38"/>
        <v>Baixa</v>
      </c>
      <c r="Y628" s="29">
        <f t="shared" si="39"/>
        <v>1020.499372</v>
      </c>
      <c r="Z628" s="4" t="s">
        <v>659</v>
      </c>
    </row>
    <row r="629" spans="1:26" ht="28.05" customHeight="1" x14ac:dyDescent="0.3">
      <c r="A629" s="5">
        <f t="shared" si="36"/>
        <v>625</v>
      </c>
      <c r="B629" s="23" t="s">
        <v>1447</v>
      </c>
      <c r="C629" s="17" t="s">
        <v>1448</v>
      </c>
      <c r="D629" s="4" t="s">
        <v>51</v>
      </c>
      <c r="E629" s="4" t="s">
        <v>79</v>
      </c>
      <c r="F629" s="4" t="s">
        <v>79</v>
      </c>
      <c r="G629" s="4" t="s">
        <v>112</v>
      </c>
      <c r="H629" s="4" t="s">
        <v>108</v>
      </c>
      <c r="I629" s="24" t="s">
        <v>122</v>
      </c>
      <c r="J629" s="15">
        <v>3</v>
      </c>
      <c r="K629" s="15">
        <v>2</v>
      </c>
      <c r="L629" s="15">
        <v>2</v>
      </c>
      <c r="M629" s="15">
        <v>1</v>
      </c>
      <c r="N629" s="15">
        <v>2</v>
      </c>
      <c r="O629" s="15">
        <v>3</v>
      </c>
      <c r="P629" s="15" t="s">
        <v>415</v>
      </c>
      <c r="Q629" s="23" t="s">
        <v>838</v>
      </c>
      <c r="R629" s="25">
        <f>ROUND((K629*Parametros!$B$4+L629*Parametros!$B$5+M629*Parametros!$B$6+N629*Parametros!$B$7+O629*Parametros!$B$8)/SUM(Parametros!$B$4:$B$8),2)</f>
        <v>1.95</v>
      </c>
      <c r="S629" s="26">
        <f>IFERROR(INDEX(Parametros!$F$33:$F$42,MATCH(D629,Parametros!$A$33:$A$42,0)),1)</f>
        <v>1.0669999999999999</v>
      </c>
      <c r="T629" s="27">
        <f>IFERROR(INDEX(Parametros!$B$21:$B$26,MATCH(I629,Parametros!$A$21:$A$26,0)),0)</f>
        <v>0</v>
      </c>
      <c r="U629" s="28">
        <f t="shared" si="37"/>
        <v>2.08</v>
      </c>
      <c r="V629" s="9">
        <f>IF(U629&gt;=Parametros!$B$14,4,IF(U629&gt;=Parametros!$B$13,3,IF(U629&gt;=Parametros!$B$12,2,1)))</f>
        <v>1</v>
      </c>
      <c r="W629" s="5">
        <f>MAX(V629,IF(K629=5,Parametros!$B$17,0),IF(P629="Sim",Parametros!$B$18,0))</f>
        <v>1</v>
      </c>
      <c r="X629" s="5" t="str">
        <f t="shared" si="38"/>
        <v>Baixa</v>
      </c>
      <c r="Y629" s="29">
        <f t="shared" si="39"/>
        <v>1020.499371</v>
      </c>
      <c r="Z629" s="4" t="s">
        <v>659</v>
      </c>
    </row>
    <row r="630" spans="1:26" ht="28.05" customHeight="1" x14ac:dyDescent="0.3">
      <c r="A630" s="5">
        <f t="shared" si="36"/>
        <v>626</v>
      </c>
      <c r="B630" s="23" t="s">
        <v>1449</v>
      </c>
      <c r="C630" s="17" t="s">
        <v>1450</v>
      </c>
      <c r="D630" s="4" t="s">
        <v>51</v>
      </c>
      <c r="E630" s="4" t="s">
        <v>71</v>
      </c>
      <c r="F630" s="4" t="s">
        <v>71</v>
      </c>
      <c r="G630" s="4" t="s">
        <v>112</v>
      </c>
      <c r="H630" s="4" t="s">
        <v>108</v>
      </c>
      <c r="I630" s="24" t="s">
        <v>122</v>
      </c>
      <c r="J630" s="15">
        <v>3</v>
      </c>
      <c r="K630" s="15">
        <v>2</v>
      </c>
      <c r="L630" s="15">
        <v>2</v>
      </c>
      <c r="M630" s="15">
        <v>1</v>
      </c>
      <c r="N630" s="15">
        <v>2</v>
      </c>
      <c r="O630" s="15">
        <v>3</v>
      </c>
      <c r="P630" s="15" t="s">
        <v>415</v>
      </c>
      <c r="Q630" s="23" t="s">
        <v>838</v>
      </c>
      <c r="R630" s="25">
        <f>ROUND((K630*Parametros!$B$4+L630*Parametros!$B$5+M630*Parametros!$B$6+N630*Parametros!$B$7+O630*Parametros!$B$8)/SUM(Parametros!$B$4:$B$8),2)</f>
        <v>1.95</v>
      </c>
      <c r="S630" s="26">
        <f>IFERROR(INDEX(Parametros!$F$33:$F$42,MATCH(D630,Parametros!$A$33:$A$42,0)),1)</f>
        <v>1.0669999999999999</v>
      </c>
      <c r="T630" s="27">
        <f>IFERROR(INDEX(Parametros!$B$21:$B$26,MATCH(I630,Parametros!$A$21:$A$26,0)),0)</f>
        <v>0</v>
      </c>
      <c r="U630" s="28">
        <f t="shared" si="37"/>
        <v>2.08</v>
      </c>
      <c r="V630" s="9">
        <f>IF(U630&gt;=Parametros!$B$14,4,IF(U630&gt;=Parametros!$B$13,3,IF(U630&gt;=Parametros!$B$12,2,1)))</f>
        <v>1</v>
      </c>
      <c r="W630" s="5">
        <f>MAX(V630,IF(K630=5,Parametros!$B$17,0),IF(P630="Sim",Parametros!$B$18,0))</f>
        <v>1</v>
      </c>
      <c r="X630" s="5" t="str">
        <f t="shared" si="38"/>
        <v>Baixa</v>
      </c>
      <c r="Y630" s="29">
        <f t="shared" si="39"/>
        <v>1020.49937</v>
      </c>
      <c r="Z630" s="4" t="s">
        <v>659</v>
      </c>
    </row>
    <row r="631" spans="1:26" ht="28.05" customHeight="1" x14ac:dyDescent="0.3">
      <c r="A631" s="5">
        <f t="shared" si="36"/>
        <v>627</v>
      </c>
      <c r="B631" s="23" t="s">
        <v>1451</v>
      </c>
      <c r="C631" s="17" t="s">
        <v>1452</v>
      </c>
      <c r="D631" s="4" t="s">
        <v>53</v>
      </c>
      <c r="E631" s="4" t="s">
        <v>64</v>
      </c>
      <c r="F631" s="4" t="s">
        <v>64</v>
      </c>
      <c r="G631" s="4" t="s">
        <v>184</v>
      </c>
      <c r="H631" s="4" t="s">
        <v>185</v>
      </c>
      <c r="I631" s="24" t="s">
        <v>152</v>
      </c>
      <c r="J631" s="15">
        <v>5</v>
      </c>
      <c r="K631" s="15">
        <v>3</v>
      </c>
      <c r="L631" s="15">
        <v>3</v>
      </c>
      <c r="M631" s="15">
        <v>1</v>
      </c>
      <c r="N631" s="15">
        <v>1</v>
      </c>
      <c r="O631" s="15">
        <v>1</v>
      </c>
      <c r="P631" s="15" t="s">
        <v>415</v>
      </c>
      <c r="Q631" s="23" t="s">
        <v>838</v>
      </c>
      <c r="R631" s="25">
        <f>ROUND((K631*Parametros!$B$4+L631*Parametros!$B$5+M631*Parametros!$B$6+N631*Parametros!$B$7+O631*Parametros!$B$8)/SUM(Parametros!$B$4:$B$8),2)</f>
        <v>2</v>
      </c>
      <c r="S631" s="26">
        <f>IFERROR(INDEX(Parametros!$F$33:$F$42,MATCH(D631,Parametros!$A$33:$A$42,0)),1)</f>
        <v>1.05</v>
      </c>
      <c r="T631" s="27">
        <f>IFERROR(INDEX(Parametros!$B$21:$B$26,MATCH(I631,Parametros!$A$21:$A$26,0)),0)</f>
        <v>0</v>
      </c>
      <c r="U631" s="28">
        <f t="shared" si="37"/>
        <v>2.1</v>
      </c>
      <c r="V631" s="9">
        <f>IF(U631&gt;=Parametros!$B$14,4,IF(U631&gt;=Parametros!$B$13,3,IF(U631&gt;=Parametros!$B$12,2,1)))</f>
        <v>1</v>
      </c>
      <c r="W631" s="5">
        <f>MAX(V631,IF(K631=5,Parametros!$B$17,0),IF(P631="Sim",Parametros!$B$18,0))</f>
        <v>1</v>
      </c>
      <c r="X631" s="5" t="str">
        <f t="shared" si="38"/>
        <v>Baixa</v>
      </c>
      <c r="Y631" s="29">
        <f t="shared" si="39"/>
        <v>1020.499369</v>
      </c>
      <c r="Z631" s="4" t="s">
        <v>659</v>
      </c>
    </row>
    <row r="632" spans="1:26" ht="28.05" customHeight="1" x14ac:dyDescent="0.3">
      <c r="A632" s="5">
        <f t="shared" si="36"/>
        <v>628</v>
      </c>
      <c r="B632" s="23" t="s">
        <v>1453</v>
      </c>
      <c r="C632" s="17" t="s">
        <v>1454</v>
      </c>
      <c r="D632" s="4" t="s">
        <v>55</v>
      </c>
      <c r="E632" s="4" t="s">
        <v>84</v>
      </c>
      <c r="F632" s="4" t="s">
        <v>84</v>
      </c>
      <c r="G632" s="4" t="s">
        <v>134</v>
      </c>
      <c r="H632" s="4" t="s">
        <v>108</v>
      </c>
      <c r="I632" s="24" t="s">
        <v>152</v>
      </c>
      <c r="J632" s="15">
        <v>3</v>
      </c>
      <c r="K632" s="15">
        <v>2</v>
      </c>
      <c r="L632" s="15">
        <v>3</v>
      </c>
      <c r="M632" s="15">
        <v>1</v>
      </c>
      <c r="N632" s="15">
        <v>3</v>
      </c>
      <c r="O632" s="15">
        <v>1</v>
      </c>
      <c r="P632" s="15" t="s">
        <v>415</v>
      </c>
      <c r="Q632" s="23" t="s">
        <v>416</v>
      </c>
      <c r="R632" s="25">
        <f>ROUND((K632*Parametros!$B$4+L632*Parametros!$B$5+M632*Parametros!$B$6+N632*Parametros!$B$7+O632*Parametros!$B$8)/SUM(Parametros!$B$4:$B$8),2)</f>
        <v>2</v>
      </c>
      <c r="S632" s="26">
        <f>IFERROR(INDEX(Parametros!$F$33:$F$42,MATCH(D632,Parametros!$A$33:$A$42,0)),1)</f>
        <v>1.034</v>
      </c>
      <c r="T632" s="27">
        <f>IFERROR(INDEX(Parametros!$B$21:$B$26,MATCH(I632,Parametros!$A$21:$A$26,0)),0)</f>
        <v>0</v>
      </c>
      <c r="U632" s="28">
        <f t="shared" si="37"/>
        <v>2.0699999999999998</v>
      </c>
      <c r="V632" s="9">
        <f>IF(U632&gt;=Parametros!$B$14,4,IF(U632&gt;=Parametros!$B$13,3,IF(U632&gt;=Parametros!$B$12,2,1)))</f>
        <v>1</v>
      </c>
      <c r="W632" s="5">
        <f>MAX(V632,IF(K632=5,Parametros!$B$17,0),IF(P632="Sim",Parametros!$B$18,0))</f>
        <v>1</v>
      </c>
      <c r="X632" s="5" t="str">
        <f t="shared" si="38"/>
        <v>Baixa</v>
      </c>
      <c r="Y632" s="29">
        <f t="shared" si="39"/>
        <v>1020.3993680000001</v>
      </c>
      <c r="Z632" s="4" t="s">
        <v>659</v>
      </c>
    </row>
    <row r="633" spans="1:26" ht="28.05" customHeight="1" x14ac:dyDescent="0.3">
      <c r="A633" s="5">
        <f t="shared" si="36"/>
        <v>629</v>
      </c>
      <c r="B633" s="23" t="s">
        <v>1455</v>
      </c>
      <c r="C633" s="17" t="s">
        <v>1456</v>
      </c>
      <c r="D633" s="4" t="s">
        <v>52</v>
      </c>
      <c r="E633" s="4" t="s">
        <v>66</v>
      </c>
      <c r="F633" s="4" t="s">
        <v>66</v>
      </c>
      <c r="G633" s="4" t="s">
        <v>171</v>
      </c>
      <c r="H633" s="4" t="s">
        <v>172</v>
      </c>
      <c r="I633" s="24" t="s">
        <v>954</v>
      </c>
      <c r="J633" s="15">
        <v>2</v>
      </c>
      <c r="K633" s="15">
        <v>2</v>
      </c>
      <c r="L633" s="15">
        <v>3</v>
      </c>
      <c r="M633" s="15">
        <v>3</v>
      </c>
      <c r="N633" s="15">
        <v>1</v>
      </c>
      <c r="O633" s="15">
        <v>2</v>
      </c>
      <c r="P633" s="15" t="s">
        <v>415</v>
      </c>
      <c r="Q633" s="23" t="s">
        <v>838</v>
      </c>
      <c r="R633" s="25">
        <f>ROUND((K633*Parametros!$B$4+L633*Parametros!$B$5+M633*Parametros!$B$6+N633*Parametros!$B$7+O633*Parametros!$B$8)/SUM(Parametros!$B$4:$B$8),2)</f>
        <v>2.25</v>
      </c>
      <c r="S633" s="26">
        <f>IFERROR(INDEX(Parametros!$F$33:$F$42,MATCH(D633,Parametros!$A$33:$A$42,0)),1)</f>
        <v>1.05</v>
      </c>
      <c r="T633" s="27">
        <f>IFERROR(INDEX(Parametros!$B$21:$B$26,MATCH(I633,Parametros!$A$21:$A$26,0)),0)</f>
        <v>-0.3</v>
      </c>
      <c r="U633" s="28">
        <f t="shared" si="37"/>
        <v>2.06</v>
      </c>
      <c r="V633" s="9">
        <f>IF(U633&gt;=Parametros!$B$14,4,IF(U633&gt;=Parametros!$B$13,3,IF(U633&gt;=Parametros!$B$12,2,1)))</f>
        <v>1</v>
      </c>
      <c r="W633" s="5">
        <f>MAX(V633,IF(K633=5,Parametros!$B$17,0),IF(P633="Sim",Parametros!$B$18,0))</f>
        <v>1</v>
      </c>
      <c r="X633" s="5" t="str">
        <f t="shared" si="38"/>
        <v>Baixa</v>
      </c>
      <c r="Y633" s="29">
        <f t="shared" si="39"/>
        <v>1020.399367</v>
      </c>
      <c r="Z633" s="4" t="s">
        <v>1213</v>
      </c>
    </row>
    <row r="634" spans="1:26" ht="28.05" customHeight="1" x14ac:dyDescent="0.3">
      <c r="A634" s="5">
        <f t="shared" si="36"/>
        <v>630</v>
      </c>
      <c r="B634" s="23" t="s">
        <v>1457</v>
      </c>
      <c r="C634" s="17" t="s">
        <v>1458</v>
      </c>
      <c r="D634" s="4" t="s">
        <v>52</v>
      </c>
      <c r="E634" s="4" t="s">
        <v>66</v>
      </c>
      <c r="F634" s="4" t="s">
        <v>66</v>
      </c>
      <c r="G634" s="4" t="s">
        <v>107</v>
      </c>
      <c r="H634" s="4" t="s">
        <v>108</v>
      </c>
      <c r="I634" s="24" t="s">
        <v>954</v>
      </c>
      <c r="J634" s="15">
        <v>2</v>
      </c>
      <c r="K634" s="15">
        <v>2</v>
      </c>
      <c r="L634" s="15">
        <v>3</v>
      </c>
      <c r="M634" s="15">
        <v>3</v>
      </c>
      <c r="N634" s="15">
        <v>1</v>
      </c>
      <c r="O634" s="15">
        <v>2</v>
      </c>
      <c r="P634" s="15" t="s">
        <v>415</v>
      </c>
      <c r="Q634" s="23" t="s">
        <v>838</v>
      </c>
      <c r="R634" s="25">
        <f>ROUND((K634*Parametros!$B$4+L634*Parametros!$B$5+M634*Parametros!$B$6+N634*Parametros!$B$7+O634*Parametros!$B$8)/SUM(Parametros!$B$4:$B$8),2)</f>
        <v>2.25</v>
      </c>
      <c r="S634" s="26">
        <f>IFERROR(INDEX(Parametros!$F$33:$F$42,MATCH(D634,Parametros!$A$33:$A$42,0)),1)</f>
        <v>1.05</v>
      </c>
      <c r="T634" s="27">
        <f>IFERROR(INDEX(Parametros!$B$21:$B$26,MATCH(I634,Parametros!$A$21:$A$26,0)),0)</f>
        <v>-0.3</v>
      </c>
      <c r="U634" s="28">
        <f t="shared" si="37"/>
        <v>2.06</v>
      </c>
      <c r="V634" s="9">
        <f>IF(U634&gt;=Parametros!$B$14,4,IF(U634&gt;=Parametros!$B$13,3,IF(U634&gt;=Parametros!$B$12,2,1)))</f>
        <v>1</v>
      </c>
      <c r="W634" s="5">
        <f>MAX(V634,IF(K634=5,Parametros!$B$17,0),IF(P634="Sim",Parametros!$B$18,0))</f>
        <v>1</v>
      </c>
      <c r="X634" s="5" t="str">
        <f t="shared" si="38"/>
        <v>Baixa</v>
      </c>
      <c r="Y634" s="29">
        <f t="shared" si="39"/>
        <v>1020.399366</v>
      </c>
      <c r="Z634" s="4" t="s">
        <v>1213</v>
      </c>
    </row>
    <row r="635" spans="1:26" ht="28.05" customHeight="1" x14ac:dyDescent="0.3">
      <c r="A635" s="5">
        <f t="shared" si="36"/>
        <v>631</v>
      </c>
      <c r="B635" s="23" t="s">
        <v>1459</v>
      </c>
      <c r="C635" s="17" t="s">
        <v>1460</v>
      </c>
      <c r="D635" s="4" t="s">
        <v>52</v>
      </c>
      <c r="E635" s="4" t="s">
        <v>66</v>
      </c>
      <c r="F635" s="4" t="s">
        <v>66</v>
      </c>
      <c r="G635" s="4" t="s">
        <v>171</v>
      </c>
      <c r="H635" s="4" t="s">
        <v>172</v>
      </c>
      <c r="I635" s="24" t="s">
        <v>954</v>
      </c>
      <c r="J635" s="15">
        <v>2</v>
      </c>
      <c r="K635" s="15">
        <v>2</v>
      </c>
      <c r="L635" s="15">
        <v>3</v>
      </c>
      <c r="M635" s="15">
        <v>3</v>
      </c>
      <c r="N635" s="15">
        <v>1</v>
      </c>
      <c r="O635" s="15">
        <v>2</v>
      </c>
      <c r="P635" s="15" t="s">
        <v>415</v>
      </c>
      <c r="Q635" s="23" t="s">
        <v>838</v>
      </c>
      <c r="R635" s="25">
        <f>ROUND((K635*Parametros!$B$4+L635*Parametros!$B$5+M635*Parametros!$B$6+N635*Parametros!$B$7+O635*Parametros!$B$8)/SUM(Parametros!$B$4:$B$8),2)</f>
        <v>2.25</v>
      </c>
      <c r="S635" s="26">
        <f>IFERROR(INDEX(Parametros!$F$33:$F$42,MATCH(D635,Parametros!$A$33:$A$42,0)),1)</f>
        <v>1.05</v>
      </c>
      <c r="T635" s="27">
        <f>IFERROR(INDEX(Parametros!$B$21:$B$26,MATCH(I635,Parametros!$A$21:$A$26,0)),0)</f>
        <v>-0.3</v>
      </c>
      <c r="U635" s="28">
        <f t="shared" si="37"/>
        <v>2.06</v>
      </c>
      <c r="V635" s="9">
        <f>IF(U635&gt;=Parametros!$B$14,4,IF(U635&gt;=Parametros!$B$13,3,IF(U635&gt;=Parametros!$B$12,2,1)))</f>
        <v>1</v>
      </c>
      <c r="W635" s="5">
        <f>MAX(V635,IF(K635=5,Parametros!$B$17,0),IF(P635="Sim",Parametros!$B$18,0))</f>
        <v>1</v>
      </c>
      <c r="X635" s="5" t="str">
        <f t="shared" si="38"/>
        <v>Baixa</v>
      </c>
      <c r="Y635" s="29">
        <f t="shared" si="39"/>
        <v>1020.399365</v>
      </c>
      <c r="Z635" s="4" t="s">
        <v>1213</v>
      </c>
    </row>
    <row r="636" spans="1:26" ht="28.05" customHeight="1" x14ac:dyDescent="0.3">
      <c r="A636" s="5">
        <f t="shared" si="36"/>
        <v>632</v>
      </c>
      <c r="B636" s="23" t="s">
        <v>1461</v>
      </c>
      <c r="C636" s="17" t="s">
        <v>1462</v>
      </c>
      <c r="D636" s="4" t="s">
        <v>50</v>
      </c>
      <c r="E636" s="4" t="s">
        <v>345</v>
      </c>
      <c r="F636" s="4" t="s">
        <v>345</v>
      </c>
      <c r="G636" s="4" t="s">
        <v>112</v>
      </c>
      <c r="H636" s="4" t="s">
        <v>108</v>
      </c>
      <c r="I636" s="24" t="s">
        <v>152</v>
      </c>
      <c r="J636" s="15">
        <v>3</v>
      </c>
      <c r="K636" s="15">
        <v>3</v>
      </c>
      <c r="L636" s="15">
        <v>1</v>
      </c>
      <c r="M636" s="15">
        <v>1</v>
      </c>
      <c r="N636" s="15">
        <v>1</v>
      </c>
      <c r="O636" s="15">
        <v>3</v>
      </c>
      <c r="P636" s="15" t="s">
        <v>415</v>
      </c>
      <c r="Q636" s="23" t="s">
        <v>838</v>
      </c>
      <c r="R636" s="25">
        <f>ROUND((K636*Parametros!$B$4+L636*Parametros!$B$5+M636*Parametros!$B$6+N636*Parametros!$B$7+O636*Parametros!$B$8)/SUM(Parametros!$B$4:$B$8),2)</f>
        <v>1.9</v>
      </c>
      <c r="S636" s="26">
        <f>IFERROR(INDEX(Parametros!$F$33:$F$42,MATCH(D636,Parametros!$A$33:$A$42,0)),1)</f>
        <v>1.0840000000000001</v>
      </c>
      <c r="T636" s="27">
        <f>IFERROR(INDEX(Parametros!$B$21:$B$26,MATCH(I636,Parametros!$A$21:$A$26,0)),0)</f>
        <v>0</v>
      </c>
      <c r="U636" s="28">
        <f t="shared" si="37"/>
        <v>2.06</v>
      </c>
      <c r="V636" s="9">
        <f>IF(U636&gt;=Parametros!$B$14,4,IF(U636&gt;=Parametros!$B$13,3,IF(U636&gt;=Parametros!$B$12,2,1)))</f>
        <v>1</v>
      </c>
      <c r="W636" s="5">
        <f>MAX(V636,IF(K636=5,Parametros!$B$17,0),IF(P636="Sim",Parametros!$B$18,0))</f>
        <v>1</v>
      </c>
      <c r="X636" s="5" t="str">
        <f t="shared" si="38"/>
        <v>Baixa</v>
      </c>
      <c r="Y636" s="29">
        <f t="shared" si="39"/>
        <v>1020.2993640000001</v>
      </c>
      <c r="Z636" s="4" t="s">
        <v>659</v>
      </c>
    </row>
    <row r="637" spans="1:26" ht="28.05" customHeight="1" x14ac:dyDescent="0.3">
      <c r="A637" s="5">
        <f t="shared" si="36"/>
        <v>633</v>
      </c>
      <c r="B637" s="23" t="s">
        <v>1463</v>
      </c>
      <c r="C637" s="17" t="s">
        <v>1464</v>
      </c>
      <c r="D637" s="4" t="s">
        <v>52</v>
      </c>
      <c r="E637" s="4" t="s">
        <v>66</v>
      </c>
      <c r="F637" s="4" t="s">
        <v>66</v>
      </c>
      <c r="G637" s="4" t="s">
        <v>171</v>
      </c>
      <c r="H637" s="4" t="s">
        <v>172</v>
      </c>
      <c r="I637" s="24" t="s">
        <v>954</v>
      </c>
      <c r="J637" s="15">
        <v>3</v>
      </c>
      <c r="K637" s="15">
        <v>2</v>
      </c>
      <c r="L637" s="15">
        <v>3</v>
      </c>
      <c r="M637" s="15">
        <v>3</v>
      </c>
      <c r="N637" s="15">
        <v>1</v>
      </c>
      <c r="O637" s="15">
        <v>2</v>
      </c>
      <c r="P637" s="15" t="s">
        <v>415</v>
      </c>
      <c r="Q637" s="23" t="s">
        <v>416</v>
      </c>
      <c r="R637" s="25">
        <f>ROUND((K637*Parametros!$B$4+L637*Parametros!$B$5+M637*Parametros!$B$6+N637*Parametros!$B$7+O637*Parametros!$B$8)/SUM(Parametros!$B$4:$B$8),2)</f>
        <v>2.25</v>
      </c>
      <c r="S637" s="26">
        <f>IFERROR(INDEX(Parametros!$F$33:$F$42,MATCH(D637,Parametros!$A$33:$A$42,0)),1)</f>
        <v>1.05</v>
      </c>
      <c r="T637" s="27">
        <f>IFERROR(INDEX(Parametros!$B$21:$B$26,MATCH(I637,Parametros!$A$21:$A$26,0)),0)</f>
        <v>-0.3</v>
      </c>
      <c r="U637" s="28">
        <f t="shared" si="37"/>
        <v>2.06</v>
      </c>
      <c r="V637" s="9">
        <f>IF(U637&gt;=Parametros!$B$14,4,IF(U637&gt;=Parametros!$B$13,3,IF(U637&gt;=Parametros!$B$12,2,1)))</f>
        <v>1</v>
      </c>
      <c r="W637" s="5">
        <f>MAX(V637,IF(K637=5,Parametros!$B$17,0),IF(P637="Sim",Parametros!$B$18,0))</f>
        <v>1</v>
      </c>
      <c r="X637" s="5" t="str">
        <f t="shared" si="38"/>
        <v>Baixa</v>
      </c>
      <c r="Y637" s="29">
        <f t="shared" si="39"/>
        <v>1020.2993630000001</v>
      </c>
      <c r="Z637" s="4" t="s">
        <v>1213</v>
      </c>
    </row>
    <row r="638" spans="1:26" ht="28.05" customHeight="1" x14ac:dyDescent="0.3">
      <c r="A638" s="5">
        <f t="shared" si="36"/>
        <v>634</v>
      </c>
      <c r="B638" s="23" t="s">
        <v>1465</v>
      </c>
      <c r="C638" s="17" t="s">
        <v>1466</v>
      </c>
      <c r="D638" s="4" t="s">
        <v>50</v>
      </c>
      <c r="E638" s="4" t="s">
        <v>70</v>
      </c>
      <c r="F638" s="4" t="s">
        <v>70</v>
      </c>
      <c r="G638" s="4" t="s">
        <v>171</v>
      </c>
      <c r="H638" s="4" t="s">
        <v>172</v>
      </c>
      <c r="I638" s="24" t="s">
        <v>152</v>
      </c>
      <c r="J638" s="15">
        <v>3</v>
      </c>
      <c r="K638" s="15">
        <v>3</v>
      </c>
      <c r="L638" s="15">
        <v>1</v>
      </c>
      <c r="M638" s="15">
        <v>1</v>
      </c>
      <c r="N638" s="15">
        <v>1</v>
      </c>
      <c r="O638" s="15">
        <v>3</v>
      </c>
      <c r="P638" s="15" t="s">
        <v>415</v>
      </c>
      <c r="Q638" s="23" t="s">
        <v>838</v>
      </c>
      <c r="R638" s="25">
        <f>ROUND((K638*Parametros!$B$4+L638*Parametros!$B$5+M638*Parametros!$B$6+N638*Parametros!$B$7+O638*Parametros!$B$8)/SUM(Parametros!$B$4:$B$8),2)</f>
        <v>1.9</v>
      </c>
      <c r="S638" s="26">
        <f>IFERROR(INDEX(Parametros!$F$33:$F$42,MATCH(D638,Parametros!$A$33:$A$42,0)),1)</f>
        <v>1.0840000000000001</v>
      </c>
      <c r="T638" s="27">
        <f>IFERROR(INDEX(Parametros!$B$21:$B$26,MATCH(I638,Parametros!$A$21:$A$26,0)),0)</f>
        <v>0</v>
      </c>
      <c r="U638" s="28">
        <f t="shared" si="37"/>
        <v>2.06</v>
      </c>
      <c r="V638" s="9">
        <f>IF(U638&gt;=Parametros!$B$14,4,IF(U638&gt;=Parametros!$B$13,3,IF(U638&gt;=Parametros!$B$12,2,1)))</f>
        <v>1</v>
      </c>
      <c r="W638" s="5">
        <f>MAX(V638,IF(K638=5,Parametros!$B$17,0),IF(P638="Sim",Parametros!$B$18,0))</f>
        <v>1</v>
      </c>
      <c r="X638" s="5" t="str">
        <f t="shared" si="38"/>
        <v>Baixa</v>
      </c>
      <c r="Y638" s="29">
        <f t="shared" si="39"/>
        <v>1020.2993620000001</v>
      </c>
      <c r="Z638" s="4" t="s">
        <v>659</v>
      </c>
    </row>
    <row r="639" spans="1:26" ht="28.05" customHeight="1" x14ac:dyDescent="0.3">
      <c r="A639" s="5">
        <f t="shared" si="36"/>
        <v>635</v>
      </c>
      <c r="B639" s="23" t="s">
        <v>1467</v>
      </c>
      <c r="C639" s="17" t="s">
        <v>1468</v>
      </c>
      <c r="D639" s="4" t="s">
        <v>53</v>
      </c>
      <c r="E639" s="4" t="s">
        <v>68</v>
      </c>
      <c r="F639" s="4" t="s">
        <v>68</v>
      </c>
      <c r="G639" s="4" t="s">
        <v>107</v>
      </c>
      <c r="H639" s="4" t="s">
        <v>108</v>
      </c>
      <c r="I639" s="24" t="s">
        <v>152</v>
      </c>
      <c r="J639" s="15">
        <v>2</v>
      </c>
      <c r="K639" s="15">
        <v>3</v>
      </c>
      <c r="L639" s="15">
        <v>2</v>
      </c>
      <c r="M639" s="15">
        <v>1</v>
      </c>
      <c r="N639" s="15">
        <v>2</v>
      </c>
      <c r="O639" s="15">
        <v>1</v>
      </c>
      <c r="P639" s="15" t="s">
        <v>415</v>
      </c>
      <c r="Q639" s="23" t="s">
        <v>416</v>
      </c>
      <c r="R639" s="25">
        <f>ROUND((K639*Parametros!$B$4+L639*Parametros!$B$5+M639*Parametros!$B$6+N639*Parametros!$B$7+O639*Parametros!$B$8)/SUM(Parametros!$B$4:$B$8),2)</f>
        <v>1.95</v>
      </c>
      <c r="S639" s="26">
        <f>IFERROR(INDEX(Parametros!$F$33:$F$42,MATCH(D639,Parametros!$A$33:$A$42,0)),1)</f>
        <v>1.05</v>
      </c>
      <c r="T639" s="27">
        <f>IFERROR(INDEX(Parametros!$B$21:$B$26,MATCH(I639,Parametros!$A$21:$A$26,0)),0)</f>
        <v>0</v>
      </c>
      <c r="U639" s="28">
        <f t="shared" si="37"/>
        <v>2.0499999999999998</v>
      </c>
      <c r="V639" s="9">
        <f>IF(U639&gt;=Parametros!$B$14,4,IF(U639&gt;=Parametros!$B$13,3,IF(U639&gt;=Parametros!$B$12,2,1)))</f>
        <v>1</v>
      </c>
      <c r="W639" s="5">
        <f>MAX(V639,IF(K639=5,Parametros!$B$17,0),IF(P639="Sim",Parametros!$B$18,0))</f>
        <v>1</v>
      </c>
      <c r="X639" s="5" t="str">
        <f t="shared" si="38"/>
        <v>Baixa</v>
      </c>
      <c r="Y639" s="29">
        <f t="shared" si="39"/>
        <v>1020.299361</v>
      </c>
      <c r="Z639" s="4" t="s">
        <v>659</v>
      </c>
    </row>
    <row r="640" spans="1:26" ht="28.05" customHeight="1" x14ac:dyDescent="0.3">
      <c r="A640" s="5">
        <f t="shared" si="36"/>
        <v>636</v>
      </c>
      <c r="B640" s="23" t="s">
        <v>1469</v>
      </c>
      <c r="C640" s="17" t="s">
        <v>1470</v>
      </c>
      <c r="D640" s="4" t="s">
        <v>52</v>
      </c>
      <c r="E640" s="4" t="s">
        <v>66</v>
      </c>
      <c r="F640" s="4" t="s">
        <v>66</v>
      </c>
      <c r="G640" s="4" t="s">
        <v>171</v>
      </c>
      <c r="H640" s="4" t="s">
        <v>172</v>
      </c>
      <c r="I640" s="24" t="s">
        <v>152</v>
      </c>
      <c r="J640" s="15">
        <v>2</v>
      </c>
      <c r="K640" s="15">
        <v>2</v>
      </c>
      <c r="L640" s="15">
        <v>2</v>
      </c>
      <c r="M640" s="15">
        <v>1</v>
      </c>
      <c r="N640" s="15">
        <v>2</v>
      </c>
      <c r="O640" s="15">
        <v>3</v>
      </c>
      <c r="P640" s="15" t="s">
        <v>415</v>
      </c>
      <c r="Q640" s="23" t="s">
        <v>838</v>
      </c>
      <c r="R640" s="25">
        <f>ROUND((K640*Parametros!$B$4+L640*Parametros!$B$5+M640*Parametros!$B$6+N640*Parametros!$B$7+O640*Parametros!$B$8)/SUM(Parametros!$B$4:$B$8),2)</f>
        <v>1.95</v>
      </c>
      <c r="S640" s="26">
        <f>IFERROR(INDEX(Parametros!$F$33:$F$42,MATCH(D640,Parametros!$A$33:$A$42,0)),1)</f>
        <v>1.05</v>
      </c>
      <c r="T640" s="27">
        <f>IFERROR(INDEX(Parametros!$B$21:$B$26,MATCH(I640,Parametros!$A$21:$A$26,0)),0)</f>
        <v>0</v>
      </c>
      <c r="U640" s="28">
        <f t="shared" si="37"/>
        <v>2.0499999999999998</v>
      </c>
      <c r="V640" s="9">
        <f>IF(U640&gt;=Parametros!$B$14,4,IF(U640&gt;=Parametros!$B$13,3,IF(U640&gt;=Parametros!$B$12,2,1)))</f>
        <v>1</v>
      </c>
      <c r="W640" s="5">
        <f>MAX(V640,IF(K640=5,Parametros!$B$17,0),IF(P640="Sim",Parametros!$B$18,0))</f>
        <v>1</v>
      </c>
      <c r="X640" s="5" t="str">
        <f t="shared" si="38"/>
        <v>Baixa</v>
      </c>
      <c r="Y640" s="29">
        <f t="shared" si="39"/>
        <v>1020.29936</v>
      </c>
      <c r="Z640" s="4" t="s">
        <v>659</v>
      </c>
    </row>
    <row r="641" spans="1:26" ht="28.05" customHeight="1" x14ac:dyDescent="0.3">
      <c r="A641" s="5">
        <f t="shared" si="36"/>
        <v>637</v>
      </c>
      <c r="B641" s="23" t="s">
        <v>1471</v>
      </c>
      <c r="C641" s="17" t="s">
        <v>1472</v>
      </c>
      <c r="D641" s="4" t="s">
        <v>52</v>
      </c>
      <c r="E641" s="4" t="s">
        <v>66</v>
      </c>
      <c r="F641" s="4" t="s">
        <v>66</v>
      </c>
      <c r="G641" s="4" t="s">
        <v>171</v>
      </c>
      <c r="H641" s="4" t="s">
        <v>172</v>
      </c>
      <c r="I641" s="24" t="s">
        <v>131</v>
      </c>
      <c r="J641" s="15">
        <v>2</v>
      </c>
      <c r="K641" s="15">
        <v>2</v>
      </c>
      <c r="L641" s="15">
        <v>2</v>
      </c>
      <c r="M641" s="15">
        <v>1</v>
      </c>
      <c r="N641" s="15">
        <v>2</v>
      </c>
      <c r="O641" s="15">
        <v>3</v>
      </c>
      <c r="P641" s="15" t="s">
        <v>415</v>
      </c>
      <c r="Q641" s="23" t="s">
        <v>838</v>
      </c>
      <c r="R641" s="25">
        <f>ROUND((K641*Parametros!$B$4+L641*Parametros!$B$5+M641*Parametros!$B$6+N641*Parametros!$B$7+O641*Parametros!$B$8)/SUM(Parametros!$B$4:$B$8),2)</f>
        <v>1.95</v>
      </c>
      <c r="S641" s="26">
        <f>IFERROR(INDEX(Parametros!$F$33:$F$42,MATCH(D641,Parametros!$A$33:$A$42,0)),1)</f>
        <v>1.05</v>
      </c>
      <c r="T641" s="27">
        <f>IFERROR(INDEX(Parametros!$B$21:$B$26,MATCH(I641,Parametros!$A$21:$A$26,0)),0)</f>
        <v>0</v>
      </c>
      <c r="U641" s="28">
        <f t="shared" si="37"/>
        <v>2.0499999999999998</v>
      </c>
      <c r="V641" s="9">
        <f>IF(U641&gt;=Parametros!$B$14,4,IF(U641&gt;=Parametros!$B$13,3,IF(U641&gt;=Parametros!$B$12,2,1)))</f>
        <v>1</v>
      </c>
      <c r="W641" s="5">
        <f>MAX(V641,IF(K641=5,Parametros!$B$17,0),IF(P641="Sim",Parametros!$B$18,0))</f>
        <v>1</v>
      </c>
      <c r="X641" s="5" t="str">
        <f t="shared" si="38"/>
        <v>Baixa</v>
      </c>
      <c r="Y641" s="29">
        <f t="shared" si="39"/>
        <v>1020.299359</v>
      </c>
      <c r="Z641" s="4" t="s">
        <v>659</v>
      </c>
    </row>
    <row r="642" spans="1:26" ht="28.05" customHeight="1" x14ac:dyDescent="0.3">
      <c r="A642" s="5">
        <f t="shared" si="36"/>
        <v>638</v>
      </c>
      <c r="B642" s="23" t="s">
        <v>1473</v>
      </c>
      <c r="C642" s="17" t="s">
        <v>1474</v>
      </c>
      <c r="D642" s="4" t="s">
        <v>52</v>
      </c>
      <c r="E642" s="4" t="s">
        <v>66</v>
      </c>
      <c r="F642" s="4" t="s">
        <v>66</v>
      </c>
      <c r="G642" s="4" t="s">
        <v>171</v>
      </c>
      <c r="H642" s="4" t="s">
        <v>172</v>
      </c>
      <c r="I642" s="24" t="s">
        <v>152</v>
      </c>
      <c r="J642" s="15">
        <v>3</v>
      </c>
      <c r="K642" s="15">
        <v>2</v>
      </c>
      <c r="L642" s="15">
        <v>2</v>
      </c>
      <c r="M642" s="15">
        <v>1</v>
      </c>
      <c r="N642" s="15">
        <v>2</v>
      </c>
      <c r="O642" s="15">
        <v>3</v>
      </c>
      <c r="P642" s="15" t="s">
        <v>415</v>
      </c>
      <c r="Q642" s="23" t="s">
        <v>838</v>
      </c>
      <c r="R642" s="25">
        <f>ROUND((K642*Parametros!$B$4+L642*Parametros!$B$5+M642*Parametros!$B$6+N642*Parametros!$B$7+O642*Parametros!$B$8)/SUM(Parametros!$B$4:$B$8),2)</f>
        <v>1.95</v>
      </c>
      <c r="S642" s="26">
        <f>IFERROR(INDEX(Parametros!$F$33:$F$42,MATCH(D642,Parametros!$A$33:$A$42,0)),1)</f>
        <v>1.05</v>
      </c>
      <c r="T642" s="27">
        <f>IFERROR(INDEX(Parametros!$B$21:$B$26,MATCH(I642,Parametros!$A$21:$A$26,0)),0)</f>
        <v>0</v>
      </c>
      <c r="U642" s="28">
        <f t="shared" si="37"/>
        <v>2.0499999999999998</v>
      </c>
      <c r="V642" s="9">
        <f>IF(U642&gt;=Parametros!$B$14,4,IF(U642&gt;=Parametros!$B$13,3,IF(U642&gt;=Parametros!$B$12,2,1)))</f>
        <v>1</v>
      </c>
      <c r="W642" s="5">
        <f>MAX(V642,IF(K642=5,Parametros!$B$17,0),IF(P642="Sim",Parametros!$B$18,0))</f>
        <v>1</v>
      </c>
      <c r="X642" s="5" t="str">
        <f t="shared" si="38"/>
        <v>Baixa</v>
      </c>
      <c r="Y642" s="29">
        <f t="shared" si="39"/>
        <v>1020.1993580000001</v>
      </c>
      <c r="Z642" s="4" t="s">
        <v>659</v>
      </c>
    </row>
    <row r="643" spans="1:26" ht="28.05" customHeight="1" x14ac:dyDescent="0.3">
      <c r="A643" s="5">
        <f t="shared" si="36"/>
        <v>639</v>
      </c>
      <c r="B643" s="23" t="s">
        <v>1475</v>
      </c>
      <c r="C643" s="17" t="s">
        <v>1476</v>
      </c>
      <c r="D643" s="4" t="s">
        <v>54</v>
      </c>
      <c r="E643" s="4" t="s">
        <v>64</v>
      </c>
      <c r="F643" s="4" t="s">
        <v>64</v>
      </c>
      <c r="G643" s="4" t="s">
        <v>171</v>
      </c>
      <c r="H643" s="4" t="s">
        <v>172</v>
      </c>
      <c r="I643" s="24" t="s">
        <v>152</v>
      </c>
      <c r="J643" s="15">
        <v>5</v>
      </c>
      <c r="K643" s="15">
        <v>3</v>
      </c>
      <c r="L643" s="15">
        <v>3</v>
      </c>
      <c r="M643" s="15">
        <v>1</v>
      </c>
      <c r="N643" s="15">
        <v>1</v>
      </c>
      <c r="O643" s="15">
        <v>1</v>
      </c>
      <c r="P643" s="15" t="s">
        <v>415</v>
      </c>
      <c r="Q643" s="23" t="s">
        <v>838</v>
      </c>
      <c r="R643" s="25">
        <f>ROUND((K643*Parametros!$B$4+L643*Parametros!$B$5+M643*Parametros!$B$6+N643*Parametros!$B$7+O643*Parametros!$B$8)/SUM(Parametros!$B$4:$B$8),2)</f>
        <v>2</v>
      </c>
      <c r="S643" s="26">
        <f>IFERROR(INDEX(Parametros!$F$33:$F$42,MATCH(D643,Parametros!$A$33:$A$42,0)),1)</f>
        <v>1.034</v>
      </c>
      <c r="T643" s="27">
        <f>IFERROR(INDEX(Parametros!$B$21:$B$26,MATCH(I643,Parametros!$A$21:$A$26,0)),0)</f>
        <v>0</v>
      </c>
      <c r="U643" s="28">
        <f t="shared" si="37"/>
        <v>2.0699999999999998</v>
      </c>
      <c r="V643" s="9">
        <f>IF(U643&gt;=Parametros!$B$14,4,IF(U643&gt;=Parametros!$B$13,3,IF(U643&gt;=Parametros!$B$12,2,1)))</f>
        <v>1</v>
      </c>
      <c r="W643" s="5">
        <f>MAX(V643,IF(K643=5,Parametros!$B$17,0),IF(P643="Sim",Parametros!$B$18,0))</f>
        <v>1</v>
      </c>
      <c r="X643" s="5" t="str">
        <f t="shared" si="38"/>
        <v>Baixa</v>
      </c>
      <c r="Y643" s="29">
        <f t="shared" si="39"/>
        <v>1020.1993570000001</v>
      </c>
      <c r="Z643" s="4" t="s">
        <v>659</v>
      </c>
    </row>
    <row r="644" spans="1:26" ht="28.05" customHeight="1" x14ac:dyDescent="0.3">
      <c r="A644" s="5">
        <f t="shared" si="36"/>
        <v>640</v>
      </c>
      <c r="B644" s="23" t="s">
        <v>1477</v>
      </c>
      <c r="C644" s="17" t="s">
        <v>1478</v>
      </c>
      <c r="D644" s="4" t="s">
        <v>52</v>
      </c>
      <c r="E644" s="4" t="s">
        <v>84</v>
      </c>
      <c r="F644" s="4" t="s">
        <v>84</v>
      </c>
      <c r="G644" s="4" t="s">
        <v>134</v>
      </c>
      <c r="H644" s="4" t="s">
        <v>108</v>
      </c>
      <c r="I644" s="24" t="s">
        <v>152</v>
      </c>
      <c r="J644" s="15">
        <v>3</v>
      </c>
      <c r="K644" s="15">
        <v>1</v>
      </c>
      <c r="L644" s="15">
        <v>3</v>
      </c>
      <c r="M644" s="15">
        <v>3</v>
      </c>
      <c r="N644" s="15">
        <v>1</v>
      </c>
      <c r="O644" s="15">
        <v>2</v>
      </c>
      <c r="P644" s="15" t="s">
        <v>415</v>
      </c>
      <c r="Q644" s="23" t="s">
        <v>838</v>
      </c>
      <c r="R644" s="25">
        <f>ROUND((K644*Parametros!$B$4+L644*Parametros!$B$5+M644*Parametros!$B$6+N644*Parametros!$B$7+O644*Parametros!$B$8)/SUM(Parametros!$B$4:$B$8),2)</f>
        <v>1.95</v>
      </c>
      <c r="S644" s="26">
        <f>IFERROR(INDEX(Parametros!$F$33:$F$42,MATCH(D644,Parametros!$A$33:$A$42,0)),1)</f>
        <v>1.05</v>
      </c>
      <c r="T644" s="27">
        <f>IFERROR(INDEX(Parametros!$B$21:$B$26,MATCH(I644,Parametros!$A$21:$A$26,0)),0)</f>
        <v>0</v>
      </c>
      <c r="U644" s="28">
        <f t="shared" si="37"/>
        <v>2.0499999999999998</v>
      </c>
      <c r="V644" s="9">
        <f>IF(U644&gt;=Parametros!$B$14,4,IF(U644&gt;=Parametros!$B$13,3,IF(U644&gt;=Parametros!$B$12,2,1)))</f>
        <v>1</v>
      </c>
      <c r="W644" s="5">
        <f>MAX(V644,IF(K644=5,Parametros!$B$17,0),IF(P644="Sim",Parametros!$B$18,0))</f>
        <v>1</v>
      </c>
      <c r="X644" s="5" t="str">
        <f t="shared" si="38"/>
        <v>Baixa</v>
      </c>
      <c r="Y644" s="29">
        <f t="shared" si="39"/>
        <v>1020.1993560000001</v>
      </c>
      <c r="Z644" s="4" t="s">
        <v>659</v>
      </c>
    </row>
    <row r="645" spans="1:26" ht="28.05" customHeight="1" x14ac:dyDescent="0.3">
      <c r="A645" s="5">
        <f t="shared" ref="A645:A708" si="40">IF(Y645="","",COUNTIF($Y$5:$Y$983,"&gt;"&amp;Y645)+1)</f>
        <v>641</v>
      </c>
      <c r="B645" s="23" t="s">
        <v>1479</v>
      </c>
      <c r="C645" s="17" t="s">
        <v>1480</v>
      </c>
      <c r="D645" s="4" t="s">
        <v>52</v>
      </c>
      <c r="E645" s="4" t="s">
        <v>66</v>
      </c>
      <c r="F645" s="4" t="s">
        <v>66</v>
      </c>
      <c r="G645" s="4" t="s">
        <v>171</v>
      </c>
      <c r="H645" s="4" t="s">
        <v>172</v>
      </c>
      <c r="I645" s="24" t="s">
        <v>152</v>
      </c>
      <c r="J645" s="15">
        <v>3</v>
      </c>
      <c r="K645" s="15">
        <v>2</v>
      </c>
      <c r="L645" s="15">
        <v>2</v>
      </c>
      <c r="M645" s="15">
        <v>1</v>
      </c>
      <c r="N645" s="15">
        <v>2</v>
      </c>
      <c r="O645" s="15">
        <v>3</v>
      </c>
      <c r="P645" s="15" t="s">
        <v>415</v>
      </c>
      <c r="Q645" s="23" t="s">
        <v>838</v>
      </c>
      <c r="R645" s="25">
        <f>ROUND((K645*Parametros!$B$4+L645*Parametros!$B$5+M645*Parametros!$B$6+N645*Parametros!$B$7+O645*Parametros!$B$8)/SUM(Parametros!$B$4:$B$8),2)</f>
        <v>1.95</v>
      </c>
      <c r="S645" s="26">
        <f>IFERROR(INDEX(Parametros!$F$33:$F$42,MATCH(D645,Parametros!$A$33:$A$42,0)),1)</f>
        <v>1.05</v>
      </c>
      <c r="T645" s="27">
        <f>IFERROR(INDEX(Parametros!$B$21:$B$26,MATCH(I645,Parametros!$A$21:$A$26,0)),0)</f>
        <v>0</v>
      </c>
      <c r="U645" s="28">
        <f t="shared" ref="U645:U708" si="41">ROUND(R645*S645+T645,2)</f>
        <v>2.0499999999999998</v>
      </c>
      <c r="V645" s="9">
        <f>IF(U645&gt;=Parametros!$B$14,4,IF(U645&gt;=Parametros!$B$13,3,IF(U645&gt;=Parametros!$B$12,2,1)))</f>
        <v>1</v>
      </c>
      <c r="W645" s="5">
        <f>MAX(V645,IF(K645=5,Parametros!$B$17,0),IF(P645="Sim",Parametros!$B$18,0))</f>
        <v>1</v>
      </c>
      <c r="X645" s="5" t="str">
        <f t="shared" ref="X645:X708" si="42">CHOOSE(W645,"Baixa","Normal","Alta","Urgente")</f>
        <v>Baixa</v>
      </c>
      <c r="Y645" s="29">
        <f t="shared" ref="Y645:Y708" si="43">W645*1000+U645*10-J645/10-ROW()/1000000</f>
        <v>1020.1993550000001</v>
      </c>
      <c r="Z645" s="4" t="s">
        <v>659</v>
      </c>
    </row>
    <row r="646" spans="1:26" ht="28.05" customHeight="1" x14ac:dyDescent="0.3">
      <c r="A646" s="5">
        <f t="shared" si="40"/>
        <v>642</v>
      </c>
      <c r="B646" s="23" t="s">
        <v>1481</v>
      </c>
      <c r="C646" s="17" t="s">
        <v>1454</v>
      </c>
      <c r="D646" s="4" t="s">
        <v>56</v>
      </c>
      <c r="E646" s="4" t="s">
        <v>84</v>
      </c>
      <c r="F646" s="4" t="s">
        <v>84</v>
      </c>
      <c r="G646" s="4" t="s">
        <v>134</v>
      </c>
      <c r="H646" s="4" t="s">
        <v>108</v>
      </c>
      <c r="I646" s="24" t="s">
        <v>152</v>
      </c>
      <c r="J646" s="15">
        <v>3</v>
      </c>
      <c r="K646" s="15">
        <v>2</v>
      </c>
      <c r="L646" s="15">
        <v>3</v>
      </c>
      <c r="M646" s="15">
        <v>1</v>
      </c>
      <c r="N646" s="15">
        <v>3</v>
      </c>
      <c r="O646" s="15">
        <v>1</v>
      </c>
      <c r="P646" s="15" t="s">
        <v>415</v>
      </c>
      <c r="Q646" s="23" t="s">
        <v>416</v>
      </c>
      <c r="R646" s="25">
        <f>ROUND((K646*Parametros!$B$4+L646*Parametros!$B$5+M646*Parametros!$B$6+N646*Parametros!$B$7+O646*Parametros!$B$8)/SUM(Parametros!$B$4:$B$8),2)</f>
        <v>2</v>
      </c>
      <c r="S646" s="26">
        <f>IFERROR(INDEX(Parametros!$F$33:$F$42,MATCH(D646,Parametros!$A$33:$A$42,0)),1)</f>
        <v>1.0169999999999999</v>
      </c>
      <c r="T646" s="27">
        <f>IFERROR(INDEX(Parametros!$B$21:$B$26,MATCH(I646,Parametros!$A$21:$A$26,0)),0)</f>
        <v>0</v>
      </c>
      <c r="U646" s="28">
        <f t="shared" si="41"/>
        <v>2.0299999999999998</v>
      </c>
      <c r="V646" s="9">
        <f>IF(U646&gt;=Parametros!$B$14,4,IF(U646&gt;=Parametros!$B$13,3,IF(U646&gt;=Parametros!$B$12,2,1)))</f>
        <v>1</v>
      </c>
      <c r="W646" s="5">
        <f>MAX(V646,IF(K646=5,Parametros!$B$17,0),IF(P646="Sim",Parametros!$B$18,0))</f>
        <v>1</v>
      </c>
      <c r="X646" s="5" t="str">
        <f t="shared" si="42"/>
        <v>Baixa</v>
      </c>
      <c r="Y646" s="29">
        <f t="shared" si="43"/>
        <v>1019.999354</v>
      </c>
      <c r="Z646" s="4" t="s">
        <v>659</v>
      </c>
    </row>
    <row r="647" spans="1:26" ht="28.05" customHeight="1" x14ac:dyDescent="0.3">
      <c r="A647" s="5">
        <f t="shared" si="40"/>
        <v>643</v>
      </c>
      <c r="B647" s="23" t="s">
        <v>1482</v>
      </c>
      <c r="C647" s="17" t="s">
        <v>1483</v>
      </c>
      <c r="D647" s="4" t="s">
        <v>56</v>
      </c>
      <c r="E647" s="4" t="s">
        <v>81</v>
      </c>
      <c r="F647" s="4" t="s">
        <v>81</v>
      </c>
      <c r="G647" s="4" t="s">
        <v>112</v>
      </c>
      <c r="H647" s="4" t="s">
        <v>108</v>
      </c>
      <c r="I647" s="24" t="s">
        <v>122</v>
      </c>
      <c r="J647" s="15">
        <v>3</v>
      </c>
      <c r="K647" s="15">
        <v>2</v>
      </c>
      <c r="L647" s="15">
        <v>2</v>
      </c>
      <c r="M647" s="15">
        <v>2</v>
      </c>
      <c r="N647" s="15">
        <v>2</v>
      </c>
      <c r="O647" s="15">
        <v>2</v>
      </c>
      <c r="P647" s="15" t="s">
        <v>415</v>
      </c>
      <c r="Q647" s="23" t="s">
        <v>416</v>
      </c>
      <c r="R647" s="25">
        <f>ROUND((K647*Parametros!$B$4+L647*Parametros!$B$5+M647*Parametros!$B$6+N647*Parametros!$B$7+O647*Parametros!$B$8)/SUM(Parametros!$B$4:$B$8),2)</f>
        <v>2</v>
      </c>
      <c r="S647" s="26">
        <f>IFERROR(INDEX(Parametros!$F$33:$F$42,MATCH(D647,Parametros!$A$33:$A$42,0)),1)</f>
        <v>1.0169999999999999</v>
      </c>
      <c r="T647" s="27">
        <f>IFERROR(INDEX(Parametros!$B$21:$B$26,MATCH(I647,Parametros!$A$21:$A$26,0)),0)</f>
        <v>0</v>
      </c>
      <c r="U647" s="28">
        <f t="shared" si="41"/>
        <v>2.0299999999999998</v>
      </c>
      <c r="V647" s="9">
        <f>IF(U647&gt;=Parametros!$B$14,4,IF(U647&gt;=Parametros!$B$13,3,IF(U647&gt;=Parametros!$B$12,2,1)))</f>
        <v>1</v>
      </c>
      <c r="W647" s="5">
        <f>MAX(V647,IF(K647=5,Parametros!$B$17,0),IF(P647="Sim",Parametros!$B$18,0))</f>
        <v>1</v>
      </c>
      <c r="X647" s="5" t="str">
        <f t="shared" si="42"/>
        <v>Baixa</v>
      </c>
      <c r="Y647" s="29">
        <f t="shared" si="43"/>
        <v>1019.999353</v>
      </c>
      <c r="Z647" s="4" t="s">
        <v>659</v>
      </c>
    </row>
    <row r="648" spans="1:26" ht="28.05" customHeight="1" x14ac:dyDescent="0.3">
      <c r="A648" s="5">
        <f t="shared" si="40"/>
        <v>644</v>
      </c>
      <c r="B648" s="23" t="s">
        <v>1484</v>
      </c>
      <c r="C648" s="17" t="s">
        <v>1485</v>
      </c>
      <c r="D648" s="4" t="s">
        <v>50</v>
      </c>
      <c r="E648" s="4" t="s">
        <v>69</v>
      </c>
      <c r="F648" s="4" t="s">
        <v>427</v>
      </c>
      <c r="G648" s="4" t="s">
        <v>171</v>
      </c>
      <c r="H648" s="4" t="s">
        <v>172</v>
      </c>
      <c r="I648" s="24" t="s">
        <v>359</v>
      </c>
      <c r="J648" s="15">
        <v>2</v>
      </c>
      <c r="K648" s="15">
        <v>2</v>
      </c>
      <c r="L648" s="15">
        <v>2</v>
      </c>
      <c r="M648" s="15">
        <v>3</v>
      </c>
      <c r="N648" s="15">
        <v>1</v>
      </c>
      <c r="O648" s="15">
        <v>2</v>
      </c>
      <c r="P648" s="15" t="s">
        <v>415</v>
      </c>
      <c r="Q648" s="23" t="s">
        <v>838</v>
      </c>
      <c r="R648" s="25">
        <f>ROUND((K648*Parametros!$B$4+L648*Parametros!$B$5+M648*Parametros!$B$6+N648*Parametros!$B$7+O648*Parametros!$B$8)/SUM(Parametros!$B$4:$B$8),2)</f>
        <v>2.0499999999999998</v>
      </c>
      <c r="S648" s="26">
        <f>IFERROR(INDEX(Parametros!$F$33:$F$42,MATCH(D648,Parametros!$A$33:$A$42,0)),1)</f>
        <v>1.0840000000000001</v>
      </c>
      <c r="T648" s="27">
        <f>IFERROR(INDEX(Parametros!$B$21:$B$26,MATCH(I648,Parametros!$A$21:$A$26,0)),0)</f>
        <v>-0.2</v>
      </c>
      <c r="U648" s="28">
        <f t="shared" si="41"/>
        <v>2.02</v>
      </c>
      <c r="V648" s="9">
        <f>IF(U648&gt;=Parametros!$B$14,4,IF(U648&gt;=Parametros!$B$13,3,IF(U648&gt;=Parametros!$B$12,2,1)))</f>
        <v>1</v>
      </c>
      <c r="W648" s="5">
        <f>MAX(V648,IF(K648=5,Parametros!$B$17,0),IF(P648="Sim",Parametros!$B$18,0))</f>
        <v>1</v>
      </c>
      <c r="X648" s="5" t="str">
        <f t="shared" si="42"/>
        <v>Baixa</v>
      </c>
      <c r="Y648" s="29">
        <f t="shared" si="43"/>
        <v>1019.999352</v>
      </c>
      <c r="Z648" s="4" t="s">
        <v>1410</v>
      </c>
    </row>
    <row r="649" spans="1:26" ht="28.05" customHeight="1" x14ac:dyDescent="0.3">
      <c r="A649" s="5">
        <f t="shared" si="40"/>
        <v>645</v>
      </c>
      <c r="B649" s="23" t="s">
        <v>1486</v>
      </c>
      <c r="C649" s="17" t="s">
        <v>1487</v>
      </c>
      <c r="D649" s="4" t="s">
        <v>50</v>
      </c>
      <c r="E649" s="4" t="s">
        <v>64</v>
      </c>
      <c r="F649" s="4" t="s">
        <v>64</v>
      </c>
      <c r="G649" s="4" t="s">
        <v>184</v>
      </c>
      <c r="H649" s="4" t="s">
        <v>185</v>
      </c>
      <c r="I649" s="24" t="s">
        <v>359</v>
      </c>
      <c r="J649" s="15">
        <v>2</v>
      </c>
      <c r="K649" s="15">
        <v>2</v>
      </c>
      <c r="L649" s="15">
        <v>2</v>
      </c>
      <c r="M649" s="15">
        <v>3</v>
      </c>
      <c r="N649" s="15">
        <v>1</v>
      </c>
      <c r="O649" s="15">
        <v>2</v>
      </c>
      <c r="P649" s="15" t="s">
        <v>415</v>
      </c>
      <c r="Q649" s="23" t="s">
        <v>838</v>
      </c>
      <c r="R649" s="25">
        <f>ROUND((K649*Parametros!$B$4+L649*Parametros!$B$5+M649*Parametros!$B$6+N649*Parametros!$B$7+O649*Parametros!$B$8)/SUM(Parametros!$B$4:$B$8),2)</f>
        <v>2.0499999999999998</v>
      </c>
      <c r="S649" s="26">
        <f>IFERROR(INDEX(Parametros!$F$33:$F$42,MATCH(D649,Parametros!$A$33:$A$42,0)),1)</f>
        <v>1.0840000000000001</v>
      </c>
      <c r="T649" s="27">
        <f>IFERROR(INDEX(Parametros!$B$21:$B$26,MATCH(I649,Parametros!$A$21:$A$26,0)),0)</f>
        <v>-0.2</v>
      </c>
      <c r="U649" s="28">
        <f t="shared" si="41"/>
        <v>2.02</v>
      </c>
      <c r="V649" s="9">
        <f>IF(U649&gt;=Parametros!$B$14,4,IF(U649&gt;=Parametros!$B$13,3,IF(U649&gt;=Parametros!$B$12,2,1)))</f>
        <v>1</v>
      </c>
      <c r="W649" s="5">
        <f>MAX(V649,IF(K649=5,Parametros!$B$17,0),IF(P649="Sim",Parametros!$B$18,0))</f>
        <v>1</v>
      </c>
      <c r="X649" s="5" t="str">
        <f t="shared" si="42"/>
        <v>Baixa</v>
      </c>
      <c r="Y649" s="29">
        <f t="shared" si="43"/>
        <v>1019.999351</v>
      </c>
      <c r="Z649" s="4" t="s">
        <v>1410</v>
      </c>
    </row>
    <row r="650" spans="1:26" ht="28.05" customHeight="1" x14ac:dyDescent="0.3">
      <c r="A650" s="5">
        <f t="shared" si="40"/>
        <v>646</v>
      </c>
      <c r="B650" s="23" t="s">
        <v>1488</v>
      </c>
      <c r="C650" s="17" t="s">
        <v>1489</v>
      </c>
      <c r="D650" s="4" t="s">
        <v>54</v>
      </c>
      <c r="E650" s="4" t="s">
        <v>70</v>
      </c>
      <c r="F650" s="4" t="s">
        <v>70</v>
      </c>
      <c r="G650" s="4" t="s">
        <v>171</v>
      </c>
      <c r="H650" s="4" t="s">
        <v>172</v>
      </c>
      <c r="I650" s="24" t="s">
        <v>152</v>
      </c>
      <c r="J650" s="15">
        <v>2</v>
      </c>
      <c r="K650" s="15">
        <v>1</v>
      </c>
      <c r="L650" s="15">
        <v>3</v>
      </c>
      <c r="M650" s="15">
        <v>3</v>
      </c>
      <c r="N650" s="15">
        <v>1</v>
      </c>
      <c r="O650" s="15">
        <v>2</v>
      </c>
      <c r="P650" s="15" t="s">
        <v>415</v>
      </c>
      <c r="Q650" s="23" t="s">
        <v>838</v>
      </c>
      <c r="R650" s="25">
        <f>ROUND((K650*Parametros!$B$4+L650*Parametros!$B$5+M650*Parametros!$B$6+N650*Parametros!$B$7+O650*Parametros!$B$8)/SUM(Parametros!$B$4:$B$8),2)</f>
        <v>1.95</v>
      </c>
      <c r="S650" s="26">
        <f>IFERROR(INDEX(Parametros!$F$33:$F$42,MATCH(D650,Parametros!$A$33:$A$42,0)),1)</f>
        <v>1.034</v>
      </c>
      <c r="T650" s="27">
        <f>IFERROR(INDEX(Parametros!$B$21:$B$26,MATCH(I650,Parametros!$A$21:$A$26,0)),0)</f>
        <v>0</v>
      </c>
      <c r="U650" s="28">
        <f t="shared" si="41"/>
        <v>2.02</v>
      </c>
      <c r="V650" s="9">
        <f>IF(U650&gt;=Parametros!$B$14,4,IF(U650&gt;=Parametros!$B$13,3,IF(U650&gt;=Parametros!$B$12,2,1)))</f>
        <v>1</v>
      </c>
      <c r="W650" s="5">
        <f>MAX(V650,IF(K650=5,Parametros!$B$17,0),IF(P650="Sim",Parametros!$B$18,0))</f>
        <v>1</v>
      </c>
      <c r="X650" s="5" t="str">
        <f t="shared" si="42"/>
        <v>Baixa</v>
      </c>
      <c r="Y650" s="29">
        <f t="shared" si="43"/>
        <v>1019.99935</v>
      </c>
      <c r="Z650" s="4" t="s">
        <v>659</v>
      </c>
    </row>
    <row r="651" spans="1:26" ht="28.05" customHeight="1" x14ac:dyDescent="0.3">
      <c r="A651" s="5">
        <f t="shared" si="40"/>
        <v>647</v>
      </c>
      <c r="B651" s="23" t="s">
        <v>1490</v>
      </c>
      <c r="C651" s="17" t="s">
        <v>1491</v>
      </c>
      <c r="D651" s="4" t="s">
        <v>54</v>
      </c>
      <c r="E651" s="4" t="s">
        <v>72</v>
      </c>
      <c r="F651" s="4" t="s">
        <v>72</v>
      </c>
      <c r="G651" s="4" t="s">
        <v>171</v>
      </c>
      <c r="H651" s="4" t="s">
        <v>172</v>
      </c>
      <c r="I651" s="24" t="s">
        <v>152</v>
      </c>
      <c r="J651" s="15">
        <v>2</v>
      </c>
      <c r="K651" s="15">
        <v>2</v>
      </c>
      <c r="L651" s="15">
        <v>2</v>
      </c>
      <c r="M651" s="15">
        <v>1</v>
      </c>
      <c r="N651" s="15">
        <v>3</v>
      </c>
      <c r="O651" s="15">
        <v>2</v>
      </c>
      <c r="P651" s="15" t="s">
        <v>415</v>
      </c>
      <c r="Q651" s="23" t="s">
        <v>416</v>
      </c>
      <c r="R651" s="25">
        <f>ROUND((K651*Parametros!$B$4+L651*Parametros!$B$5+M651*Parametros!$B$6+N651*Parametros!$B$7+O651*Parametros!$B$8)/SUM(Parametros!$B$4:$B$8),2)</f>
        <v>1.95</v>
      </c>
      <c r="S651" s="26">
        <f>IFERROR(INDEX(Parametros!$F$33:$F$42,MATCH(D651,Parametros!$A$33:$A$42,0)),1)</f>
        <v>1.034</v>
      </c>
      <c r="T651" s="27">
        <f>IFERROR(INDEX(Parametros!$B$21:$B$26,MATCH(I651,Parametros!$A$21:$A$26,0)),0)</f>
        <v>0</v>
      </c>
      <c r="U651" s="28">
        <f t="shared" si="41"/>
        <v>2.02</v>
      </c>
      <c r="V651" s="9">
        <f>IF(U651&gt;=Parametros!$B$14,4,IF(U651&gt;=Parametros!$B$13,3,IF(U651&gt;=Parametros!$B$12,2,1)))</f>
        <v>1</v>
      </c>
      <c r="W651" s="5">
        <f>MAX(V651,IF(K651=5,Parametros!$B$17,0),IF(P651="Sim",Parametros!$B$18,0))</f>
        <v>1</v>
      </c>
      <c r="X651" s="5" t="str">
        <f t="shared" si="42"/>
        <v>Baixa</v>
      </c>
      <c r="Y651" s="29">
        <f t="shared" si="43"/>
        <v>1019.9993490000001</v>
      </c>
      <c r="Z651" s="4" t="s">
        <v>659</v>
      </c>
    </row>
    <row r="652" spans="1:26" ht="28.05" customHeight="1" x14ac:dyDescent="0.3">
      <c r="A652" s="5">
        <f t="shared" si="40"/>
        <v>648</v>
      </c>
      <c r="B652" s="23" t="s">
        <v>1492</v>
      </c>
      <c r="C652" s="17" t="s">
        <v>1493</v>
      </c>
      <c r="D652" s="4" t="s">
        <v>50</v>
      </c>
      <c r="E652" s="4" t="s">
        <v>345</v>
      </c>
      <c r="F652" s="4" t="s">
        <v>1494</v>
      </c>
      <c r="G652" s="4" t="s">
        <v>119</v>
      </c>
      <c r="H652" s="4" t="s">
        <v>108</v>
      </c>
      <c r="I652" s="24" t="s">
        <v>359</v>
      </c>
      <c r="J652" s="15">
        <v>2</v>
      </c>
      <c r="K652" s="15">
        <v>2</v>
      </c>
      <c r="L652" s="15">
        <v>2</v>
      </c>
      <c r="M652" s="15">
        <v>3</v>
      </c>
      <c r="N652" s="15">
        <v>1</v>
      </c>
      <c r="O652" s="15">
        <v>2</v>
      </c>
      <c r="P652" s="15" t="s">
        <v>415</v>
      </c>
      <c r="Q652" s="23" t="s">
        <v>838</v>
      </c>
      <c r="R652" s="25">
        <f>ROUND((K652*Parametros!$B$4+L652*Parametros!$B$5+M652*Parametros!$B$6+N652*Parametros!$B$7+O652*Parametros!$B$8)/SUM(Parametros!$B$4:$B$8),2)</f>
        <v>2.0499999999999998</v>
      </c>
      <c r="S652" s="26">
        <f>IFERROR(INDEX(Parametros!$F$33:$F$42,MATCH(D652,Parametros!$A$33:$A$42,0)),1)</f>
        <v>1.0840000000000001</v>
      </c>
      <c r="T652" s="27">
        <f>IFERROR(INDEX(Parametros!$B$21:$B$26,MATCH(I652,Parametros!$A$21:$A$26,0)),0)</f>
        <v>-0.2</v>
      </c>
      <c r="U652" s="28">
        <f t="shared" si="41"/>
        <v>2.02</v>
      </c>
      <c r="V652" s="9">
        <f>IF(U652&gt;=Parametros!$B$14,4,IF(U652&gt;=Parametros!$B$13,3,IF(U652&gt;=Parametros!$B$12,2,1)))</f>
        <v>1</v>
      </c>
      <c r="W652" s="5">
        <f>MAX(V652,IF(K652=5,Parametros!$B$17,0),IF(P652="Sim",Parametros!$B$18,0))</f>
        <v>1</v>
      </c>
      <c r="X652" s="5" t="str">
        <f t="shared" si="42"/>
        <v>Baixa</v>
      </c>
      <c r="Y652" s="29">
        <f t="shared" si="43"/>
        <v>1019.9993480000001</v>
      </c>
      <c r="Z652" s="4" t="s">
        <v>1410</v>
      </c>
    </row>
    <row r="653" spans="1:26" ht="28.05" customHeight="1" x14ac:dyDescent="0.3">
      <c r="A653" s="5">
        <f t="shared" si="40"/>
        <v>649</v>
      </c>
      <c r="B653" s="23" t="s">
        <v>1495</v>
      </c>
      <c r="C653" s="17" t="s">
        <v>1496</v>
      </c>
      <c r="D653" s="4" t="s">
        <v>55</v>
      </c>
      <c r="E653" s="4" t="s">
        <v>64</v>
      </c>
      <c r="F653" s="4" t="s">
        <v>64</v>
      </c>
      <c r="G653" s="4" t="s">
        <v>134</v>
      </c>
      <c r="H653" s="4" t="s">
        <v>108</v>
      </c>
      <c r="I653" s="24" t="s">
        <v>131</v>
      </c>
      <c r="J653" s="15">
        <v>3</v>
      </c>
      <c r="K653" s="15">
        <v>2</v>
      </c>
      <c r="L653" s="15">
        <v>2</v>
      </c>
      <c r="M653" s="15">
        <v>1</v>
      </c>
      <c r="N653" s="15">
        <v>3</v>
      </c>
      <c r="O653" s="15">
        <v>2</v>
      </c>
      <c r="P653" s="15" t="s">
        <v>415</v>
      </c>
      <c r="Q653" s="23" t="s">
        <v>416</v>
      </c>
      <c r="R653" s="25">
        <f>ROUND((K653*Parametros!$B$4+L653*Parametros!$B$5+M653*Parametros!$B$6+N653*Parametros!$B$7+O653*Parametros!$B$8)/SUM(Parametros!$B$4:$B$8),2)</f>
        <v>1.95</v>
      </c>
      <c r="S653" s="26">
        <f>IFERROR(INDEX(Parametros!$F$33:$F$42,MATCH(D653,Parametros!$A$33:$A$42,0)),1)</f>
        <v>1.034</v>
      </c>
      <c r="T653" s="27">
        <f>IFERROR(INDEX(Parametros!$B$21:$B$26,MATCH(I653,Parametros!$A$21:$A$26,0)),0)</f>
        <v>0</v>
      </c>
      <c r="U653" s="28">
        <f t="shared" si="41"/>
        <v>2.02</v>
      </c>
      <c r="V653" s="9">
        <f>IF(U653&gt;=Parametros!$B$14,4,IF(U653&gt;=Parametros!$B$13,3,IF(U653&gt;=Parametros!$B$12,2,1)))</f>
        <v>1</v>
      </c>
      <c r="W653" s="5">
        <f>MAX(V653,IF(K653=5,Parametros!$B$17,0),IF(P653="Sim",Parametros!$B$18,0))</f>
        <v>1</v>
      </c>
      <c r="X653" s="5" t="str">
        <f t="shared" si="42"/>
        <v>Baixa</v>
      </c>
      <c r="Y653" s="29">
        <f t="shared" si="43"/>
        <v>1019.899347</v>
      </c>
      <c r="Z653" s="4" t="s">
        <v>659</v>
      </c>
    </row>
    <row r="654" spans="1:26" ht="28.05" customHeight="1" x14ac:dyDescent="0.3">
      <c r="A654" s="5">
        <f t="shared" si="40"/>
        <v>650</v>
      </c>
      <c r="B654" s="23" t="s">
        <v>1497</v>
      </c>
      <c r="C654" s="17" t="s">
        <v>1498</v>
      </c>
      <c r="D654" s="4" t="s">
        <v>54</v>
      </c>
      <c r="E654" s="4" t="s">
        <v>64</v>
      </c>
      <c r="F654" s="4" t="s">
        <v>64</v>
      </c>
      <c r="G654" s="4" t="s">
        <v>171</v>
      </c>
      <c r="H654" s="4" t="s">
        <v>172</v>
      </c>
      <c r="I654" s="24" t="s">
        <v>131</v>
      </c>
      <c r="J654" s="15">
        <v>3</v>
      </c>
      <c r="K654" s="15">
        <v>2</v>
      </c>
      <c r="L654" s="15">
        <v>2</v>
      </c>
      <c r="M654" s="15">
        <v>1</v>
      </c>
      <c r="N654" s="15">
        <v>2</v>
      </c>
      <c r="O654" s="15">
        <v>3</v>
      </c>
      <c r="P654" s="15" t="s">
        <v>415</v>
      </c>
      <c r="Q654" s="23" t="s">
        <v>838</v>
      </c>
      <c r="R654" s="25">
        <f>ROUND((K654*Parametros!$B$4+L654*Parametros!$B$5+M654*Parametros!$B$6+N654*Parametros!$B$7+O654*Parametros!$B$8)/SUM(Parametros!$B$4:$B$8),2)</f>
        <v>1.95</v>
      </c>
      <c r="S654" s="26">
        <f>IFERROR(INDEX(Parametros!$F$33:$F$42,MATCH(D654,Parametros!$A$33:$A$42,0)),1)</f>
        <v>1.034</v>
      </c>
      <c r="T654" s="27">
        <f>IFERROR(INDEX(Parametros!$B$21:$B$26,MATCH(I654,Parametros!$A$21:$A$26,0)),0)</f>
        <v>0</v>
      </c>
      <c r="U654" s="28">
        <f t="shared" si="41"/>
        <v>2.02</v>
      </c>
      <c r="V654" s="9">
        <f>IF(U654&gt;=Parametros!$B$14,4,IF(U654&gt;=Parametros!$B$13,3,IF(U654&gt;=Parametros!$B$12,2,1)))</f>
        <v>1</v>
      </c>
      <c r="W654" s="5">
        <f>MAX(V654,IF(K654=5,Parametros!$B$17,0),IF(P654="Sim",Parametros!$B$18,0))</f>
        <v>1</v>
      </c>
      <c r="X654" s="5" t="str">
        <f t="shared" si="42"/>
        <v>Baixa</v>
      </c>
      <c r="Y654" s="29">
        <f t="shared" si="43"/>
        <v>1019.899346</v>
      </c>
      <c r="Z654" s="4" t="s">
        <v>659</v>
      </c>
    </row>
    <row r="655" spans="1:26" ht="28.05" customHeight="1" x14ac:dyDescent="0.3">
      <c r="A655" s="5">
        <f t="shared" si="40"/>
        <v>651</v>
      </c>
      <c r="B655" s="23" t="s">
        <v>1499</v>
      </c>
      <c r="C655" s="17" t="s">
        <v>1500</v>
      </c>
      <c r="D655" s="4" t="s">
        <v>51</v>
      </c>
      <c r="E655" s="4" t="s">
        <v>63</v>
      </c>
      <c r="F655" s="4" t="s">
        <v>63</v>
      </c>
      <c r="G655" s="4" t="s">
        <v>184</v>
      </c>
      <c r="H655" s="4" t="s">
        <v>185</v>
      </c>
      <c r="I655" s="24" t="s">
        <v>109</v>
      </c>
      <c r="J655" s="15">
        <v>3</v>
      </c>
      <c r="K655" s="15">
        <v>3</v>
      </c>
      <c r="L655" s="15">
        <v>1</v>
      </c>
      <c r="M655" s="15">
        <v>1</v>
      </c>
      <c r="N655" s="15">
        <v>1</v>
      </c>
      <c r="O655" s="15">
        <v>1</v>
      </c>
      <c r="P655" s="15" t="s">
        <v>415</v>
      </c>
      <c r="Q655" s="23" t="s">
        <v>838</v>
      </c>
      <c r="R655" s="25">
        <f>ROUND((K655*Parametros!$B$4+L655*Parametros!$B$5+M655*Parametros!$B$6+N655*Parametros!$B$7+O655*Parametros!$B$8)/SUM(Parametros!$B$4:$B$8),2)</f>
        <v>1.6</v>
      </c>
      <c r="S655" s="26">
        <f>IFERROR(INDEX(Parametros!$F$33:$F$42,MATCH(D655,Parametros!$A$33:$A$42,0)),1)</f>
        <v>1.0669999999999999</v>
      </c>
      <c r="T655" s="27">
        <f>IFERROR(INDEX(Parametros!$B$21:$B$26,MATCH(I655,Parametros!$A$21:$A$26,0)),0)</f>
        <v>0.3</v>
      </c>
      <c r="U655" s="28">
        <f t="shared" si="41"/>
        <v>2.0099999999999998</v>
      </c>
      <c r="V655" s="9">
        <f>IF(U655&gt;=Parametros!$B$14,4,IF(U655&gt;=Parametros!$B$13,3,IF(U655&gt;=Parametros!$B$12,2,1)))</f>
        <v>1</v>
      </c>
      <c r="W655" s="5">
        <f>MAX(V655,IF(K655=5,Parametros!$B$17,0),IF(P655="Sim",Parametros!$B$18,0))</f>
        <v>1</v>
      </c>
      <c r="X655" s="5" t="str">
        <f t="shared" si="42"/>
        <v>Baixa</v>
      </c>
      <c r="Y655" s="29">
        <f t="shared" si="43"/>
        <v>1019.799345</v>
      </c>
      <c r="Z655" s="4" t="s">
        <v>348</v>
      </c>
    </row>
    <row r="656" spans="1:26" ht="28.05" customHeight="1" x14ac:dyDescent="0.3">
      <c r="A656" s="5">
        <f t="shared" si="40"/>
        <v>652</v>
      </c>
      <c r="B656" s="23" t="s">
        <v>1501</v>
      </c>
      <c r="C656" s="17" t="s">
        <v>1502</v>
      </c>
      <c r="D656" s="4" t="s">
        <v>49</v>
      </c>
      <c r="E656" s="4" t="s">
        <v>64</v>
      </c>
      <c r="F656" s="4" t="s">
        <v>64</v>
      </c>
      <c r="G656" s="4" t="s">
        <v>171</v>
      </c>
      <c r="H656" s="4" t="s">
        <v>172</v>
      </c>
      <c r="I656" s="24" t="s">
        <v>131</v>
      </c>
      <c r="J656" s="15">
        <v>2</v>
      </c>
      <c r="K656" s="15">
        <v>2</v>
      </c>
      <c r="L656" s="15">
        <v>2</v>
      </c>
      <c r="M656" s="15">
        <v>1</v>
      </c>
      <c r="N656" s="15">
        <v>1</v>
      </c>
      <c r="O656" s="15">
        <v>3</v>
      </c>
      <c r="P656" s="15" t="s">
        <v>415</v>
      </c>
      <c r="Q656" s="23" t="s">
        <v>838</v>
      </c>
      <c r="R656" s="25">
        <f>ROUND((K656*Parametros!$B$4+L656*Parametros!$B$5+M656*Parametros!$B$6+N656*Parametros!$B$7+O656*Parametros!$B$8)/SUM(Parametros!$B$4:$B$8),2)</f>
        <v>1.8</v>
      </c>
      <c r="S656" s="26">
        <f>IFERROR(INDEX(Parametros!$F$33:$F$42,MATCH(D656,Parametros!$A$33:$A$42,0)),1)</f>
        <v>1.1000000000000001</v>
      </c>
      <c r="T656" s="27">
        <f>IFERROR(INDEX(Parametros!$B$21:$B$26,MATCH(I656,Parametros!$A$21:$A$26,0)),0)</f>
        <v>0</v>
      </c>
      <c r="U656" s="28">
        <f t="shared" si="41"/>
        <v>1.98</v>
      </c>
      <c r="V656" s="9">
        <f>IF(U656&gt;=Parametros!$B$14,4,IF(U656&gt;=Parametros!$B$13,3,IF(U656&gt;=Parametros!$B$12,2,1)))</f>
        <v>1</v>
      </c>
      <c r="W656" s="5">
        <f>MAX(V656,IF(K656=5,Parametros!$B$17,0),IF(P656="Sim",Parametros!$B$18,0))</f>
        <v>1</v>
      </c>
      <c r="X656" s="5" t="str">
        <f t="shared" si="42"/>
        <v>Baixa</v>
      </c>
      <c r="Y656" s="29">
        <f t="shared" si="43"/>
        <v>1019.5993439999999</v>
      </c>
      <c r="Z656" s="4" t="s">
        <v>659</v>
      </c>
    </row>
    <row r="657" spans="1:26" ht="28.05" customHeight="1" x14ac:dyDescent="0.3">
      <c r="A657" s="5">
        <f t="shared" si="40"/>
        <v>653</v>
      </c>
      <c r="B657" s="23" t="s">
        <v>1503</v>
      </c>
      <c r="C657" s="17" t="s">
        <v>1504</v>
      </c>
      <c r="D657" s="4" t="s">
        <v>48</v>
      </c>
      <c r="E657" s="4" t="s">
        <v>64</v>
      </c>
      <c r="F657" s="4" t="s">
        <v>64</v>
      </c>
      <c r="G657" s="4" t="s">
        <v>171</v>
      </c>
      <c r="H657" s="4" t="s">
        <v>172</v>
      </c>
      <c r="I657" s="24" t="s">
        <v>131</v>
      </c>
      <c r="J657" s="15">
        <v>2</v>
      </c>
      <c r="K657" s="15">
        <v>2</v>
      </c>
      <c r="L657" s="15">
        <v>2</v>
      </c>
      <c r="M657" s="15">
        <v>1</v>
      </c>
      <c r="N657" s="15">
        <v>1</v>
      </c>
      <c r="O657" s="15">
        <v>3</v>
      </c>
      <c r="P657" s="15" t="s">
        <v>415</v>
      </c>
      <c r="Q657" s="23" t="s">
        <v>838</v>
      </c>
      <c r="R657" s="25">
        <f>ROUND((K657*Parametros!$B$4+L657*Parametros!$B$5+M657*Parametros!$B$6+N657*Parametros!$B$7+O657*Parametros!$B$8)/SUM(Parametros!$B$4:$B$8),2)</f>
        <v>1.8</v>
      </c>
      <c r="S657" s="26">
        <f>IFERROR(INDEX(Parametros!$F$33:$F$42,MATCH(D657,Parametros!$A$33:$A$42,0)),1)</f>
        <v>1.1000000000000001</v>
      </c>
      <c r="T657" s="27">
        <f>IFERROR(INDEX(Parametros!$B$21:$B$26,MATCH(I657,Parametros!$A$21:$A$26,0)),0)</f>
        <v>0</v>
      </c>
      <c r="U657" s="28">
        <f t="shared" si="41"/>
        <v>1.98</v>
      </c>
      <c r="V657" s="9">
        <f>IF(U657&gt;=Parametros!$B$14,4,IF(U657&gt;=Parametros!$B$13,3,IF(U657&gt;=Parametros!$B$12,2,1)))</f>
        <v>1</v>
      </c>
      <c r="W657" s="5">
        <f>MAX(V657,IF(K657=5,Parametros!$B$17,0),IF(P657="Sim",Parametros!$B$18,0))</f>
        <v>1</v>
      </c>
      <c r="X657" s="5" t="str">
        <f t="shared" si="42"/>
        <v>Baixa</v>
      </c>
      <c r="Y657" s="29">
        <f t="shared" si="43"/>
        <v>1019.5993429999999</v>
      </c>
      <c r="Z657" s="4" t="s">
        <v>659</v>
      </c>
    </row>
    <row r="658" spans="1:26" ht="28.05" customHeight="1" x14ac:dyDescent="0.3">
      <c r="A658" s="5">
        <f t="shared" si="40"/>
        <v>654</v>
      </c>
      <c r="B658" s="23" t="s">
        <v>1505</v>
      </c>
      <c r="C658" s="17" t="s">
        <v>1506</v>
      </c>
      <c r="D658" s="4" t="s">
        <v>56</v>
      </c>
      <c r="E658" s="4" t="s">
        <v>64</v>
      </c>
      <c r="F658" s="4" t="s">
        <v>64</v>
      </c>
      <c r="G658" s="4" t="s">
        <v>134</v>
      </c>
      <c r="H658" s="4" t="s">
        <v>108</v>
      </c>
      <c r="I658" s="24" t="s">
        <v>131</v>
      </c>
      <c r="J658" s="15">
        <v>3</v>
      </c>
      <c r="K658" s="15">
        <v>2</v>
      </c>
      <c r="L658" s="15">
        <v>2</v>
      </c>
      <c r="M658" s="15">
        <v>1</v>
      </c>
      <c r="N658" s="15">
        <v>3</v>
      </c>
      <c r="O658" s="15">
        <v>2</v>
      </c>
      <c r="P658" s="15" t="s">
        <v>415</v>
      </c>
      <c r="Q658" s="23" t="s">
        <v>416</v>
      </c>
      <c r="R658" s="25">
        <f>ROUND((K658*Parametros!$B$4+L658*Parametros!$B$5+M658*Parametros!$B$6+N658*Parametros!$B$7+O658*Parametros!$B$8)/SUM(Parametros!$B$4:$B$8),2)</f>
        <v>1.95</v>
      </c>
      <c r="S658" s="26">
        <f>IFERROR(INDEX(Parametros!$F$33:$F$42,MATCH(D658,Parametros!$A$33:$A$42,0)),1)</f>
        <v>1.0169999999999999</v>
      </c>
      <c r="T658" s="27">
        <f>IFERROR(INDEX(Parametros!$B$21:$B$26,MATCH(I658,Parametros!$A$21:$A$26,0)),0)</f>
        <v>0</v>
      </c>
      <c r="U658" s="28">
        <f t="shared" si="41"/>
        <v>1.98</v>
      </c>
      <c r="V658" s="9">
        <f>IF(U658&gt;=Parametros!$B$14,4,IF(U658&gt;=Parametros!$B$13,3,IF(U658&gt;=Parametros!$B$12,2,1)))</f>
        <v>1</v>
      </c>
      <c r="W658" s="5">
        <f>MAX(V658,IF(K658=5,Parametros!$B$17,0),IF(P658="Sim",Parametros!$B$18,0))</f>
        <v>1</v>
      </c>
      <c r="X658" s="5" t="str">
        <f t="shared" si="42"/>
        <v>Baixa</v>
      </c>
      <c r="Y658" s="29">
        <f t="shared" si="43"/>
        <v>1019.499342</v>
      </c>
      <c r="Z658" s="4" t="s">
        <v>659</v>
      </c>
    </row>
    <row r="659" spans="1:26" ht="28.05" customHeight="1" x14ac:dyDescent="0.3">
      <c r="A659" s="5">
        <f t="shared" si="40"/>
        <v>655</v>
      </c>
      <c r="B659" s="23" t="s">
        <v>1507</v>
      </c>
      <c r="C659" s="17" t="s">
        <v>1508</v>
      </c>
      <c r="D659" s="4" t="s">
        <v>49</v>
      </c>
      <c r="E659" s="4" t="s">
        <v>81</v>
      </c>
      <c r="F659" s="4" t="s">
        <v>81</v>
      </c>
      <c r="G659" s="4" t="s">
        <v>171</v>
      </c>
      <c r="H659" s="4" t="s">
        <v>172</v>
      </c>
      <c r="I659" s="24" t="s">
        <v>152</v>
      </c>
      <c r="J659" s="15">
        <v>3</v>
      </c>
      <c r="K659" s="15">
        <v>1</v>
      </c>
      <c r="L659" s="15">
        <v>3</v>
      </c>
      <c r="M659" s="15">
        <v>3</v>
      </c>
      <c r="N659" s="15">
        <v>1</v>
      </c>
      <c r="O659" s="15">
        <v>1</v>
      </c>
      <c r="P659" s="15" t="s">
        <v>415</v>
      </c>
      <c r="Q659" s="23" t="s">
        <v>838</v>
      </c>
      <c r="R659" s="25">
        <f>ROUND((K659*Parametros!$B$4+L659*Parametros!$B$5+M659*Parametros!$B$6+N659*Parametros!$B$7+O659*Parametros!$B$8)/SUM(Parametros!$B$4:$B$8),2)</f>
        <v>1.8</v>
      </c>
      <c r="S659" s="26">
        <f>IFERROR(INDEX(Parametros!$F$33:$F$42,MATCH(D659,Parametros!$A$33:$A$42,0)),1)</f>
        <v>1.1000000000000001</v>
      </c>
      <c r="T659" s="27">
        <f>IFERROR(INDEX(Parametros!$B$21:$B$26,MATCH(I659,Parametros!$A$21:$A$26,0)),0)</f>
        <v>0</v>
      </c>
      <c r="U659" s="28">
        <f t="shared" si="41"/>
        <v>1.98</v>
      </c>
      <c r="V659" s="9">
        <f>IF(U659&gt;=Parametros!$B$14,4,IF(U659&gt;=Parametros!$B$13,3,IF(U659&gt;=Parametros!$B$12,2,1)))</f>
        <v>1</v>
      </c>
      <c r="W659" s="5">
        <f>MAX(V659,IF(K659=5,Parametros!$B$17,0),IF(P659="Sim",Parametros!$B$18,0))</f>
        <v>1</v>
      </c>
      <c r="X659" s="5" t="str">
        <f t="shared" si="42"/>
        <v>Baixa</v>
      </c>
      <c r="Y659" s="29">
        <f t="shared" si="43"/>
        <v>1019.499341</v>
      </c>
      <c r="Z659" s="4" t="s">
        <v>659</v>
      </c>
    </row>
    <row r="660" spans="1:26" ht="28.05" customHeight="1" x14ac:dyDescent="0.3">
      <c r="A660" s="5">
        <f t="shared" si="40"/>
        <v>656</v>
      </c>
      <c r="B660" s="23" t="s">
        <v>1509</v>
      </c>
      <c r="C660" s="17" t="s">
        <v>1510</v>
      </c>
      <c r="D660" s="4" t="s">
        <v>49</v>
      </c>
      <c r="E660" s="4" t="s">
        <v>81</v>
      </c>
      <c r="F660" s="4" t="s">
        <v>81</v>
      </c>
      <c r="G660" s="4" t="s">
        <v>171</v>
      </c>
      <c r="H660" s="4" t="s">
        <v>172</v>
      </c>
      <c r="I660" s="24" t="s">
        <v>152</v>
      </c>
      <c r="J660" s="15">
        <v>3</v>
      </c>
      <c r="K660" s="15">
        <v>1</v>
      </c>
      <c r="L660" s="15">
        <v>3</v>
      </c>
      <c r="M660" s="15">
        <v>3</v>
      </c>
      <c r="N660" s="15">
        <v>1</v>
      </c>
      <c r="O660" s="15">
        <v>1</v>
      </c>
      <c r="P660" s="15" t="s">
        <v>415</v>
      </c>
      <c r="Q660" s="23" t="s">
        <v>838</v>
      </c>
      <c r="R660" s="25">
        <f>ROUND((K660*Parametros!$B$4+L660*Parametros!$B$5+M660*Parametros!$B$6+N660*Parametros!$B$7+O660*Parametros!$B$8)/SUM(Parametros!$B$4:$B$8),2)</f>
        <v>1.8</v>
      </c>
      <c r="S660" s="26">
        <f>IFERROR(INDEX(Parametros!$F$33:$F$42,MATCH(D660,Parametros!$A$33:$A$42,0)),1)</f>
        <v>1.1000000000000001</v>
      </c>
      <c r="T660" s="27">
        <f>IFERROR(INDEX(Parametros!$B$21:$B$26,MATCH(I660,Parametros!$A$21:$A$26,0)),0)</f>
        <v>0</v>
      </c>
      <c r="U660" s="28">
        <f t="shared" si="41"/>
        <v>1.98</v>
      </c>
      <c r="V660" s="9">
        <f>IF(U660&gt;=Parametros!$B$14,4,IF(U660&gt;=Parametros!$B$13,3,IF(U660&gt;=Parametros!$B$12,2,1)))</f>
        <v>1</v>
      </c>
      <c r="W660" s="5">
        <f>MAX(V660,IF(K660=5,Parametros!$B$17,0),IF(P660="Sim",Parametros!$B$18,0))</f>
        <v>1</v>
      </c>
      <c r="X660" s="5" t="str">
        <f t="shared" si="42"/>
        <v>Baixa</v>
      </c>
      <c r="Y660" s="29">
        <f t="shared" si="43"/>
        <v>1019.49934</v>
      </c>
      <c r="Z660" s="4" t="s">
        <v>659</v>
      </c>
    </row>
    <row r="661" spans="1:26" ht="28.05" customHeight="1" x14ac:dyDescent="0.3">
      <c r="A661" s="5">
        <f t="shared" si="40"/>
        <v>657</v>
      </c>
      <c r="B661" s="23" t="s">
        <v>1511</v>
      </c>
      <c r="C661" s="17" t="s">
        <v>1512</v>
      </c>
      <c r="D661" s="4" t="s">
        <v>48</v>
      </c>
      <c r="E661" s="4" t="s">
        <v>82</v>
      </c>
      <c r="F661" s="4" t="s">
        <v>82</v>
      </c>
      <c r="G661" s="4" t="s">
        <v>171</v>
      </c>
      <c r="H661" s="4" t="s">
        <v>172</v>
      </c>
      <c r="I661" s="24" t="s">
        <v>152</v>
      </c>
      <c r="J661" s="15">
        <v>3</v>
      </c>
      <c r="K661" s="15">
        <v>1</v>
      </c>
      <c r="L661" s="15">
        <v>3</v>
      </c>
      <c r="M661" s="15">
        <v>3</v>
      </c>
      <c r="N661" s="15">
        <v>1</v>
      </c>
      <c r="O661" s="15">
        <v>1</v>
      </c>
      <c r="P661" s="15" t="s">
        <v>415</v>
      </c>
      <c r="Q661" s="23" t="s">
        <v>838</v>
      </c>
      <c r="R661" s="25">
        <f>ROUND((K661*Parametros!$B$4+L661*Parametros!$B$5+M661*Parametros!$B$6+N661*Parametros!$B$7+O661*Parametros!$B$8)/SUM(Parametros!$B$4:$B$8),2)</f>
        <v>1.8</v>
      </c>
      <c r="S661" s="26">
        <f>IFERROR(INDEX(Parametros!$F$33:$F$42,MATCH(D661,Parametros!$A$33:$A$42,0)),1)</f>
        <v>1.1000000000000001</v>
      </c>
      <c r="T661" s="27">
        <f>IFERROR(INDEX(Parametros!$B$21:$B$26,MATCH(I661,Parametros!$A$21:$A$26,0)),0)</f>
        <v>0</v>
      </c>
      <c r="U661" s="28">
        <f t="shared" si="41"/>
        <v>1.98</v>
      </c>
      <c r="V661" s="9">
        <f>IF(U661&gt;=Parametros!$B$14,4,IF(U661&gt;=Parametros!$B$13,3,IF(U661&gt;=Parametros!$B$12,2,1)))</f>
        <v>1</v>
      </c>
      <c r="W661" s="5">
        <f>MAX(V661,IF(K661=5,Parametros!$B$17,0),IF(P661="Sim",Parametros!$B$18,0))</f>
        <v>1</v>
      </c>
      <c r="X661" s="5" t="str">
        <f t="shared" si="42"/>
        <v>Baixa</v>
      </c>
      <c r="Y661" s="29">
        <f t="shared" si="43"/>
        <v>1019.499339</v>
      </c>
      <c r="Z661" s="4" t="s">
        <v>659</v>
      </c>
    </row>
    <row r="662" spans="1:26" ht="28.05" customHeight="1" x14ac:dyDescent="0.3">
      <c r="A662" s="5">
        <f t="shared" si="40"/>
        <v>658</v>
      </c>
      <c r="B662" s="23" t="s">
        <v>1513</v>
      </c>
      <c r="C662" s="17" t="s">
        <v>1514</v>
      </c>
      <c r="D662" s="4" t="s">
        <v>48</v>
      </c>
      <c r="E662" s="4" t="s">
        <v>85</v>
      </c>
      <c r="F662" s="4" t="s">
        <v>1515</v>
      </c>
      <c r="G662" s="4" t="s">
        <v>171</v>
      </c>
      <c r="H662" s="4" t="s">
        <v>172</v>
      </c>
      <c r="I662" s="24" t="s">
        <v>152</v>
      </c>
      <c r="J662" s="15">
        <v>3</v>
      </c>
      <c r="K662" s="15">
        <v>1</v>
      </c>
      <c r="L662" s="15">
        <v>3</v>
      </c>
      <c r="M662" s="15">
        <v>3</v>
      </c>
      <c r="N662" s="15">
        <v>1</v>
      </c>
      <c r="O662" s="15">
        <v>1</v>
      </c>
      <c r="P662" s="15" t="s">
        <v>415</v>
      </c>
      <c r="Q662" s="23" t="s">
        <v>838</v>
      </c>
      <c r="R662" s="25">
        <f>ROUND((K662*Parametros!$B$4+L662*Parametros!$B$5+M662*Parametros!$B$6+N662*Parametros!$B$7+O662*Parametros!$B$8)/SUM(Parametros!$B$4:$B$8),2)</f>
        <v>1.8</v>
      </c>
      <c r="S662" s="26">
        <f>IFERROR(INDEX(Parametros!$F$33:$F$42,MATCH(D662,Parametros!$A$33:$A$42,0)),1)</f>
        <v>1.1000000000000001</v>
      </c>
      <c r="T662" s="27">
        <f>IFERROR(INDEX(Parametros!$B$21:$B$26,MATCH(I662,Parametros!$A$21:$A$26,0)),0)</f>
        <v>0</v>
      </c>
      <c r="U662" s="28">
        <f t="shared" si="41"/>
        <v>1.98</v>
      </c>
      <c r="V662" s="9">
        <f>IF(U662&gt;=Parametros!$B$14,4,IF(U662&gt;=Parametros!$B$13,3,IF(U662&gt;=Parametros!$B$12,2,1)))</f>
        <v>1</v>
      </c>
      <c r="W662" s="5">
        <f>MAX(V662,IF(K662=5,Parametros!$B$17,0),IF(P662="Sim",Parametros!$B$18,0))</f>
        <v>1</v>
      </c>
      <c r="X662" s="5" t="str">
        <f t="shared" si="42"/>
        <v>Baixa</v>
      </c>
      <c r="Y662" s="29">
        <f t="shared" si="43"/>
        <v>1019.499338</v>
      </c>
      <c r="Z662" s="4" t="s">
        <v>659</v>
      </c>
    </row>
    <row r="663" spans="1:26" ht="28.05" customHeight="1" x14ac:dyDescent="0.3">
      <c r="A663" s="5">
        <f t="shared" si="40"/>
        <v>659</v>
      </c>
      <c r="B663" s="23" t="s">
        <v>1516</v>
      </c>
      <c r="C663" s="17" t="s">
        <v>1517</v>
      </c>
      <c r="D663" s="4" t="s">
        <v>48</v>
      </c>
      <c r="E663" s="4" t="s">
        <v>82</v>
      </c>
      <c r="F663" s="4" t="s">
        <v>82</v>
      </c>
      <c r="G663" s="4" t="s">
        <v>171</v>
      </c>
      <c r="H663" s="4" t="s">
        <v>172</v>
      </c>
      <c r="I663" s="24" t="s">
        <v>152</v>
      </c>
      <c r="J663" s="15">
        <v>3</v>
      </c>
      <c r="K663" s="15">
        <v>1</v>
      </c>
      <c r="L663" s="15">
        <v>3</v>
      </c>
      <c r="M663" s="15">
        <v>3</v>
      </c>
      <c r="N663" s="15">
        <v>1</v>
      </c>
      <c r="O663" s="15">
        <v>1</v>
      </c>
      <c r="P663" s="15" t="s">
        <v>415</v>
      </c>
      <c r="Q663" s="23" t="s">
        <v>838</v>
      </c>
      <c r="R663" s="25">
        <f>ROUND((K663*Parametros!$B$4+L663*Parametros!$B$5+M663*Parametros!$B$6+N663*Parametros!$B$7+O663*Parametros!$B$8)/SUM(Parametros!$B$4:$B$8),2)</f>
        <v>1.8</v>
      </c>
      <c r="S663" s="26">
        <f>IFERROR(INDEX(Parametros!$F$33:$F$42,MATCH(D663,Parametros!$A$33:$A$42,0)),1)</f>
        <v>1.1000000000000001</v>
      </c>
      <c r="T663" s="27">
        <f>IFERROR(INDEX(Parametros!$B$21:$B$26,MATCH(I663,Parametros!$A$21:$A$26,0)),0)</f>
        <v>0</v>
      </c>
      <c r="U663" s="28">
        <f t="shared" si="41"/>
        <v>1.98</v>
      </c>
      <c r="V663" s="9">
        <f>IF(U663&gt;=Parametros!$B$14,4,IF(U663&gt;=Parametros!$B$13,3,IF(U663&gt;=Parametros!$B$12,2,1)))</f>
        <v>1</v>
      </c>
      <c r="W663" s="5">
        <f>MAX(V663,IF(K663=5,Parametros!$B$17,0),IF(P663="Sim",Parametros!$B$18,0))</f>
        <v>1</v>
      </c>
      <c r="X663" s="5" t="str">
        <f t="shared" si="42"/>
        <v>Baixa</v>
      </c>
      <c r="Y663" s="29">
        <f t="shared" si="43"/>
        <v>1019.499337</v>
      </c>
      <c r="Z663" s="4" t="s">
        <v>659</v>
      </c>
    </row>
    <row r="664" spans="1:26" ht="28.05" customHeight="1" x14ac:dyDescent="0.3">
      <c r="A664" s="5">
        <f t="shared" si="40"/>
        <v>660</v>
      </c>
      <c r="B664" s="23" t="s">
        <v>1518</v>
      </c>
      <c r="C664" s="17" t="s">
        <v>1519</v>
      </c>
      <c r="D664" s="4" t="s">
        <v>48</v>
      </c>
      <c r="E664" s="4" t="s">
        <v>64</v>
      </c>
      <c r="F664" s="4" t="s">
        <v>64</v>
      </c>
      <c r="G664" s="4" t="s">
        <v>119</v>
      </c>
      <c r="H664" s="4" t="s">
        <v>108</v>
      </c>
      <c r="I664" s="24" t="s">
        <v>131</v>
      </c>
      <c r="J664" s="15">
        <v>3</v>
      </c>
      <c r="K664" s="15">
        <v>2</v>
      </c>
      <c r="L664" s="15">
        <v>2</v>
      </c>
      <c r="M664" s="15">
        <v>1</v>
      </c>
      <c r="N664" s="15">
        <v>1</v>
      </c>
      <c r="O664" s="15">
        <v>3</v>
      </c>
      <c r="P664" s="15" t="s">
        <v>415</v>
      </c>
      <c r="Q664" s="23" t="s">
        <v>838</v>
      </c>
      <c r="R664" s="25">
        <f>ROUND((K664*Parametros!$B$4+L664*Parametros!$B$5+M664*Parametros!$B$6+N664*Parametros!$B$7+O664*Parametros!$B$8)/SUM(Parametros!$B$4:$B$8),2)</f>
        <v>1.8</v>
      </c>
      <c r="S664" s="26">
        <f>IFERROR(INDEX(Parametros!$F$33:$F$42,MATCH(D664,Parametros!$A$33:$A$42,0)),1)</f>
        <v>1.1000000000000001</v>
      </c>
      <c r="T664" s="27">
        <f>IFERROR(INDEX(Parametros!$B$21:$B$26,MATCH(I664,Parametros!$A$21:$A$26,0)),0)</f>
        <v>0</v>
      </c>
      <c r="U664" s="28">
        <f t="shared" si="41"/>
        <v>1.98</v>
      </c>
      <c r="V664" s="9">
        <f>IF(U664&gt;=Parametros!$B$14,4,IF(U664&gt;=Parametros!$B$13,3,IF(U664&gt;=Parametros!$B$12,2,1)))</f>
        <v>1</v>
      </c>
      <c r="W664" s="5">
        <f>MAX(V664,IF(K664=5,Parametros!$B$17,0),IF(P664="Sim",Parametros!$B$18,0))</f>
        <v>1</v>
      </c>
      <c r="X664" s="5" t="str">
        <f t="shared" si="42"/>
        <v>Baixa</v>
      </c>
      <c r="Y664" s="29">
        <f t="shared" si="43"/>
        <v>1019.499336</v>
      </c>
      <c r="Z664" s="4" t="s">
        <v>659</v>
      </c>
    </row>
    <row r="665" spans="1:26" ht="28.05" customHeight="1" x14ac:dyDescent="0.3">
      <c r="A665" s="5">
        <f t="shared" si="40"/>
        <v>661</v>
      </c>
      <c r="B665" s="23" t="s">
        <v>1520</v>
      </c>
      <c r="C665" s="17" t="s">
        <v>1521</v>
      </c>
      <c r="D665" s="4" t="s">
        <v>50</v>
      </c>
      <c r="E665" s="4" t="s">
        <v>65</v>
      </c>
      <c r="F665" s="4" t="s">
        <v>65</v>
      </c>
      <c r="G665" s="4" t="s">
        <v>171</v>
      </c>
      <c r="H665" s="4" t="s">
        <v>172</v>
      </c>
      <c r="I665" s="24" t="s">
        <v>152</v>
      </c>
      <c r="J665" s="15">
        <v>2</v>
      </c>
      <c r="K665" s="15">
        <v>1</v>
      </c>
      <c r="L665" s="15">
        <v>3</v>
      </c>
      <c r="M665" s="15">
        <v>3</v>
      </c>
      <c r="N665" s="15">
        <v>1</v>
      </c>
      <c r="O665" s="15">
        <v>1</v>
      </c>
      <c r="P665" s="15" t="s">
        <v>415</v>
      </c>
      <c r="Q665" s="23" t="s">
        <v>838</v>
      </c>
      <c r="R665" s="25">
        <f>ROUND((K665*Parametros!$B$4+L665*Parametros!$B$5+M665*Parametros!$B$6+N665*Parametros!$B$7+O665*Parametros!$B$8)/SUM(Parametros!$B$4:$B$8),2)</f>
        <v>1.8</v>
      </c>
      <c r="S665" s="26">
        <f>IFERROR(INDEX(Parametros!$F$33:$F$42,MATCH(D665,Parametros!$A$33:$A$42,0)),1)</f>
        <v>1.0840000000000001</v>
      </c>
      <c r="T665" s="27">
        <f>IFERROR(INDEX(Parametros!$B$21:$B$26,MATCH(I665,Parametros!$A$21:$A$26,0)),0)</f>
        <v>0</v>
      </c>
      <c r="U665" s="28">
        <f t="shared" si="41"/>
        <v>1.95</v>
      </c>
      <c r="V665" s="9">
        <f>IF(U665&gt;=Parametros!$B$14,4,IF(U665&gt;=Parametros!$B$13,3,IF(U665&gt;=Parametros!$B$12,2,1)))</f>
        <v>1</v>
      </c>
      <c r="W665" s="5">
        <f>MAX(V665,IF(K665=5,Parametros!$B$17,0),IF(P665="Sim",Parametros!$B$18,0))</f>
        <v>1</v>
      </c>
      <c r="X665" s="5" t="str">
        <f t="shared" si="42"/>
        <v>Baixa</v>
      </c>
      <c r="Y665" s="29">
        <f t="shared" si="43"/>
        <v>1019.2993349999999</v>
      </c>
      <c r="Z665" s="4" t="s">
        <v>659</v>
      </c>
    </row>
    <row r="666" spans="1:26" ht="28.05" customHeight="1" x14ac:dyDescent="0.3">
      <c r="A666" s="5">
        <f t="shared" si="40"/>
        <v>662</v>
      </c>
      <c r="B666" s="23" t="s">
        <v>1522</v>
      </c>
      <c r="C666" s="17" t="s">
        <v>1523</v>
      </c>
      <c r="D666" s="4" t="s">
        <v>50</v>
      </c>
      <c r="E666" s="4" t="s">
        <v>65</v>
      </c>
      <c r="F666" s="4" t="s">
        <v>65</v>
      </c>
      <c r="G666" s="4" t="s">
        <v>171</v>
      </c>
      <c r="H666" s="4" t="s">
        <v>172</v>
      </c>
      <c r="I666" s="24" t="s">
        <v>152</v>
      </c>
      <c r="J666" s="15">
        <v>2</v>
      </c>
      <c r="K666" s="15">
        <v>1</v>
      </c>
      <c r="L666" s="15">
        <v>3</v>
      </c>
      <c r="M666" s="15">
        <v>3</v>
      </c>
      <c r="N666" s="15">
        <v>1</v>
      </c>
      <c r="O666" s="15">
        <v>1</v>
      </c>
      <c r="P666" s="15" t="s">
        <v>415</v>
      </c>
      <c r="Q666" s="23" t="s">
        <v>838</v>
      </c>
      <c r="R666" s="25">
        <f>ROUND((K666*Parametros!$B$4+L666*Parametros!$B$5+M666*Parametros!$B$6+N666*Parametros!$B$7+O666*Parametros!$B$8)/SUM(Parametros!$B$4:$B$8),2)</f>
        <v>1.8</v>
      </c>
      <c r="S666" s="26">
        <f>IFERROR(INDEX(Parametros!$F$33:$F$42,MATCH(D666,Parametros!$A$33:$A$42,0)),1)</f>
        <v>1.0840000000000001</v>
      </c>
      <c r="T666" s="27">
        <f>IFERROR(INDEX(Parametros!$B$21:$B$26,MATCH(I666,Parametros!$A$21:$A$26,0)),0)</f>
        <v>0</v>
      </c>
      <c r="U666" s="28">
        <f t="shared" si="41"/>
        <v>1.95</v>
      </c>
      <c r="V666" s="9">
        <f>IF(U666&gt;=Parametros!$B$14,4,IF(U666&gt;=Parametros!$B$13,3,IF(U666&gt;=Parametros!$B$12,2,1)))</f>
        <v>1</v>
      </c>
      <c r="W666" s="5">
        <f>MAX(V666,IF(K666=5,Parametros!$B$17,0),IF(P666="Sim",Parametros!$B$18,0))</f>
        <v>1</v>
      </c>
      <c r="X666" s="5" t="str">
        <f t="shared" si="42"/>
        <v>Baixa</v>
      </c>
      <c r="Y666" s="29">
        <f t="shared" si="43"/>
        <v>1019.2993339999999</v>
      </c>
      <c r="Z666" s="4" t="s">
        <v>659</v>
      </c>
    </row>
    <row r="667" spans="1:26" ht="28.05" customHeight="1" x14ac:dyDescent="0.3">
      <c r="A667" s="5">
        <f t="shared" si="40"/>
        <v>663</v>
      </c>
      <c r="B667" s="23" t="s">
        <v>1524</v>
      </c>
      <c r="C667" s="17" t="s">
        <v>1525</v>
      </c>
      <c r="D667" s="4" t="s">
        <v>52</v>
      </c>
      <c r="E667" s="4" t="s">
        <v>64</v>
      </c>
      <c r="F667" s="4" t="s">
        <v>64</v>
      </c>
      <c r="G667" s="4" t="s">
        <v>134</v>
      </c>
      <c r="H667" s="4" t="s">
        <v>108</v>
      </c>
      <c r="I667" s="24" t="s">
        <v>359</v>
      </c>
      <c r="J667" s="15">
        <v>2</v>
      </c>
      <c r="K667" s="15">
        <v>2</v>
      </c>
      <c r="L667" s="15">
        <v>2</v>
      </c>
      <c r="M667" s="15">
        <v>3</v>
      </c>
      <c r="N667" s="15">
        <v>1</v>
      </c>
      <c r="O667" s="15">
        <v>2</v>
      </c>
      <c r="P667" s="15" t="s">
        <v>415</v>
      </c>
      <c r="Q667" s="23" t="s">
        <v>838</v>
      </c>
      <c r="R667" s="25">
        <f>ROUND((K667*Parametros!$B$4+L667*Parametros!$B$5+M667*Parametros!$B$6+N667*Parametros!$B$7+O667*Parametros!$B$8)/SUM(Parametros!$B$4:$B$8),2)</f>
        <v>2.0499999999999998</v>
      </c>
      <c r="S667" s="26">
        <f>IFERROR(INDEX(Parametros!$F$33:$F$42,MATCH(D667,Parametros!$A$33:$A$42,0)),1)</f>
        <v>1.05</v>
      </c>
      <c r="T667" s="27">
        <f>IFERROR(INDEX(Parametros!$B$21:$B$26,MATCH(I667,Parametros!$A$21:$A$26,0)),0)</f>
        <v>-0.2</v>
      </c>
      <c r="U667" s="28">
        <f t="shared" si="41"/>
        <v>1.95</v>
      </c>
      <c r="V667" s="9">
        <f>IF(U667&gt;=Parametros!$B$14,4,IF(U667&gt;=Parametros!$B$13,3,IF(U667&gt;=Parametros!$B$12,2,1)))</f>
        <v>1</v>
      </c>
      <c r="W667" s="5">
        <f>MAX(V667,IF(K667=5,Parametros!$B$17,0),IF(P667="Sim",Parametros!$B$18,0))</f>
        <v>1</v>
      </c>
      <c r="X667" s="5" t="str">
        <f t="shared" si="42"/>
        <v>Baixa</v>
      </c>
      <c r="Y667" s="29">
        <f t="shared" si="43"/>
        <v>1019.2993329999999</v>
      </c>
      <c r="Z667" s="4" t="s">
        <v>1410</v>
      </c>
    </row>
    <row r="668" spans="1:26" ht="28.05" customHeight="1" x14ac:dyDescent="0.3">
      <c r="A668" s="5">
        <f t="shared" si="40"/>
        <v>664</v>
      </c>
      <c r="B668" s="23" t="s">
        <v>1526</v>
      </c>
      <c r="C668" s="17" t="s">
        <v>1527</v>
      </c>
      <c r="D668" s="4" t="s">
        <v>50</v>
      </c>
      <c r="E668" s="4" t="s">
        <v>64</v>
      </c>
      <c r="F668" s="4" t="s">
        <v>64</v>
      </c>
      <c r="G668" s="4" t="s">
        <v>184</v>
      </c>
      <c r="H668" s="4" t="s">
        <v>185</v>
      </c>
      <c r="I668" s="24" t="s">
        <v>131</v>
      </c>
      <c r="J668" s="15">
        <v>2</v>
      </c>
      <c r="K668" s="15">
        <v>1</v>
      </c>
      <c r="L668" s="15">
        <v>3</v>
      </c>
      <c r="M668" s="15">
        <v>3</v>
      </c>
      <c r="N668" s="15">
        <v>1</v>
      </c>
      <c r="O668" s="15">
        <v>1</v>
      </c>
      <c r="P668" s="15" t="s">
        <v>415</v>
      </c>
      <c r="Q668" s="23" t="s">
        <v>838</v>
      </c>
      <c r="R668" s="25">
        <f>ROUND((K668*Parametros!$B$4+L668*Parametros!$B$5+M668*Parametros!$B$6+N668*Parametros!$B$7+O668*Parametros!$B$8)/SUM(Parametros!$B$4:$B$8),2)</f>
        <v>1.8</v>
      </c>
      <c r="S668" s="26">
        <f>IFERROR(INDEX(Parametros!$F$33:$F$42,MATCH(D668,Parametros!$A$33:$A$42,0)),1)</f>
        <v>1.0840000000000001</v>
      </c>
      <c r="T668" s="27">
        <f>IFERROR(INDEX(Parametros!$B$21:$B$26,MATCH(I668,Parametros!$A$21:$A$26,0)),0)</f>
        <v>0</v>
      </c>
      <c r="U668" s="28">
        <f t="shared" si="41"/>
        <v>1.95</v>
      </c>
      <c r="V668" s="9">
        <f>IF(U668&gt;=Parametros!$B$14,4,IF(U668&gt;=Parametros!$B$13,3,IF(U668&gt;=Parametros!$B$12,2,1)))</f>
        <v>1</v>
      </c>
      <c r="W668" s="5">
        <f>MAX(V668,IF(K668=5,Parametros!$B$17,0),IF(P668="Sim",Parametros!$B$18,0))</f>
        <v>1</v>
      </c>
      <c r="X668" s="5" t="str">
        <f t="shared" si="42"/>
        <v>Baixa</v>
      </c>
      <c r="Y668" s="29">
        <f t="shared" si="43"/>
        <v>1019.2993319999999</v>
      </c>
      <c r="Z668" s="4" t="s">
        <v>659</v>
      </c>
    </row>
    <row r="669" spans="1:26" ht="28.05" customHeight="1" x14ac:dyDescent="0.3">
      <c r="A669" s="5">
        <f t="shared" si="40"/>
        <v>665</v>
      </c>
      <c r="B669" s="23" t="s">
        <v>1528</v>
      </c>
      <c r="C669" s="17" t="s">
        <v>1529</v>
      </c>
      <c r="D669" s="4" t="s">
        <v>50</v>
      </c>
      <c r="E669" s="4" t="s">
        <v>64</v>
      </c>
      <c r="F669" s="4" t="s">
        <v>64</v>
      </c>
      <c r="G669" s="4" t="s">
        <v>107</v>
      </c>
      <c r="H669" s="4" t="s">
        <v>108</v>
      </c>
      <c r="I669" s="24" t="s">
        <v>131</v>
      </c>
      <c r="J669" s="15">
        <v>2</v>
      </c>
      <c r="K669" s="15">
        <v>2</v>
      </c>
      <c r="L669" s="15">
        <v>2</v>
      </c>
      <c r="M669" s="15">
        <v>1</v>
      </c>
      <c r="N669" s="15">
        <v>1</v>
      </c>
      <c r="O669" s="15">
        <v>3</v>
      </c>
      <c r="P669" s="15" t="s">
        <v>415</v>
      </c>
      <c r="Q669" s="23" t="s">
        <v>838</v>
      </c>
      <c r="R669" s="25">
        <f>ROUND((K669*Parametros!$B$4+L669*Parametros!$B$5+M669*Parametros!$B$6+N669*Parametros!$B$7+O669*Parametros!$B$8)/SUM(Parametros!$B$4:$B$8),2)</f>
        <v>1.8</v>
      </c>
      <c r="S669" s="26">
        <f>IFERROR(INDEX(Parametros!$F$33:$F$42,MATCH(D669,Parametros!$A$33:$A$42,0)),1)</f>
        <v>1.0840000000000001</v>
      </c>
      <c r="T669" s="27">
        <f>IFERROR(INDEX(Parametros!$B$21:$B$26,MATCH(I669,Parametros!$A$21:$A$26,0)),0)</f>
        <v>0</v>
      </c>
      <c r="U669" s="28">
        <f t="shared" si="41"/>
        <v>1.95</v>
      </c>
      <c r="V669" s="9">
        <f>IF(U669&gt;=Parametros!$B$14,4,IF(U669&gt;=Parametros!$B$13,3,IF(U669&gt;=Parametros!$B$12,2,1)))</f>
        <v>1</v>
      </c>
      <c r="W669" s="5">
        <f>MAX(V669,IF(K669=5,Parametros!$B$17,0),IF(P669="Sim",Parametros!$B$18,0))</f>
        <v>1</v>
      </c>
      <c r="X669" s="5" t="str">
        <f t="shared" si="42"/>
        <v>Baixa</v>
      </c>
      <c r="Y669" s="29">
        <f t="shared" si="43"/>
        <v>1019.2993309999999</v>
      </c>
      <c r="Z669" s="4" t="s">
        <v>659</v>
      </c>
    </row>
    <row r="670" spans="1:26" ht="28.05" customHeight="1" x14ac:dyDescent="0.3">
      <c r="A670" s="5">
        <f t="shared" si="40"/>
        <v>666</v>
      </c>
      <c r="B670" s="23" t="s">
        <v>1530</v>
      </c>
      <c r="C670" s="17" t="s">
        <v>1531</v>
      </c>
      <c r="D670" s="4" t="s">
        <v>50</v>
      </c>
      <c r="E670" s="4" t="s">
        <v>75</v>
      </c>
      <c r="F670" s="4" t="s">
        <v>75</v>
      </c>
      <c r="G670" s="4" t="s">
        <v>171</v>
      </c>
      <c r="H670" s="4" t="s">
        <v>172</v>
      </c>
      <c r="I670" s="24" t="s">
        <v>152</v>
      </c>
      <c r="J670" s="15">
        <v>2</v>
      </c>
      <c r="K670" s="15">
        <v>1</v>
      </c>
      <c r="L670" s="15">
        <v>3</v>
      </c>
      <c r="M670" s="15">
        <v>3</v>
      </c>
      <c r="N670" s="15">
        <v>1</v>
      </c>
      <c r="O670" s="15">
        <v>1</v>
      </c>
      <c r="P670" s="15" t="s">
        <v>415</v>
      </c>
      <c r="Q670" s="23" t="s">
        <v>838</v>
      </c>
      <c r="R670" s="25">
        <f>ROUND((K670*Parametros!$B$4+L670*Parametros!$B$5+M670*Parametros!$B$6+N670*Parametros!$B$7+O670*Parametros!$B$8)/SUM(Parametros!$B$4:$B$8),2)</f>
        <v>1.8</v>
      </c>
      <c r="S670" s="26">
        <f>IFERROR(INDEX(Parametros!$F$33:$F$42,MATCH(D670,Parametros!$A$33:$A$42,0)),1)</f>
        <v>1.0840000000000001</v>
      </c>
      <c r="T670" s="27">
        <f>IFERROR(INDEX(Parametros!$B$21:$B$26,MATCH(I670,Parametros!$A$21:$A$26,0)),0)</f>
        <v>0</v>
      </c>
      <c r="U670" s="28">
        <f t="shared" si="41"/>
        <v>1.95</v>
      </c>
      <c r="V670" s="9">
        <f>IF(U670&gt;=Parametros!$B$14,4,IF(U670&gt;=Parametros!$B$13,3,IF(U670&gt;=Parametros!$B$12,2,1)))</f>
        <v>1</v>
      </c>
      <c r="W670" s="5">
        <f>MAX(V670,IF(K670=5,Parametros!$B$17,0),IF(P670="Sim",Parametros!$B$18,0))</f>
        <v>1</v>
      </c>
      <c r="X670" s="5" t="str">
        <f t="shared" si="42"/>
        <v>Baixa</v>
      </c>
      <c r="Y670" s="29">
        <f t="shared" si="43"/>
        <v>1019.2993299999999</v>
      </c>
      <c r="Z670" s="4" t="s">
        <v>659</v>
      </c>
    </row>
    <row r="671" spans="1:26" ht="28.05" customHeight="1" x14ac:dyDescent="0.3">
      <c r="A671" s="5">
        <f t="shared" si="40"/>
        <v>667</v>
      </c>
      <c r="B671" s="23" t="s">
        <v>1532</v>
      </c>
      <c r="C671" s="17" t="s">
        <v>1533</v>
      </c>
      <c r="D671" s="4" t="s">
        <v>50</v>
      </c>
      <c r="E671" s="4" t="s">
        <v>75</v>
      </c>
      <c r="F671" s="4" t="s">
        <v>75</v>
      </c>
      <c r="G671" s="4" t="s">
        <v>171</v>
      </c>
      <c r="H671" s="4" t="s">
        <v>172</v>
      </c>
      <c r="I671" s="24" t="s">
        <v>152</v>
      </c>
      <c r="J671" s="15">
        <v>2</v>
      </c>
      <c r="K671" s="15">
        <v>1</v>
      </c>
      <c r="L671" s="15">
        <v>3</v>
      </c>
      <c r="M671" s="15">
        <v>3</v>
      </c>
      <c r="N671" s="15">
        <v>1</v>
      </c>
      <c r="O671" s="15">
        <v>1</v>
      </c>
      <c r="P671" s="15" t="s">
        <v>415</v>
      </c>
      <c r="Q671" s="23" t="s">
        <v>838</v>
      </c>
      <c r="R671" s="25">
        <f>ROUND((K671*Parametros!$B$4+L671*Parametros!$B$5+M671*Parametros!$B$6+N671*Parametros!$B$7+O671*Parametros!$B$8)/SUM(Parametros!$B$4:$B$8),2)</f>
        <v>1.8</v>
      </c>
      <c r="S671" s="26">
        <f>IFERROR(INDEX(Parametros!$F$33:$F$42,MATCH(D671,Parametros!$A$33:$A$42,0)),1)</f>
        <v>1.0840000000000001</v>
      </c>
      <c r="T671" s="27">
        <f>IFERROR(INDEX(Parametros!$B$21:$B$26,MATCH(I671,Parametros!$A$21:$A$26,0)),0)</f>
        <v>0</v>
      </c>
      <c r="U671" s="28">
        <f t="shared" si="41"/>
        <v>1.95</v>
      </c>
      <c r="V671" s="9">
        <f>IF(U671&gt;=Parametros!$B$14,4,IF(U671&gt;=Parametros!$B$13,3,IF(U671&gt;=Parametros!$B$12,2,1)))</f>
        <v>1</v>
      </c>
      <c r="W671" s="5">
        <f>MAX(V671,IF(K671=5,Parametros!$B$17,0),IF(P671="Sim",Parametros!$B$18,0))</f>
        <v>1</v>
      </c>
      <c r="X671" s="5" t="str">
        <f t="shared" si="42"/>
        <v>Baixa</v>
      </c>
      <c r="Y671" s="29">
        <f t="shared" si="43"/>
        <v>1019.2993289999999</v>
      </c>
      <c r="Z671" s="4" t="s">
        <v>659</v>
      </c>
    </row>
    <row r="672" spans="1:26" ht="28.05" customHeight="1" x14ac:dyDescent="0.3">
      <c r="A672" s="5">
        <f t="shared" si="40"/>
        <v>668</v>
      </c>
      <c r="B672" s="23" t="s">
        <v>1534</v>
      </c>
      <c r="C672" s="17" t="s">
        <v>1535</v>
      </c>
      <c r="D672" s="4" t="s">
        <v>50</v>
      </c>
      <c r="E672" s="4" t="s">
        <v>64</v>
      </c>
      <c r="F672" s="4" t="s">
        <v>64</v>
      </c>
      <c r="G672" s="4" t="s">
        <v>184</v>
      </c>
      <c r="H672" s="4" t="s">
        <v>185</v>
      </c>
      <c r="I672" s="24" t="s">
        <v>152</v>
      </c>
      <c r="J672" s="15">
        <v>3</v>
      </c>
      <c r="K672" s="15">
        <v>1</v>
      </c>
      <c r="L672" s="15">
        <v>3</v>
      </c>
      <c r="M672" s="15">
        <v>3</v>
      </c>
      <c r="N672" s="15">
        <v>1</v>
      </c>
      <c r="O672" s="15">
        <v>1</v>
      </c>
      <c r="P672" s="15" t="s">
        <v>415</v>
      </c>
      <c r="Q672" s="23" t="s">
        <v>838</v>
      </c>
      <c r="R672" s="25">
        <f>ROUND((K672*Parametros!$B$4+L672*Parametros!$B$5+M672*Parametros!$B$6+N672*Parametros!$B$7+O672*Parametros!$B$8)/SUM(Parametros!$B$4:$B$8),2)</f>
        <v>1.8</v>
      </c>
      <c r="S672" s="26">
        <f>IFERROR(INDEX(Parametros!$F$33:$F$42,MATCH(D672,Parametros!$A$33:$A$42,0)),1)</f>
        <v>1.0840000000000001</v>
      </c>
      <c r="T672" s="27">
        <f>IFERROR(INDEX(Parametros!$B$21:$B$26,MATCH(I672,Parametros!$A$21:$A$26,0)),0)</f>
        <v>0</v>
      </c>
      <c r="U672" s="28">
        <f t="shared" si="41"/>
        <v>1.95</v>
      </c>
      <c r="V672" s="9">
        <f>IF(U672&gt;=Parametros!$B$14,4,IF(U672&gt;=Parametros!$B$13,3,IF(U672&gt;=Parametros!$B$12,2,1)))</f>
        <v>1</v>
      </c>
      <c r="W672" s="5">
        <f>MAX(V672,IF(K672=5,Parametros!$B$17,0),IF(P672="Sim",Parametros!$B$18,0))</f>
        <v>1</v>
      </c>
      <c r="X672" s="5" t="str">
        <f t="shared" si="42"/>
        <v>Baixa</v>
      </c>
      <c r="Y672" s="29">
        <f t="shared" si="43"/>
        <v>1019.199328</v>
      </c>
      <c r="Z672" s="4" t="s">
        <v>659</v>
      </c>
    </row>
    <row r="673" spans="1:26" ht="28.05" customHeight="1" x14ac:dyDescent="0.3">
      <c r="A673" s="5">
        <f t="shared" si="40"/>
        <v>669</v>
      </c>
      <c r="B673" s="23" t="s">
        <v>1536</v>
      </c>
      <c r="C673" s="17" t="s">
        <v>1537</v>
      </c>
      <c r="D673" s="4" t="s">
        <v>50</v>
      </c>
      <c r="E673" s="4" t="s">
        <v>70</v>
      </c>
      <c r="F673" s="4" t="s">
        <v>70</v>
      </c>
      <c r="G673" s="4" t="s">
        <v>171</v>
      </c>
      <c r="H673" s="4" t="s">
        <v>172</v>
      </c>
      <c r="I673" s="24" t="s">
        <v>152</v>
      </c>
      <c r="J673" s="15">
        <v>3</v>
      </c>
      <c r="K673" s="15">
        <v>1</v>
      </c>
      <c r="L673" s="15">
        <v>3</v>
      </c>
      <c r="M673" s="15">
        <v>3</v>
      </c>
      <c r="N673" s="15">
        <v>1</v>
      </c>
      <c r="O673" s="15">
        <v>1</v>
      </c>
      <c r="P673" s="15" t="s">
        <v>415</v>
      </c>
      <c r="Q673" s="23" t="s">
        <v>838</v>
      </c>
      <c r="R673" s="25">
        <f>ROUND((K673*Parametros!$B$4+L673*Parametros!$B$5+M673*Parametros!$B$6+N673*Parametros!$B$7+O673*Parametros!$B$8)/SUM(Parametros!$B$4:$B$8),2)</f>
        <v>1.8</v>
      </c>
      <c r="S673" s="26">
        <f>IFERROR(INDEX(Parametros!$F$33:$F$42,MATCH(D673,Parametros!$A$33:$A$42,0)),1)</f>
        <v>1.0840000000000001</v>
      </c>
      <c r="T673" s="27">
        <f>IFERROR(INDEX(Parametros!$B$21:$B$26,MATCH(I673,Parametros!$A$21:$A$26,0)),0)</f>
        <v>0</v>
      </c>
      <c r="U673" s="28">
        <f t="shared" si="41"/>
        <v>1.95</v>
      </c>
      <c r="V673" s="9">
        <f>IF(U673&gt;=Parametros!$B$14,4,IF(U673&gt;=Parametros!$B$13,3,IF(U673&gt;=Parametros!$B$12,2,1)))</f>
        <v>1</v>
      </c>
      <c r="W673" s="5">
        <f>MAX(V673,IF(K673=5,Parametros!$B$17,0),IF(P673="Sim",Parametros!$B$18,0))</f>
        <v>1</v>
      </c>
      <c r="X673" s="5" t="str">
        <f t="shared" si="42"/>
        <v>Baixa</v>
      </c>
      <c r="Y673" s="29">
        <f t="shared" si="43"/>
        <v>1019.199327</v>
      </c>
      <c r="Z673" s="4" t="s">
        <v>659</v>
      </c>
    </row>
    <row r="674" spans="1:26" ht="28.05" customHeight="1" x14ac:dyDescent="0.3">
      <c r="A674" s="5">
        <f t="shared" si="40"/>
        <v>670</v>
      </c>
      <c r="B674" s="23" t="s">
        <v>1538</v>
      </c>
      <c r="C674" s="17" t="s">
        <v>1539</v>
      </c>
      <c r="D674" s="4" t="s">
        <v>50</v>
      </c>
      <c r="E674" s="4" t="s">
        <v>65</v>
      </c>
      <c r="F674" s="4" t="s">
        <v>65</v>
      </c>
      <c r="G674" s="4" t="s">
        <v>171</v>
      </c>
      <c r="H674" s="4" t="s">
        <v>172</v>
      </c>
      <c r="I674" s="24" t="s">
        <v>152</v>
      </c>
      <c r="J674" s="15">
        <v>3</v>
      </c>
      <c r="K674" s="15">
        <v>1</v>
      </c>
      <c r="L674" s="15">
        <v>3</v>
      </c>
      <c r="M674" s="15">
        <v>3</v>
      </c>
      <c r="N674" s="15">
        <v>1</v>
      </c>
      <c r="O674" s="15">
        <v>1</v>
      </c>
      <c r="P674" s="15" t="s">
        <v>415</v>
      </c>
      <c r="Q674" s="23" t="s">
        <v>838</v>
      </c>
      <c r="R674" s="25">
        <f>ROUND((K674*Parametros!$B$4+L674*Parametros!$B$5+M674*Parametros!$B$6+N674*Parametros!$B$7+O674*Parametros!$B$8)/SUM(Parametros!$B$4:$B$8),2)</f>
        <v>1.8</v>
      </c>
      <c r="S674" s="26">
        <f>IFERROR(INDEX(Parametros!$F$33:$F$42,MATCH(D674,Parametros!$A$33:$A$42,0)),1)</f>
        <v>1.0840000000000001</v>
      </c>
      <c r="T674" s="27">
        <f>IFERROR(INDEX(Parametros!$B$21:$B$26,MATCH(I674,Parametros!$A$21:$A$26,0)),0)</f>
        <v>0</v>
      </c>
      <c r="U674" s="28">
        <f t="shared" si="41"/>
        <v>1.95</v>
      </c>
      <c r="V674" s="9">
        <f>IF(U674&gt;=Parametros!$B$14,4,IF(U674&gt;=Parametros!$B$13,3,IF(U674&gt;=Parametros!$B$12,2,1)))</f>
        <v>1</v>
      </c>
      <c r="W674" s="5">
        <f>MAX(V674,IF(K674=5,Parametros!$B$17,0),IF(P674="Sim",Parametros!$B$18,0))</f>
        <v>1</v>
      </c>
      <c r="X674" s="5" t="str">
        <f t="shared" si="42"/>
        <v>Baixa</v>
      </c>
      <c r="Y674" s="29">
        <f t="shared" si="43"/>
        <v>1019.199326</v>
      </c>
      <c r="Z674" s="4" t="s">
        <v>659</v>
      </c>
    </row>
    <row r="675" spans="1:26" ht="28.05" customHeight="1" x14ac:dyDescent="0.3">
      <c r="A675" s="5">
        <f t="shared" si="40"/>
        <v>671</v>
      </c>
      <c r="B675" s="23" t="s">
        <v>1540</v>
      </c>
      <c r="C675" s="17" t="s">
        <v>1541</v>
      </c>
      <c r="D675" s="4" t="s">
        <v>50</v>
      </c>
      <c r="E675" s="4" t="s">
        <v>64</v>
      </c>
      <c r="F675" s="4" t="s">
        <v>64</v>
      </c>
      <c r="G675" s="4" t="s">
        <v>184</v>
      </c>
      <c r="H675" s="4" t="s">
        <v>185</v>
      </c>
      <c r="I675" s="24" t="s">
        <v>131</v>
      </c>
      <c r="J675" s="15">
        <v>3</v>
      </c>
      <c r="K675" s="15">
        <v>2</v>
      </c>
      <c r="L675" s="15">
        <v>2</v>
      </c>
      <c r="M675" s="15">
        <v>1</v>
      </c>
      <c r="N675" s="15">
        <v>1</v>
      </c>
      <c r="O675" s="15">
        <v>3</v>
      </c>
      <c r="P675" s="15" t="s">
        <v>415</v>
      </c>
      <c r="Q675" s="23" t="s">
        <v>838</v>
      </c>
      <c r="R675" s="25">
        <f>ROUND((K675*Parametros!$B$4+L675*Parametros!$B$5+M675*Parametros!$B$6+N675*Parametros!$B$7+O675*Parametros!$B$8)/SUM(Parametros!$B$4:$B$8),2)</f>
        <v>1.8</v>
      </c>
      <c r="S675" s="26">
        <f>IFERROR(INDEX(Parametros!$F$33:$F$42,MATCH(D675,Parametros!$A$33:$A$42,0)),1)</f>
        <v>1.0840000000000001</v>
      </c>
      <c r="T675" s="27">
        <f>IFERROR(INDEX(Parametros!$B$21:$B$26,MATCH(I675,Parametros!$A$21:$A$26,0)),0)</f>
        <v>0</v>
      </c>
      <c r="U675" s="28">
        <f t="shared" si="41"/>
        <v>1.95</v>
      </c>
      <c r="V675" s="9">
        <f>IF(U675&gt;=Parametros!$B$14,4,IF(U675&gt;=Parametros!$B$13,3,IF(U675&gt;=Parametros!$B$12,2,1)))</f>
        <v>1</v>
      </c>
      <c r="W675" s="5">
        <f>MAX(V675,IF(K675=5,Parametros!$B$17,0),IF(P675="Sim",Parametros!$B$18,0))</f>
        <v>1</v>
      </c>
      <c r="X675" s="5" t="str">
        <f t="shared" si="42"/>
        <v>Baixa</v>
      </c>
      <c r="Y675" s="29">
        <f t="shared" si="43"/>
        <v>1019.199325</v>
      </c>
      <c r="Z675" s="4" t="s">
        <v>659</v>
      </c>
    </row>
    <row r="676" spans="1:26" ht="28.05" customHeight="1" x14ac:dyDescent="0.3">
      <c r="A676" s="5">
        <f t="shared" si="40"/>
        <v>672</v>
      </c>
      <c r="B676" s="23" t="s">
        <v>1542</v>
      </c>
      <c r="C676" s="17" t="s">
        <v>1543</v>
      </c>
      <c r="D676" s="4" t="s">
        <v>50</v>
      </c>
      <c r="E676" s="4" t="s">
        <v>345</v>
      </c>
      <c r="F676" s="4" t="s">
        <v>539</v>
      </c>
      <c r="G676" s="4" t="s">
        <v>171</v>
      </c>
      <c r="H676" s="4" t="s">
        <v>172</v>
      </c>
      <c r="I676" s="24" t="s">
        <v>152</v>
      </c>
      <c r="J676" s="15">
        <v>3</v>
      </c>
      <c r="K676" s="15">
        <v>1</v>
      </c>
      <c r="L676" s="15">
        <v>3</v>
      </c>
      <c r="M676" s="15">
        <v>3</v>
      </c>
      <c r="N676" s="15">
        <v>1</v>
      </c>
      <c r="O676" s="15">
        <v>1</v>
      </c>
      <c r="P676" s="15" t="s">
        <v>415</v>
      </c>
      <c r="Q676" s="23" t="s">
        <v>838</v>
      </c>
      <c r="R676" s="25">
        <f>ROUND((K676*Parametros!$B$4+L676*Parametros!$B$5+M676*Parametros!$B$6+N676*Parametros!$B$7+O676*Parametros!$B$8)/SUM(Parametros!$B$4:$B$8),2)</f>
        <v>1.8</v>
      </c>
      <c r="S676" s="26">
        <f>IFERROR(INDEX(Parametros!$F$33:$F$42,MATCH(D676,Parametros!$A$33:$A$42,0)),1)</f>
        <v>1.0840000000000001</v>
      </c>
      <c r="T676" s="27">
        <f>IFERROR(INDEX(Parametros!$B$21:$B$26,MATCH(I676,Parametros!$A$21:$A$26,0)),0)</f>
        <v>0</v>
      </c>
      <c r="U676" s="28">
        <f t="shared" si="41"/>
        <v>1.95</v>
      </c>
      <c r="V676" s="9">
        <f>IF(U676&gt;=Parametros!$B$14,4,IF(U676&gt;=Parametros!$B$13,3,IF(U676&gt;=Parametros!$B$12,2,1)))</f>
        <v>1</v>
      </c>
      <c r="W676" s="5">
        <f>MAX(V676,IF(K676=5,Parametros!$B$17,0),IF(P676="Sim",Parametros!$B$18,0))</f>
        <v>1</v>
      </c>
      <c r="X676" s="5" t="str">
        <f t="shared" si="42"/>
        <v>Baixa</v>
      </c>
      <c r="Y676" s="29">
        <f t="shared" si="43"/>
        <v>1019.199324</v>
      </c>
      <c r="Z676" s="4" t="s">
        <v>659</v>
      </c>
    </row>
    <row r="677" spans="1:26" ht="28.05" customHeight="1" x14ac:dyDescent="0.3">
      <c r="A677" s="5">
        <f t="shared" si="40"/>
        <v>673</v>
      </c>
      <c r="B677" s="23" t="s">
        <v>1544</v>
      </c>
      <c r="C677" s="17" t="s">
        <v>1545</v>
      </c>
      <c r="D677" s="4" t="s">
        <v>50</v>
      </c>
      <c r="E677" s="4" t="s">
        <v>64</v>
      </c>
      <c r="F677" s="4" t="s">
        <v>64</v>
      </c>
      <c r="G677" s="4" t="s">
        <v>112</v>
      </c>
      <c r="H677" s="4" t="s">
        <v>108</v>
      </c>
      <c r="I677" s="24" t="s">
        <v>131</v>
      </c>
      <c r="J677" s="15">
        <v>3</v>
      </c>
      <c r="K677" s="15">
        <v>2</v>
      </c>
      <c r="L677" s="15">
        <v>2</v>
      </c>
      <c r="M677" s="15">
        <v>1</v>
      </c>
      <c r="N677" s="15">
        <v>1</v>
      </c>
      <c r="O677" s="15">
        <v>3</v>
      </c>
      <c r="P677" s="15" t="s">
        <v>415</v>
      </c>
      <c r="Q677" s="23" t="s">
        <v>838</v>
      </c>
      <c r="R677" s="25">
        <f>ROUND((K677*Parametros!$B$4+L677*Parametros!$B$5+M677*Parametros!$B$6+N677*Parametros!$B$7+O677*Parametros!$B$8)/SUM(Parametros!$B$4:$B$8),2)</f>
        <v>1.8</v>
      </c>
      <c r="S677" s="26">
        <f>IFERROR(INDEX(Parametros!$F$33:$F$42,MATCH(D677,Parametros!$A$33:$A$42,0)),1)</f>
        <v>1.0840000000000001</v>
      </c>
      <c r="T677" s="27">
        <f>IFERROR(INDEX(Parametros!$B$21:$B$26,MATCH(I677,Parametros!$A$21:$A$26,0)),0)</f>
        <v>0</v>
      </c>
      <c r="U677" s="28">
        <f t="shared" si="41"/>
        <v>1.95</v>
      </c>
      <c r="V677" s="9">
        <f>IF(U677&gt;=Parametros!$B$14,4,IF(U677&gt;=Parametros!$B$13,3,IF(U677&gt;=Parametros!$B$12,2,1)))</f>
        <v>1</v>
      </c>
      <c r="W677" s="5">
        <f>MAX(V677,IF(K677=5,Parametros!$B$17,0),IF(P677="Sim",Parametros!$B$18,0))</f>
        <v>1</v>
      </c>
      <c r="X677" s="5" t="str">
        <f t="shared" si="42"/>
        <v>Baixa</v>
      </c>
      <c r="Y677" s="29">
        <f t="shared" si="43"/>
        <v>1019.199323</v>
      </c>
      <c r="Z677" s="4" t="s">
        <v>659</v>
      </c>
    </row>
    <row r="678" spans="1:26" ht="28.05" customHeight="1" x14ac:dyDescent="0.3">
      <c r="A678" s="5">
        <f t="shared" si="40"/>
        <v>674</v>
      </c>
      <c r="B678" s="23" t="s">
        <v>1546</v>
      </c>
      <c r="C678" s="17" t="s">
        <v>1547</v>
      </c>
      <c r="D678" s="4" t="s">
        <v>50</v>
      </c>
      <c r="E678" s="4" t="s">
        <v>1548</v>
      </c>
      <c r="F678" s="4" t="s">
        <v>1548</v>
      </c>
      <c r="G678" s="4" t="s">
        <v>171</v>
      </c>
      <c r="H678" s="4" t="s">
        <v>172</v>
      </c>
      <c r="I678" s="24" t="s">
        <v>152</v>
      </c>
      <c r="J678" s="15">
        <v>3</v>
      </c>
      <c r="K678" s="15">
        <v>1</v>
      </c>
      <c r="L678" s="15">
        <v>3</v>
      </c>
      <c r="M678" s="15">
        <v>3</v>
      </c>
      <c r="N678" s="15">
        <v>1</v>
      </c>
      <c r="O678" s="15">
        <v>1</v>
      </c>
      <c r="P678" s="15" t="s">
        <v>415</v>
      </c>
      <c r="Q678" s="23" t="s">
        <v>838</v>
      </c>
      <c r="R678" s="25">
        <f>ROUND((K678*Parametros!$B$4+L678*Parametros!$B$5+M678*Parametros!$B$6+N678*Parametros!$B$7+O678*Parametros!$B$8)/SUM(Parametros!$B$4:$B$8),2)</f>
        <v>1.8</v>
      </c>
      <c r="S678" s="26">
        <f>IFERROR(INDEX(Parametros!$F$33:$F$42,MATCH(D678,Parametros!$A$33:$A$42,0)),1)</f>
        <v>1.0840000000000001</v>
      </c>
      <c r="T678" s="27">
        <f>IFERROR(INDEX(Parametros!$B$21:$B$26,MATCH(I678,Parametros!$A$21:$A$26,0)),0)</f>
        <v>0</v>
      </c>
      <c r="U678" s="28">
        <f t="shared" si="41"/>
        <v>1.95</v>
      </c>
      <c r="V678" s="9">
        <f>IF(U678&gt;=Parametros!$B$14,4,IF(U678&gt;=Parametros!$B$13,3,IF(U678&gt;=Parametros!$B$12,2,1)))</f>
        <v>1</v>
      </c>
      <c r="W678" s="5">
        <f>MAX(V678,IF(K678=5,Parametros!$B$17,0),IF(P678="Sim",Parametros!$B$18,0))</f>
        <v>1</v>
      </c>
      <c r="X678" s="5" t="str">
        <f t="shared" si="42"/>
        <v>Baixa</v>
      </c>
      <c r="Y678" s="29">
        <f t="shared" si="43"/>
        <v>1019.1993220000001</v>
      </c>
      <c r="Z678" s="4" t="s">
        <v>659</v>
      </c>
    </row>
    <row r="679" spans="1:26" ht="28.05" customHeight="1" x14ac:dyDescent="0.3">
      <c r="A679" s="5">
        <f t="shared" si="40"/>
        <v>675</v>
      </c>
      <c r="B679" s="23" t="s">
        <v>1549</v>
      </c>
      <c r="C679" s="17" t="s">
        <v>1550</v>
      </c>
      <c r="D679" s="4" t="s">
        <v>50</v>
      </c>
      <c r="E679" s="4" t="s">
        <v>86</v>
      </c>
      <c r="F679" s="4" t="s">
        <v>1551</v>
      </c>
      <c r="G679" s="4" t="s">
        <v>112</v>
      </c>
      <c r="H679" s="4" t="s">
        <v>108</v>
      </c>
      <c r="I679" s="24" t="s">
        <v>152</v>
      </c>
      <c r="J679" s="15">
        <v>3</v>
      </c>
      <c r="K679" s="15">
        <v>1</v>
      </c>
      <c r="L679" s="15">
        <v>3</v>
      </c>
      <c r="M679" s="15">
        <v>3</v>
      </c>
      <c r="N679" s="15">
        <v>1</v>
      </c>
      <c r="O679" s="15">
        <v>1</v>
      </c>
      <c r="P679" s="15" t="s">
        <v>415</v>
      </c>
      <c r="Q679" s="23" t="s">
        <v>838</v>
      </c>
      <c r="R679" s="25">
        <f>ROUND((K679*Parametros!$B$4+L679*Parametros!$B$5+M679*Parametros!$B$6+N679*Parametros!$B$7+O679*Parametros!$B$8)/SUM(Parametros!$B$4:$B$8),2)</f>
        <v>1.8</v>
      </c>
      <c r="S679" s="26">
        <f>IFERROR(INDEX(Parametros!$F$33:$F$42,MATCH(D679,Parametros!$A$33:$A$42,0)),1)</f>
        <v>1.0840000000000001</v>
      </c>
      <c r="T679" s="27">
        <f>IFERROR(INDEX(Parametros!$B$21:$B$26,MATCH(I679,Parametros!$A$21:$A$26,0)),0)</f>
        <v>0</v>
      </c>
      <c r="U679" s="28">
        <f t="shared" si="41"/>
        <v>1.95</v>
      </c>
      <c r="V679" s="9">
        <f>IF(U679&gt;=Parametros!$B$14,4,IF(U679&gt;=Parametros!$B$13,3,IF(U679&gt;=Parametros!$B$12,2,1)))</f>
        <v>1</v>
      </c>
      <c r="W679" s="5">
        <f>MAX(V679,IF(K679=5,Parametros!$B$17,0),IF(P679="Sim",Parametros!$B$18,0))</f>
        <v>1</v>
      </c>
      <c r="X679" s="5" t="str">
        <f t="shared" si="42"/>
        <v>Baixa</v>
      </c>
      <c r="Y679" s="29">
        <f t="shared" si="43"/>
        <v>1019.1993210000001</v>
      </c>
      <c r="Z679" s="4" t="s">
        <v>659</v>
      </c>
    </row>
    <row r="680" spans="1:26" ht="28.05" customHeight="1" x14ac:dyDescent="0.3">
      <c r="A680" s="5">
        <f t="shared" si="40"/>
        <v>676</v>
      </c>
      <c r="B680" s="23" t="s">
        <v>1552</v>
      </c>
      <c r="C680" s="17" t="s">
        <v>1553</v>
      </c>
      <c r="D680" s="4" t="s">
        <v>50</v>
      </c>
      <c r="E680" s="4" t="s">
        <v>75</v>
      </c>
      <c r="F680" s="4" t="s">
        <v>75</v>
      </c>
      <c r="G680" s="4" t="s">
        <v>171</v>
      </c>
      <c r="H680" s="4" t="s">
        <v>172</v>
      </c>
      <c r="I680" s="24" t="s">
        <v>131</v>
      </c>
      <c r="J680" s="15">
        <v>3</v>
      </c>
      <c r="K680" s="15">
        <v>1</v>
      </c>
      <c r="L680" s="15">
        <v>3</v>
      </c>
      <c r="M680" s="15">
        <v>3</v>
      </c>
      <c r="N680" s="15">
        <v>1</v>
      </c>
      <c r="O680" s="15">
        <v>1</v>
      </c>
      <c r="P680" s="15" t="s">
        <v>415</v>
      </c>
      <c r="Q680" s="23" t="s">
        <v>838</v>
      </c>
      <c r="R680" s="25">
        <f>ROUND((K680*Parametros!$B$4+L680*Parametros!$B$5+M680*Parametros!$B$6+N680*Parametros!$B$7+O680*Parametros!$B$8)/SUM(Parametros!$B$4:$B$8),2)</f>
        <v>1.8</v>
      </c>
      <c r="S680" s="26">
        <f>IFERROR(INDEX(Parametros!$F$33:$F$42,MATCH(D680,Parametros!$A$33:$A$42,0)),1)</f>
        <v>1.0840000000000001</v>
      </c>
      <c r="T680" s="27">
        <f>IFERROR(INDEX(Parametros!$B$21:$B$26,MATCH(I680,Parametros!$A$21:$A$26,0)),0)</f>
        <v>0</v>
      </c>
      <c r="U680" s="28">
        <f t="shared" si="41"/>
        <v>1.95</v>
      </c>
      <c r="V680" s="9">
        <f>IF(U680&gt;=Parametros!$B$14,4,IF(U680&gt;=Parametros!$B$13,3,IF(U680&gt;=Parametros!$B$12,2,1)))</f>
        <v>1</v>
      </c>
      <c r="W680" s="5">
        <f>MAX(V680,IF(K680=5,Parametros!$B$17,0),IF(P680="Sim",Parametros!$B$18,0))</f>
        <v>1</v>
      </c>
      <c r="X680" s="5" t="str">
        <f t="shared" si="42"/>
        <v>Baixa</v>
      </c>
      <c r="Y680" s="29">
        <f t="shared" si="43"/>
        <v>1019.1993200000001</v>
      </c>
      <c r="Z680" s="4" t="s">
        <v>659</v>
      </c>
    </row>
    <row r="681" spans="1:26" ht="28.05" customHeight="1" x14ac:dyDescent="0.3">
      <c r="A681" s="5">
        <f t="shared" si="40"/>
        <v>677</v>
      </c>
      <c r="B681" s="23" t="s">
        <v>1554</v>
      </c>
      <c r="C681" s="17" t="s">
        <v>1555</v>
      </c>
      <c r="D681" s="4" t="s">
        <v>50</v>
      </c>
      <c r="E681" s="4" t="s">
        <v>1175</v>
      </c>
      <c r="F681" s="4" t="s">
        <v>1176</v>
      </c>
      <c r="G681" s="4" t="s">
        <v>171</v>
      </c>
      <c r="H681" s="4" t="s">
        <v>172</v>
      </c>
      <c r="I681" s="24" t="s">
        <v>152</v>
      </c>
      <c r="J681" s="15">
        <v>3</v>
      </c>
      <c r="K681" s="15">
        <v>1</v>
      </c>
      <c r="L681" s="15">
        <v>3</v>
      </c>
      <c r="M681" s="15">
        <v>3</v>
      </c>
      <c r="N681" s="15">
        <v>1</v>
      </c>
      <c r="O681" s="15">
        <v>1</v>
      </c>
      <c r="P681" s="15" t="s">
        <v>415</v>
      </c>
      <c r="Q681" s="23" t="s">
        <v>838</v>
      </c>
      <c r="R681" s="25">
        <f>ROUND((K681*Parametros!$B$4+L681*Parametros!$B$5+M681*Parametros!$B$6+N681*Parametros!$B$7+O681*Parametros!$B$8)/SUM(Parametros!$B$4:$B$8),2)</f>
        <v>1.8</v>
      </c>
      <c r="S681" s="26">
        <f>IFERROR(INDEX(Parametros!$F$33:$F$42,MATCH(D681,Parametros!$A$33:$A$42,0)),1)</f>
        <v>1.0840000000000001</v>
      </c>
      <c r="T681" s="27">
        <f>IFERROR(INDEX(Parametros!$B$21:$B$26,MATCH(I681,Parametros!$A$21:$A$26,0)),0)</f>
        <v>0</v>
      </c>
      <c r="U681" s="28">
        <f t="shared" si="41"/>
        <v>1.95</v>
      </c>
      <c r="V681" s="9">
        <f>IF(U681&gt;=Parametros!$B$14,4,IF(U681&gt;=Parametros!$B$13,3,IF(U681&gt;=Parametros!$B$12,2,1)))</f>
        <v>1</v>
      </c>
      <c r="W681" s="5">
        <f>MAX(V681,IF(K681=5,Parametros!$B$17,0),IF(P681="Sim",Parametros!$B$18,0))</f>
        <v>1</v>
      </c>
      <c r="X681" s="5" t="str">
        <f t="shared" si="42"/>
        <v>Baixa</v>
      </c>
      <c r="Y681" s="29">
        <f t="shared" si="43"/>
        <v>1019.1993190000001</v>
      </c>
      <c r="Z681" s="4" t="s">
        <v>659</v>
      </c>
    </row>
    <row r="682" spans="1:26" ht="28.05" customHeight="1" x14ac:dyDescent="0.3">
      <c r="A682" s="5">
        <f t="shared" si="40"/>
        <v>678</v>
      </c>
      <c r="B682" s="23" t="s">
        <v>1556</v>
      </c>
      <c r="C682" s="17" t="s">
        <v>1557</v>
      </c>
      <c r="D682" s="4" t="s">
        <v>50</v>
      </c>
      <c r="E682" s="4" t="s">
        <v>1175</v>
      </c>
      <c r="F682" s="4" t="s">
        <v>1176</v>
      </c>
      <c r="G682" s="4" t="s">
        <v>171</v>
      </c>
      <c r="H682" s="4" t="s">
        <v>172</v>
      </c>
      <c r="I682" s="24" t="s">
        <v>152</v>
      </c>
      <c r="J682" s="15">
        <v>3</v>
      </c>
      <c r="K682" s="15">
        <v>1</v>
      </c>
      <c r="L682" s="15">
        <v>3</v>
      </c>
      <c r="M682" s="15">
        <v>3</v>
      </c>
      <c r="N682" s="15">
        <v>1</v>
      </c>
      <c r="O682" s="15">
        <v>1</v>
      </c>
      <c r="P682" s="15" t="s">
        <v>415</v>
      </c>
      <c r="Q682" s="23" t="s">
        <v>838</v>
      </c>
      <c r="R682" s="25">
        <f>ROUND((K682*Parametros!$B$4+L682*Parametros!$B$5+M682*Parametros!$B$6+N682*Parametros!$B$7+O682*Parametros!$B$8)/SUM(Parametros!$B$4:$B$8),2)</f>
        <v>1.8</v>
      </c>
      <c r="S682" s="26">
        <f>IFERROR(INDEX(Parametros!$F$33:$F$42,MATCH(D682,Parametros!$A$33:$A$42,0)),1)</f>
        <v>1.0840000000000001</v>
      </c>
      <c r="T682" s="27">
        <f>IFERROR(INDEX(Parametros!$B$21:$B$26,MATCH(I682,Parametros!$A$21:$A$26,0)),0)</f>
        <v>0</v>
      </c>
      <c r="U682" s="28">
        <f t="shared" si="41"/>
        <v>1.95</v>
      </c>
      <c r="V682" s="9">
        <f>IF(U682&gt;=Parametros!$B$14,4,IF(U682&gt;=Parametros!$B$13,3,IF(U682&gt;=Parametros!$B$12,2,1)))</f>
        <v>1</v>
      </c>
      <c r="W682" s="5">
        <f>MAX(V682,IF(K682=5,Parametros!$B$17,0),IF(P682="Sim",Parametros!$B$18,0))</f>
        <v>1</v>
      </c>
      <c r="X682" s="5" t="str">
        <f t="shared" si="42"/>
        <v>Baixa</v>
      </c>
      <c r="Y682" s="29">
        <f t="shared" si="43"/>
        <v>1019.1993180000001</v>
      </c>
      <c r="Z682" s="4" t="s">
        <v>659</v>
      </c>
    </row>
    <row r="683" spans="1:26" ht="28.05" customHeight="1" x14ac:dyDescent="0.3">
      <c r="A683" s="5">
        <f t="shared" si="40"/>
        <v>679</v>
      </c>
      <c r="B683" s="23" t="s">
        <v>1558</v>
      </c>
      <c r="C683" s="17" t="s">
        <v>1559</v>
      </c>
      <c r="D683" s="4" t="s">
        <v>50</v>
      </c>
      <c r="E683" s="4" t="s">
        <v>70</v>
      </c>
      <c r="F683" s="4" t="s">
        <v>70</v>
      </c>
      <c r="G683" s="4" t="s">
        <v>171</v>
      </c>
      <c r="H683" s="4" t="s">
        <v>172</v>
      </c>
      <c r="I683" s="24" t="s">
        <v>152</v>
      </c>
      <c r="J683" s="15">
        <v>3</v>
      </c>
      <c r="K683" s="15">
        <v>1</v>
      </c>
      <c r="L683" s="15">
        <v>3</v>
      </c>
      <c r="M683" s="15">
        <v>3</v>
      </c>
      <c r="N683" s="15">
        <v>1</v>
      </c>
      <c r="O683" s="15">
        <v>1</v>
      </c>
      <c r="P683" s="15" t="s">
        <v>415</v>
      </c>
      <c r="Q683" s="23" t="s">
        <v>838</v>
      </c>
      <c r="R683" s="25">
        <f>ROUND((K683*Parametros!$B$4+L683*Parametros!$B$5+M683*Parametros!$B$6+N683*Parametros!$B$7+O683*Parametros!$B$8)/SUM(Parametros!$B$4:$B$8),2)</f>
        <v>1.8</v>
      </c>
      <c r="S683" s="26">
        <f>IFERROR(INDEX(Parametros!$F$33:$F$42,MATCH(D683,Parametros!$A$33:$A$42,0)),1)</f>
        <v>1.0840000000000001</v>
      </c>
      <c r="T683" s="27">
        <f>IFERROR(INDEX(Parametros!$B$21:$B$26,MATCH(I683,Parametros!$A$21:$A$26,0)),0)</f>
        <v>0</v>
      </c>
      <c r="U683" s="28">
        <f t="shared" si="41"/>
        <v>1.95</v>
      </c>
      <c r="V683" s="9">
        <f>IF(U683&gt;=Parametros!$B$14,4,IF(U683&gt;=Parametros!$B$13,3,IF(U683&gt;=Parametros!$B$12,2,1)))</f>
        <v>1</v>
      </c>
      <c r="W683" s="5">
        <f>MAX(V683,IF(K683=5,Parametros!$B$17,0),IF(P683="Sim",Parametros!$B$18,0))</f>
        <v>1</v>
      </c>
      <c r="X683" s="5" t="str">
        <f t="shared" si="42"/>
        <v>Baixa</v>
      </c>
      <c r="Y683" s="29">
        <f t="shared" si="43"/>
        <v>1019.1993170000001</v>
      </c>
      <c r="Z683" s="4" t="s">
        <v>659</v>
      </c>
    </row>
    <row r="684" spans="1:26" ht="28.05" customHeight="1" x14ac:dyDescent="0.3">
      <c r="A684" s="5">
        <f t="shared" si="40"/>
        <v>680</v>
      </c>
      <c r="B684" s="23" t="s">
        <v>1560</v>
      </c>
      <c r="C684" s="17" t="s">
        <v>1561</v>
      </c>
      <c r="D684" s="4" t="s">
        <v>50</v>
      </c>
      <c r="E684" s="4" t="s">
        <v>70</v>
      </c>
      <c r="F684" s="4" t="s">
        <v>70</v>
      </c>
      <c r="G684" s="4" t="s">
        <v>184</v>
      </c>
      <c r="H684" s="4" t="s">
        <v>185</v>
      </c>
      <c r="I684" s="24" t="s">
        <v>152</v>
      </c>
      <c r="J684" s="15">
        <v>3</v>
      </c>
      <c r="K684" s="15">
        <v>1</v>
      </c>
      <c r="L684" s="15">
        <v>3</v>
      </c>
      <c r="M684" s="15">
        <v>3</v>
      </c>
      <c r="N684" s="15">
        <v>1</v>
      </c>
      <c r="O684" s="15">
        <v>1</v>
      </c>
      <c r="P684" s="15" t="s">
        <v>415</v>
      </c>
      <c r="Q684" s="23" t="s">
        <v>838</v>
      </c>
      <c r="R684" s="25">
        <f>ROUND((K684*Parametros!$B$4+L684*Parametros!$B$5+M684*Parametros!$B$6+N684*Parametros!$B$7+O684*Parametros!$B$8)/SUM(Parametros!$B$4:$B$8),2)</f>
        <v>1.8</v>
      </c>
      <c r="S684" s="26">
        <f>IFERROR(INDEX(Parametros!$F$33:$F$42,MATCH(D684,Parametros!$A$33:$A$42,0)),1)</f>
        <v>1.0840000000000001</v>
      </c>
      <c r="T684" s="27">
        <f>IFERROR(INDEX(Parametros!$B$21:$B$26,MATCH(I684,Parametros!$A$21:$A$26,0)),0)</f>
        <v>0</v>
      </c>
      <c r="U684" s="28">
        <f t="shared" si="41"/>
        <v>1.95</v>
      </c>
      <c r="V684" s="9">
        <f>IF(U684&gt;=Parametros!$B$14,4,IF(U684&gt;=Parametros!$B$13,3,IF(U684&gt;=Parametros!$B$12,2,1)))</f>
        <v>1</v>
      </c>
      <c r="W684" s="5">
        <f>MAX(V684,IF(K684=5,Parametros!$B$17,0),IF(P684="Sim",Parametros!$B$18,0))</f>
        <v>1</v>
      </c>
      <c r="X684" s="5" t="str">
        <f t="shared" si="42"/>
        <v>Baixa</v>
      </c>
      <c r="Y684" s="29">
        <f t="shared" si="43"/>
        <v>1019.1993160000001</v>
      </c>
      <c r="Z684" s="4" t="s">
        <v>659</v>
      </c>
    </row>
    <row r="685" spans="1:26" ht="28.05" customHeight="1" x14ac:dyDescent="0.3">
      <c r="A685" s="5">
        <f t="shared" si="40"/>
        <v>681</v>
      </c>
      <c r="B685" s="23" t="s">
        <v>1562</v>
      </c>
      <c r="C685" s="17" t="s">
        <v>1563</v>
      </c>
      <c r="D685" s="4" t="s">
        <v>50</v>
      </c>
      <c r="E685" s="4" t="s">
        <v>1175</v>
      </c>
      <c r="F685" s="4" t="s">
        <v>1176</v>
      </c>
      <c r="G685" s="4" t="s">
        <v>171</v>
      </c>
      <c r="H685" s="4" t="s">
        <v>172</v>
      </c>
      <c r="I685" s="24" t="s">
        <v>152</v>
      </c>
      <c r="J685" s="15">
        <v>3</v>
      </c>
      <c r="K685" s="15">
        <v>1</v>
      </c>
      <c r="L685" s="15">
        <v>3</v>
      </c>
      <c r="M685" s="15">
        <v>3</v>
      </c>
      <c r="N685" s="15">
        <v>1</v>
      </c>
      <c r="O685" s="15">
        <v>1</v>
      </c>
      <c r="P685" s="15" t="s">
        <v>415</v>
      </c>
      <c r="Q685" s="23" t="s">
        <v>838</v>
      </c>
      <c r="R685" s="25">
        <f>ROUND((K685*Parametros!$B$4+L685*Parametros!$B$5+M685*Parametros!$B$6+N685*Parametros!$B$7+O685*Parametros!$B$8)/SUM(Parametros!$B$4:$B$8),2)</f>
        <v>1.8</v>
      </c>
      <c r="S685" s="26">
        <f>IFERROR(INDEX(Parametros!$F$33:$F$42,MATCH(D685,Parametros!$A$33:$A$42,0)),1)</f>
        <v>1.0840000000000001</v>
      </c>
      <c r="T685" s="27">
        <f>IFERROR(INDEX(Parametros!$B$21:$B$26,MATCH(I685,Parametros!$A$21:$A$26,0)),0)</f>
        <v>0</v>
      </c>
      <c r="U685" s="28">
        <f t="shared" si="41"/>
        <v>1.95</v>
      </c>
      <c r="V685" s="9">
        <f>IF(U685&gt;=Parametros!$B$14,4,IF(U685&gt;=Parametros!$B$13,3,IF(U685&gt;=Parametros!$B$12,2,1)))</f>
        <v>1</v>
      </c>
      <c r="W685" s="5">
        <f>MAX(V685,IF(K685=5,Parametros!$B$17,0),IF(P685="Sim",Parametros!$B$18,0))</f>
        <v>1</v>
      </c>
      <c r="X685" s="5" t="str">
        <f t="shared" si="42"/>
        <v>Baixa</v>
      </c>
      <c r="Y685" s="29">
        <f t="shared" si="43"/>
        <v>1019.1993150000001</v>
      </c>
      <c r="Z685" s="4" t="s">
        <v>659</v>
      </c>
    </row>
    <row r="686" spans="1:26" ht="28.05" customHeight="1" x14ac:dyDescent="0.3">
      <c r="A686" s="5">
        <f t="shared" si="40"/>
        <v>682</v>
      </c>
      <c r="B686" s="23" t="s">
        <v>1564</v>
      </c>
      <c r="C686" s="17" t="s">
        <v>1565</v>
      </c>
      <c r="D686" s="4" t="s">
        <v>50</v>
      </c>
      <c r="E686" s="4" t="s">
        <v>345</v>
      </c>
      <c r="F686" s="4" t="s">
        <v>345</v>
      </c>
      <c r="G686" s="4" t="s">
        <v>171</v>
      </c>
      <c r="H686" s="4" t="s">
        <v>172</v>
      </c>
      <c r="I686" s="24" t="s">
        <v>152</v>
      </c>
      <c r="J686" s="15">
        <v>3</v>
      </c>
      <c r="K686" s="15">
        <v>1</v>
      </c>
      <c r="L686" s="15">
        <v>3</v>
      </c>
      <c r="M686" s="15">
        <v>3</v>
      </c>
      <c r="N686" s="15">
        <v>1</v>
      </c>
      <c r="O686" s="15">
        <v>1</v>
      </c>
      <c r="P686" s="15" t="s">
        <v>415</v>
      </c>
      <c r="Q686" s="23" t="s">
        <v>838</v>
      </c>
      <c r="R686" s="25">
        <f>ROUND((K686*Parametros!$B$4+L686*Parametros!$B$5+M686*Parametros!$B$6+N686*Parametros!$B$7+O686*Parametros!$B$8)/SUM(Parametros!$B$4:$B$8),2)</f>
        <v>1.8</v>
      </c>
      <c r="S686" s="26">
        <f>IFERROR(INDEX(Parametros!$F$33:$F$42,MATCH(D686,Parametros!$A$33:$A$42,0)),1)</f>
        <v>1.0840000000000001</v>
      </c>
      <c r="T686" s="27">
        <f>IFERROR(INDEX(Parametros!$B$21:$B$26,MATCH(I686,Parametros!$A$21:$A$26,0)),0)</f>
        <v>0</v>
      </c>
      <c r="U686" s="28">
        <f t="shared" si="41"/>
        <v>1.95</v>
      </c>
      <c r="V686" s="9">
        <f>IF(U686&gt;=Parametros!$B$14,4,IF(U686&gt;=Parametros!$B$13,3,IF(U686&gt;=Parametros!$B$12,2,1)))</f>
        <v>1</v>
      </c>
      <c r="W686" s="5">
        <f>MAX(V686,IF(K686=5,Parametros!$B$17,0),IF(P686="Sim",Parametros!$B$18,0))</f>
        <v>1</v>
      </c>
      <c r="X686" s="5" t="str">
        <f t="shared" si="42"/>
        <v>Baixa</v>
      </c>
      <c r="Y686" s="29">
        <f t="shared" si="43"/>
        <v>1019.1993140000001</v>
      </c>
      <c r="Z686" s="4" t="s">
        <v>659</v>
      </c>
    </row>
    <row r="687" spans="1:26" ht="28.05" customHeight="1" x14ac:dyDescent="0.3">
      <c r="A687" s="5">
        <f t="shared" si="40"/>
        <v>683</v>
      </c>
      <c r="B687" s="23" t="s">
        <v>1566</v>
      </c>
      <c r="C687" s="17" t="s">
        <v>1567</v>
      </c>
      <c r="D687" s="4" t="s">
        <v>50</v>
      </c>
      <c r="E687" s="4" t="s">
        <v>345</v>
      </c>
      <c r="F687" s="4" t="s">
        <v>345</v>
      </c>
      <c r="G687" s="4" t="s">
        <v>171</v>
      </c>
      <c r="H687" s="4" t="s">
        <v>172</v>
      </c>
      <c r="I687" s="24" t="s">
        <v>152</v>
      </c>
      <c r="J687" s="15">
        <v>3</v>
      </c>
      <c r="K687" s="15">
        <v>1</v>
      </c>
      <c r="L687" s="15">
        <v>3</v>
      </c>
      <c r="M687" s="15">
        <v>3</v>
      </c>
      <c r="N687" s="15">
        <v>1</v>
      </c>
      <c r="O687" s="15">
        <v>1</v>
      </c>
      <c r="P687" s="15" t="s">
        <v>415</v>
      </c>
      <c r="Q687" s="23" t="s">
        <v>838</v>
      </c>
      <c r="R687" s="25">
        <f>ROUND((K687*Parametros!$B$4+L687*Parametros!$B$5+M687*Parametros!$B$6+N687*Parametros!$B$7+O687*Parametros!$B$8)/SUM(Parametros!$B$4:$B$8),2)</f>
        <v>1.8</v>
      </c>
      <c r="S687" s="26">
        <f>IFERROR(INDEX(Parametros!$F$33:$F$42,MATCH(D687,Parametros!$A$33:$A$42,0)),1)</f>
        <v>1.0840000000000001</v>
      </c>
      <c r="T687" s="27">
        <f>IFERROR(INDEX(Parametros!$B$21:$B$26,MATCH(I687,Parametros!$A$21:$A$26,0)),0)</f>
        <v>0</v>
      </c>
      <c r="U687" s="28">
        <f t="shared" si="41"/>
        <v>1.95</v>
      </c>
      <c r="V687" s="9">
        <f>IF(U687&gt;=Parametros!$B$14,4,IF(U687&gt;=Parametros!$B$13,3,IF(U687&gt;=Parametros!$B$12,2,1)))</f>
        <v>1</v>
      </c>
      <c r="W687" s="5">
        <f>MAX(V687,IF(K687=5,Parametros!$B$17,0),IF(P687="Sim",Parametros!$B$18,0))</f>
        <v>1</v>
      </c>
      <c r="X687" s="5" t="str">
        <f t="shared" si="42"/>
        <v>Baixa</v>
      </c>
      <c r="Y687" s="29">
        <f t="shared" si="43"/>
        <v>1019.1993130000001</v>
      </c>
      <c r="Z687" s="4" t="s">
        <v>659</v>
      </c>
    </row>
    <row r="688" spans="1:26" ht="28.05" customHeight="1" x14ac:dyDescent="0.3">
      <c r="A688" s="5">
        <f t="shared" si="40"/>
        <v>684</v>
      </c>
      <c r="B688" s="23" t="s">
        <v>1568</v>
      </c>
      <c r="C688" s="17" t="s">
        <v>1569</v>
      </c>
      <c r="D688" s="4" t="s">
        <v>50</v>
      </c>
      <c r="E688" s="4" t="s">
        <v>67</v>
      </c>
      <c r="F688" s="4" t="s">
        <v>67</v>
      </c>
      <c r="G688" s="4" t="s">
        <v>112</v>
      </c>
      <c r="H688" s="4" t="s">
        <v>108</v>
      </c>
      <c r="I688" s="24" t="s">
        <v>152</v>
      </c>
      <c r="J688" s="15">
        <v>3</v>
      </c>
      <c r="K688" s="15">
        <v>1</v>
      </c>
      <c r="L688" s="15">
        <v>3</v>
      </c>
      <c r="M688" s="15">
        <v>3</v>
      </c>
      <c r="N688" s="15">
        <v>1</v>
      </c>
      <c r="O688" s="15">
        <v>1</v>
      </c>
      <c r="P688" s="15" t="s">
        <v>415</v>
      </c>
      <c r="Q688" s="23" t="s">
        <v>838</v>
      </c>
      <c r="R688" s="25">
        <f>ROUND((K688*Parametros!$B$4+L688*Parametros!$B$5+M688*Parametros!$B$6+N688*Parametros!$B$7+O688*Parametros!$B$8)/SUM(Parametros!$B$4:$B$8),2)</f>
        <v>1.8</v>
      </c>
      <c r="S688" s="26">
        <f>IFERROR(INDEX(Parametros!$F$33:$F$42,MATCH(D688,Parametros!$A$33:$A$42,0)),1)</f>
        <v>1.0840000000000001</v>
      </c>
      <c r="T688" s="27">
        <f>IFERROR(INDEX(Parametros!$B$21:$B$26,MATCH(I688,Parametros!$A$21:$A$26,0)),0)</f>
        <v>0</v>
      </c>
      <c r="U688" s="28">
        <f t="shared" si="41"/>
        <v>1.95</v>
      </c>
      <c r="V688" s="9">
        <f>IF(U688&gt;=Parametros!$B$14,4,IF(U688&gt;=Parametros!$B$13,3,IF(U688&gt;=Parametros!$B$12,2,1)))</f>
        <v>1</v>
      </c>
      <c r="W688" s="5">
        <f>MAX(V688,IF(K688=5,Parametros!$B$17,0),IF(P688="Sim",Parametros!$B$18,0))</f>
        <v>1</v>
      </c>
      <c r="X688" s="5" t="str">
        <f t="shared" si="42"/>
        <v>Baixa</v>
      </c>
      <c r="Y688" s="29">
        <f t="shared" si="43"/>
        <v>1019.1993120000001</v>
      </c>
      <c r="Z688" s="4" t="s">
        <v>659</v>
      </c>
    </row>
    <row r="689" spans="1:26" ht="28.05" customHeight="1" x14ac:dyDescent="0.3">
      <c r="A689" s="5">
        <f t="shared" si="40"/>
        <v>685</v>
      </c>
      <c r="B689" s="23" t="s">
        <v>1570</v>
      </c>
      <c r="C689" s="17" t="s">
        <v>1571</v>
      </c>
      <c r="D689" s="4" t="s">
        <v>50</v>
      </c>
      <c r="E689" s="4" t="s">
        <v>75</v>
      </c>
      <c r="F689" s="4" t="s">
        <v>75</v>
      </c>
      <c r="G689" s="4" t="s">
        <v>184</v>
      </c>
      <c r="H689" s="4" t="s">
        <v>185</v>
      </c>
      <c r="I689" s="24" t="s">
        <v>131</v>
      </c>
      <c r="J689" s="15">
        <v>3</v>
      </c>
      <c r="K689" s="15">
        <v>2</v>
      </c>
      <c r="L689" s="15">
        <v>2</v>
      </c>
      <c r="M689" s="15">
        <v>1</v>
      </c>
      <c r="N689" s="15">
        <v>1</v>
      </c>
      <c r="O689" s="15">
        <v>3</v>
      </c>
      <c r="P689" s="15" t="s">
        <v>415</v>
      </c>
      <c r="Q689" s="23" t="s">
        <v>838</v>
      </c>
      <c r="R689" s="25">
        <f>ROUND((K689*Parametros!$B$4+L689*Parametros!$B$5+M689*Parametros!$B$6+N689*Parametros!$B$7+O689*Parametros!$B$8)/SUM(Parametros!$B$4:$B$8),2)</f>
        <v>1.8</v>
      </c>
      <c r="S689" s="26">
        <f>IFERROR(INDEX(Parametros!$F$33:$F$42,MATCH(D689,Parametros!$A$33:$A$42,0)),1)</f>
        <v>1.0840000000000001</v>
      </c>
      <c r="T689" s="27">
        <f>IFERROR(INDEX(Parametros!$B$21:$B$26,MATCH(I689,Parametros!$A$21:$A$26,0)),0)</f>
        <v>0</v>
      </c>
      <c r="U689" s="28">
        <f t="shared" si="41"/>
        <v>1.95</v>
      </c>
      <c r="V689" s="9">
        <f>IF(U689&gt;=Parametros!$B$14,4,IF(U689&gt;=Parametros!$B$13,3,IF(U689&gt;=Parametros!$B$12,2,1)))</f>
        <v>1</v>
      </c>
      <c r="W689" s="5">
        <f>MAX(V689,IF(K689=5,Parametros!$B$17,0),IF(P689="Sim",Parametros!$B$18,0))</f>
        <v>1</v>
      </c>
      <c r="X689" s="5" t="str">
        <f t="shared" si="42"/>
        <v>Baixa</v>
      </c>
      <c r="Y689" s="29">
        <f t="shared" si="43"/>
        <v>1019.1993110000001</v>
      </c>
      <c r="Z689" s="4" t="s">
        <v>659</v>
      </c>
    </row>
    <row r="690" spans="1:26" ht="28.05" customHeight="1" x14ac:dyDescent="0.3">
      <c r="A690" s="5">
        <f t="shared" si="40"/>
        <v>686</v>
      </c>
      <c r="B690" s="23" t="s">
        <v>1572</v>
      </c>
      <c r="C690" s="17" t="s">
        <v>1573</v>
      </c>
      <c r="D690" s="4" t="s">
        <v>50</v>
      </c>
      <c r="E690" s="4" t="s">
        <v>1574</v>
      </c>
      <c r="F690" s="4" t="s">
        <v>1574</v>
      </c>
      <c r="G690" s="4" t="s">
        <v>171</v>
      </c>
      <c r="H690" s="4" t="s">
        <v>172</v>
      </c>
      <c r="I690" s="24" t="s">
        <v>131</v>
      </c>
      <c r="J690" s="15">
        <v>3</v>
      </c>
      <c r="K690" s="15">
        <v>2</v>
      </c>
      <c r="L690" s="15">
        <v>2</v>
      </c>
      <c r="M690" s="15">
        <v>1</v>
      </c>
      <c r="N690" s="15">
        <v>1</v>
      </c>
      <c r="O690" s="15">
        <v>3</v>
      </c>
      <c r="P690" s="15" t="s">
        <v>415</v>
      </c>
      <c r="Q690" s="23" t="s">
        <v>838</v>
      </c>
      <c r="R690" s="25">
        <f>ROUND((K690*Parametros!$B$4+L690*Parametros!$B$5+M690*Parametros!$B$6+N690*Parametros!$B$7+O690*Parametros!$B$8)/SUM(Parametros!$B$4:$B$8),2)</f>
        <v>1.8</v>
      </c>
      <c r="S690" s="26">
        <f>IFERROR(INDEX(Parametros!$F$33:$F$42,MATCH(D690,Parametros!$A$33:$A$42,0)),1)</f>
        <v>1.0840000000000001</v>
      </c>
      <c r="T690" s="27">
        <f>IFERROR(INDEX(Parametros!$B$21:$B$26,MATCH(I690,Parametros!$A$21:$A$26,0)),0)</f>
        <v>0</v>
      </c>
      <c r="U690" s="28">
        <f t="shared" si="41"/>
        <v>1.95</v>
      </c>
      <c r="V690" s="9">
        <f>IF(U690&gt;=Parametros!$B$14,4,IF(U690&gt;=Parametros!$B$13,3,IF(U690&gt;=Parametros!$B$12,2,1)))</f>
        <v>1</v>
      </c>
      <c r="W690" s="5">
        <f>MAX(V690,IF(K690=5,Parametros!$B$17,0),IF(P690="Sim",Parametros!$B$18,0))</f>
        <v>1</v>
      </c>
      <c r="X690" s="5" t="str">
        <f t="shared" si="42"/>
        <v>Baixa</v>
      </c>
      <c r="Y690" s="29">
        <f t="shared" si="43"/>
        <v>1019.1993100000001</v>
      </c>
      <c r="Z690" s="4" t="s">
        <v>659</v>
      </c>
    </row>
    <row r="691" spans="1:26" ht="28.05" customHeight="1" x14ac:dyDescent="0.3">
      <c r="A691" s="5">
        <f t="shared" si="40"/>
        <v>687</v>
      </c>
      <c r="B691" s="23" t="s">
        <v>1575</v>
      </c>
      <c r="C691" s="17" t="s">
        <v>1576</v>
      </c>
      <c r="D691" s="4" t="s">
        <v>50</v>
      </c>
      <c r="E691" s="4" t="s">
        <v>75</v>
      </c>
      <c r="F691" s="4" t="s">
        <v>75</v>
      </c>
      <c r="G691" s="4" t="s">
        <v>171</v>
      </c>
      <c r="H691" s="4" t="s">
        <v>172</v>
      </c>
      <c r="I691" s="24" t="s">
        <v>152</v>
      </c>
      <c r="J691" s="15">
        <v>3</v>
      </c>
      <c r="K691" s="15">
        <v>1</v>
      </c>
      <c r="L691" s="15">
        <v>3</v>
      </c>
      <c r="M691" s="15">
        <v>3</v>
      </c>
      <c r="N691" s="15">
        <v>1</v>
      </c>
      <c r="O691" s="15">
        <v>1</v>
      </c>
      <c r="P691" s="15" t="s">
        <v>415</v>
      </c>
      <c r="Q691" s="23" t="s">
        <v>838</v>
      </c>
      <c r="R691" s="25">
        <f>ROUND((K691*Parametros!$B$4+L691*Parametros!$B$5+M691*Parametros!$B$6+N691*Parametros!$B$7+O691*Parametros!$B$8)/SUM(Parametros!$B$4:$B$8),2)</f>
        <v>1.8</v>
      </c>
      <c r="S691" s="26">
        <f>IFERROR(INDEX(Parametros!$F$33:$F$42,MATCH(D691,Parametros!$A$33:$A$42,0)),1)</f>
        <v>1.0840000000000001</v>
      </c>
      <c r="T691" s="27">
        <f>IFERROR(INDEX(Parametros!$B$21:$B$26,MATCH(I691,Parametros!$A$21:$A$26,0)),0)</f>
        <v>0</v>
      </c>
      <c r="U691" s="28">
        <f t="shared" si="41"/>
        <v>1.95</v>
      </c>
      <c r="V691" s="9">
        <f>IF(U691&gt;=Parametros!$B$14,4,IF(U691&gt;=Parametros!$B$13,3,IF(U691&gt;=Parametros!$B$12,2,1)))</f>
        <v>1</v>
      </c>
      <c r="W691" s="5">
        <f>MAX(V691,IF(K691=5,Parametros!$B$17,0),IF(P691="Sim",Parametros!$B$18,0))</f>
        <v>1</v>
      </c>
      <c r="X691" s="5" t="str">
        <f t="shared" si="42"/>
        <v>Baixa</v>
      </c>
      <c r="Y691" s="29">
        <f t="shared" si="43"/>
        <v>1019.1993090000001</v>
      </c>
      <c r="Z691" s="4" t="s">
        <v>659</v>
      </c>
    </row>
    <row r="692" spans="1:26" ht="28.05" customHeight="1" x14ac:dyDescent="0.3">
      <c r="A692" s="5">
        <f t="shared" si="40"/>
        <v>688</v>
      </c>
      <c r="B692" s="23" t="s">
        <v>1577</v>
      </c>
      <c r="C692" s="17" t="s">
        <v>1578</v>
      </c>
      <c r="D692" s="4" t="s">
        <v>50</v>
      </c>
      <c r="E692" s="4" t="s">
        <v>65</v>
      </c>
      <c r="F692" s="4" t="s">
        <v>65</v>
      </c>
      <c r="G692" s="4" t="s">
        <v>171</v>
      </c>
      <c r="H692" s="4" t="s">
        <v>172</v>
      </c>
      <c r="I692" s="24" t="s">
        <v>954</v>
      </c>
      <c r="J692" s="15">
        <v>2</v>
      </c>
      <c r="K692" s="15">
        <v>2</v>
      </c>
      <c r="L692" s="15">
        <v>3</v>
      </c>
      <c r="M692" s="15">
        <v>2</v>
      </c>
      <c r="N692" s="15">
        <v>1</v>
      </c>
      <c r="O692" s="15">
        <v>2</v>
      </c>
      <c r="P692" s="15" t="s">
        <v>415</v>
      </c>
      <c r="Q692" s="23" t="s">
        <v>838</v>
      </c>
      <c r="R692" s="25">
        <f>ROUND((K692*Parametros!$B$4+L692*Parametros!$B$5+M692*Parametros!$B$6+N692*Parametros!$B$7+O692*Parametros!$B$8)/SUM(Parametros!$B$4:$B$8),2)</f>
        <v>2.0499999999999998</v>
      </c>
      <c r="S692" s="26">
        <f>IFERROR(INDEX(Parametros!$F$33:$F$42,MATCH(D692,Parametros!$A$33:$A$42,0)),1)</f>
        <v>1.0840000000000001</v>
      </c>
      <c r="T692" s="27">
        <f>IFERROR(INDEX(Parametros!$B$21:$B$26,MATCH(I692,Parametros!$A$21:$A$26,0)),0)</f>
        <v>-0.3</v>
      </c>
      <c r="U692" s="28">
        <f t="shared" si="41"/>
        <v>1.92</v>
      </c>
      <c r="V692" s="9">
        <f>IF(U692&gt;=Parametros!$B$14,4,IF(U692&gt;=Parametros!$B$13,3,IF(U692&gt;=Parametros!$B$12,2,1)))</f>
        <v>1</v>
      </c>
      <c r="W692" s="5">
        <f>MAX(V692,IF(K692=5,Parametros!$B$17,0),IF(P692="Sim",Parametros!$B$18,0))</f>
        <v>1</v>
      </c>
      <c r="X692" s="5" t="str">
        <f t="shared" si="42"/>
        <v>Baixa</v>
      </c>
      <c r="Y692" s="29">
        <f t="shared" si="43"/>
        <v>1018.999308</v>
      </c>
      <c r="Z692" s="4" t="s">
        <v>1213</v>
      </c>
    </row>
    <row r="693" spans="1:26" ht="28.05" customHeight="1" x14ac:dyDescent="0.3">
      <c r="A693" s="5">
        <f t="shared" si="40"/>
        <v>689</v>
      </c>
      <c r="B693" s="23" t="s">
        <v>1579</v>
      </c>
      <c r="C693" s="17" t="s">
        <v>1580</v>
      </c>
      <c r="D693" s="4" t="s">
        <v>54</v>
      </c>
      <c r="E693" s="4" t="s">
        <v>72</v>
      </c>
      <c r="F693" s="4" t="s">
        <v>72</v>
      </c>
      <c r="G693" s="4" t="s">
        <v>171</v>
      </c>
      <c r="H693" s="4" t="s">
        <v>172</v>
      </c>
      <c r="I693" s="24" t="s">
        <v>152</v>
      </c>
      <c r="J693" s="15">
        <v>1</v>
      </c>
      <c r="K693" s="15">
        <v>2</v>
      </c>
      <c r="L693" s="15">
        <v>2</v>
      </c>
      <c r="M693" s="15">
        <v>2</v>
      </c>
      <c r="N693" s="15">
        <v>2</v>
      </c>
      <c r="O693" s="15">
        <v>1</v>
      </c>
      <c r="P693" s="15" t="s">
        <v>415</v>
      </c>
      <c r="Q693" s="23" t="s">
        <v>416</v>
      </c>
      <c r="R693" s="25">
        <f>ROUND((K693*Parametros!$B$4+L693*Parametros!$B$5+M693*Parametros!$B$6+N693*Parametros!$B$7+O693*Parametros!$B$8)/SUM(Parametros!$B$4:$B$8),2)</f>
        <v>1.85</v>
      </c>
      <c r="S693" s="26">
        <f>IFERROR(INDEX(Parametros!$F$33:$F$42,MATCH(D693,Parametros!$A$33:$A$42,0)),1)</f>
        <v>1.034</v>
      </c>
      <c r="T693" s="27">
        <f>IFERROR(INDEX(Parametros!$B$21:$B$26,MATCH(I693,Parametros!$A$21:$A$26,0)),0)</f>
        <v>0</v>
      </c>
      <c r="U693" s="28">
        <f t="shared" si="41"/>
        <v>1.91</v>
      </c>
      <c r="V693" s="9">
        <f>IF(U693&gt;=Parametros!$B$14,4,IF(U693&gt;=Parametros!$B$13,3,IF(U693&gt;=Parametros!$B$12,2,1)))</f>
        <v>1</v>
      </c>
      <c r="W693" s="5">
        <f>MAX(V693,IF(K693=5,Parametros!$B$17,0),IF(P693="Sim",Parametros!$B$18,0))</f>
        <v>1</v>
      </c>
      <c r="X693" s="5" t="str">
        <f t="shared" si="42"/>
        <v>Baixa</v>
      </c>
      <c r="Y693" s="29">
        <f t="shared" si="43"/>
        <v>1018.999307</v>
      </c>
      <c r="Z693" s="4" t="s">
        <v>659</v>
      </c>
    </row>
    <row r="694" spans="1:26" ht="28.05" customHeight="1" x14ac:dyDescent="0.3">
      <c r="A694" s="5">
        <f t="shared" si="40"/>
        <v>690</v>
      </c>
      <c r="B694" s="23" t="s">
        <v>1581</v>
      </c>
      <c r="C694" s="17" t="s">
        <v>1582</v>
      </c>
      <c r="D694" s="4" t="s">
        <v>51</v>
      </c>
      <c r="E694" s="4" t="s">
        <v>64</v>
      </c>
      <c r="F694" s="4" t="s">
        <v>64</v>
      </c>
      <c r="G694" s="4" t="s">
        <v>171</v>
      </c>
      <c r="H694" s="4" t="s">
        <v>172</v>
      </c>
      <c r="I694" s="24" t="s">
        <v>131</v>
      </c>
      <c r="J694" s="15">
        <v>2</v>
      </c>
      <c r="K694" s="15">
        <v>2</v>
      </c>
      <c r="L694" s="15">
        <v>2</v>
      </c>
      <c r="M694" s="15">
        <v>1</v>
      </c>
      <c r="N694" s="15">
        <v>1</v>
      </c>
      <c r="O694" s="15">
        <v>3</v>
      </c>
      <c r="P694" s="15" t="s">
        <v>415</v>
      </c>
      <c r="Q694" s="23" t="s">
        <v>838</v>
      </c>
      <c r="R694" s="25">
        <f>ROUND((K694*Parametros!$B$4+L694*Parametros!$B$5+M694*Parametros!$B$6+N694*Parametros!$B$7+O694*Parametros!$B$8)/SUM(Parametros!$B$4:$B$8),2)</f>
        <v>1.8</v>
      </c>
      <c r="S694" s="26">
        <f>IFERROR(INDEX(Parametros!$F$33:$F$42,MATCH(D694,Parametros!$A$33:$A$42,0)),1)</f>
        <v>1.0669999999999999</v>
      </c>
      <c r="T694" s="27">
        <f>IFERROR(INDEX(Parametros!$B$21:$B$26,MATCH(I694,Parametros!$A$21:$A$26,0)),0)</f>
        <v>0</v>
      </c>
      <c r="U694" s="28">
        <f t="shared" si="41"/>
        <v>1.92</v>
      </c>
      <c r="V694" s="9">
        <f>IF(U694&gt;=Parametros!$B$14,4,IF(U694&gt;=Parametros!$B$13,3,IF(U694&gt;=Parametros!$B$12,2,1)))</f>
        <v>1</v>
      </c>
      <c r="W694" s="5">
        <f>MAX(V694,IF(K694=5,Parametros!$B$17,0),IF(P694="Sim",Parametros!$B$18,0))</f>
        <v>1</v>
      </c>
      <c r="X694" s="5" t="str">
        <f t="shared" si="42"/>
        <v>Baixa</v>
      </c>
      <c r="Y694" s="29">
        <f t="shared" si="43"/>
        <v>1018.999306</v>
      </c>
      <c r="Z694" s="4" t="s">
        <v>659</v>
      </c>
    </row>
    <row r="695" spans="1:26" ht="28.05" customHeight="1" x14ac:dyDescent="0.3">
      <c r="A695" s="5">
        <f t="shared" si="40"/>
        <v>691</v>
      </c>
      <c r="B695" s="23" t="s">
        <v>1583</v>
      </c>
      <c r="C695" s="17" t="s">
        <v>1584</v>
      </c>
      <c r="D695" s="4" t="s">
        <v>51</v>
      </c>
      <c r="E695" s="4" t="s">
        <v>194</v>
      </c>
      <c r="F695" s="4" t="s">
        <v>194</v>
      </c>
      <c r="G695" s="4" t="s">
        <v>171</v>
      </c>
      <c r="H695" s="4" t="s">
        <v>172</v>
      </c>
      <c r="I695" s="24" t="s">
        <v>152</v>
      </c>
      <c r="J695" s="15">
        <v>3</v>
      </c>
      <c r="K695" s="15">
        <v>1</v>
      </c>
      <c r="L695" s="15">
        <v>3</v>
      </c>
      <c r="M695" s="15">
        <v>3</v>
      </c>
      <c r="N695" s="15">
        <v>1</v>
      </c>
      <c r="O695" s="15">
        <v>1</v>
      </c>
      <c r="P695" s="15" t="s">
        <v>415</v>
      </c>
      <c r="Q695" s="23" t="s">
        <v>838</v>
      </c>
      <c r="R695" s="25">
        <f>ROUND((K695*Parametros!$B$4+L695*Parametros!$B$5+M695*Parametros!$B$6+N695*Parametros!$B$7+O695*Parametros!$B$8)/SUM(Parametros!$B$4:$B$8),2)</f>
        <v>1.8</v>
      </c>
      <c r="S695" s="26">
        <f>IFERROR(INDEX(Parametros!$F$33:$F$42,MATCH(D695,Parametros!$A$33:$A$42,0)),1)</f>
        <v>1.0669999999999999</v>
      </c>
      <c r="T695" s="27">
        <f>IFERROR(INDEX(Parametros!$B$21:$B$26,MATCH(I695,Parametros!$A$21:$A$26,0)),0)</f>
        <v>0</v>
      </c>
      <c r="U695" s="28">
        <f t="shared" si="41"/>
        <v>1.92</v>
      </c>
      <c r="V695" s="9">
        <f>IF(U695&gt;=Parametros!$B$14,4,IF(U695&gt;=Parametros!$B$13,3,IF(U695&gt;=Parametros!$B$12,2,1)))</f>
        <v>1</v>
      </c>
      <c r="W695" s="5">
        <f>MAX(V695,IF(K695=5,Parametros!$B$17,0),IF(P695="Sim",Parametros!$B$18,0))</f>
        <v>1</v>
      </c>
      <c r="X695" s="5" t="str">
        <f t="shared" si="42"/>
        <v>Baixa</v>
      </c>
      <c r="Y695" s="29">
        <f t="shared" si="43"/>
        <v>1018.8993050000001</v>
      </c>
      <c r="Z695" s="4" t="s">
        <v>659</v>
      </c>
    </row>
    <row r="696" spans="1:26" ht="28.05" customHeight="1" x14ac:dyDescent="0.3">
      <c r="A696" s="5">
        <f t="shared" si="40"/>
        <v>692</v>
      </c>
      <c r="B696" s="23" t="s">
        <v>1585</v>
      </c>
      <c r="C696" s="17" t="s">
        <v>1586</v>
      </c>
      <c r="D696" s="4" t="s">
        <v>51</v>
      </c>
      <c r="E696" s="4" t="s">
        <v>170</v>
      </c>
      <c r="F696" s="4" t="s">
        <v>170</v>
      </c>
      <c r="G696" s="4" t="s">
        <v>171</v>
      </c>
      <c r="H696" s="4" t="s">
        <v>172</v>
      </c>
      <c r="I696" s="24" t="s">
        <v>131</v>
      </c>
      <c r="J696" s="15">
        <v>3</v>
      </c>
      <c r="K696" s="15">
        <v>2</v>
      </c>
      <c r="L696" s="15">
        <v>2</v>
      </c>
      <c r="M696" s="15">
        <v>1</v>
      </c>
      <c r="N696" s="15">
        <v>1</v>
      </c>
      <c r="O696" s="15">
        <v>3</v>
      </c>
      <c r="P696" s="15" t="s">
        <v>415</v>
      </c>
      <c r="Q696" s="23" t="s">
        <v>838</v>
      </c>
      <c r="R696" s="25">
        <f>ROUND((K696*Parametros!$B$4+L696*Parametros!$B$5+M696*Parametros!$B$6+N696*Parametros!$B$7+O696*Parametros!$B$8)/SUM(Parametros!$B$4:$B$8),2)</f>
        <v>1.8</v>
      </c>
      <c r="S696" s="26">
        <f>IFERROR(INDEX(Parametros!$F$33:$F$42,MATCH(D696,Parametros!$A$33:$A$42,0)),1)</f>
        <v>1.0669999999999999</v>
      </c>
      <c r="T696" s="27">
        <f>IFERROR(INDEX(Parametros!$B$21:$B$26,MATCH(I696,Parametros!$A$21:$A$26,0)),0)</f>
        <v>0</v>
      </c>
      <c r="U696" s="28">
        <f t="shared" si="41"/>
        <v>1.92</v>
      </c>
      <c r="V696" s="9">
        <f>IF(U696&gt;=Parametros!$B$14,4,IF(U696&gt;=Parametros!$B$13,3,IF(U696&gt;=Parametros!$B$12,2,1)))</f>
        <v>1</v>
      </c>
      <c r="W696" s="5">
        <f>MAX(V696,IF(K696=5,Parametros!$B$17,0),IF(P696="Sim",Parametros!$B$18,0))</f>
        <v>1</v>
      </c>
      <c r="X696" s="5" t="str">
        <f t="shared" si="42"/>
        <v>Baixa</v>
      </c>
      <c r="Y696" s="29">
        <f t="shared" si="43"/>
        <v>1018.8993040000001</v>
      </c>
      <c r="Z696" s="4" t="s">
        <v>659</v>
      </c>
    </row>
    <row r="697" spans="1:26" ht="28.05" customHeight="1" x14ac:dyDescent="0.3">
      <c r="A697" s="5">
        <f t="shared" si="40"/>
        <v>693</v>
      </c>
      <c r="B697" s="23" t="s">
        <v>1587</v>
      </c>
      <c r="C697" s="17" t="s">
        <v>1588</v>
      </c>
      <c r="D697" s="4" t="s">
        <v>54</v>
      </c>
      <c r="E697" s="4" t="s">
        <v>69</v>
      </c>
      <c r="F697" s="4" t="s">
        <v>427</v>
      </c>
      <c r="G697" s="4" t="s">
        <v>171</v>
      </c>
      <c r="H697" s="4" t="s">
        <v>172</v>
      </c>
      <c r="I697" s="24" t="s">
        <v>152</v>
      </c>
      <c r="J697" s="15">
        <v>2</v>
      </c>
      <c r="K697" s="15">
        <v>2</v>
      </c>
      <c r="L697" s="15">
        <v>2</v>
      </c>
      <c r="M697" s="15">
        <v>2</v>
      </c>
      <c r="N697" s="15">
        <v>2</v>
      </c>
      <c r="O697" s="15">
        <v>1</v>
      </c>
      <c r="P697" s="15" t="s">
        <v>415</v>
      </c>
      <c r="Q697" s="23" t="s">
        <v>416</v>
      </c>
      <c r="R697" s="25">
        <f>ROUND((K697*Parametros!$B$4+L697*Parametros!$B$5+M697*Parametros!$B$6+N697*Parametros!$B$7+O697*Parametros!$B$8)/SUM(Parametros!$B$4:$B$8),2)</f>
        <v>1.85</v>
      </c>
      <c r="S697" s="26">
        <f>IFERROR(INDEX(Parametros!$F$33:$F$42,MATCH(D697,Parametros!$A$33:$A$42,0)),1)</f>
        <v>1.034</v>
      </c>
      <c r="T697" s="27">
        <f>IFERROR(INDEX(Parametros!$B$21:$B$26,MATCH(I697,Parametros!$A$21:$A$26,0)),0)</f>
        <v>0</v>
      </c>
      <c r="U697" s="28">
        <f t="shared" si="41"/>
        <v>1.91</v>
      </c>
      <c r="V697" s="9">
        <f>IF(U697&gt;=Parametros!$B$14,4,IF(U697&gt;=Parametros!$B$13,3,IF(U697&gt;=Parametros!$B$12,2,1)))</f>
        <v>1</v>
      </c>
      <c r="W697" s="5">
        <f>MAX(V697,IF(K697=5,Parametros!$B$17,0),IF(P697="Sim",Parametros!$B$18,0))</f>
        <v>1</v>
      </c>
      <c r="X697" s="5" t="str">
        <f t="shared" si="42"/>
        <v>Baixa</v>
      </c>
      <c r="Y697" s="29">
        <f t="shared" si="43"/>
        <v>1018.899303</v>
      </c>
      <c r="Z697" s="4" t="s">
        <v>659</v>
      </c>
    </row>
    <row r="698" spans="1:26" ht="28.05" customHeight="1" x14ac:dyDescent="0.3">
      <c r="A698" s="5">
        <f t="shared" si="40"/>
        <v>694</v>
      </c>
      <c r="B698" s="23" t="s">
        <v>1589</v>
      </c>
      <c r="C698" s="17" t="s">
        <v>1590</v>
      </c>
      <c r="D698" s="4" t="s">
        <v>54</v>
      </c>
      <c r="E698" s="4" t="s">
        <v>64</v>
      </c>
      <c r="F698" s="4" t="s">
        <v>64</v>
      </c>
      <c r="G698" s="4" t="s">
        <v>171</v>
      </c>
      <c r="H698" s="4" t="s">
        <v>172</v>
      </c>
      <c r="I698" s="24" t="s">
        <v>131</v>
      </c>
      <c r="J698" s="15">
        <v>3</v>
      </c>
      <c r="K698" s="15">
        <v>2</v>
      </c>
      <c r="L698" s="15">
        <v>2</v>
      </c>
      <c r="M698" s="15">
        <v>2</v>
      </c>
      <c r="N698" s="15">
        <v>1</v>
      </c>
      <c r="O698" s="15">
        <v>2</v>
      </c>
      <c r="P698" s="15" t="s">
        <v>415</v>
      </c>
      <c r="Q698" s="23" t="s">
        <v>416</v>
      </c>
      <c r="R698" s="25">
        <f>ROUND((K698*Parametros!$B$4+L698*Parametros!$B$5+M698*Parametros!$B$6+N698*Parametros!$B$7+O698*Parametros!$B$8)/SUM(Parametros!$B$4:$B$8),2)</f>
        <v>1.85</v>
      </c>
      <c r="S698" s="26">
        <f>IFERROR(INDEX(Parametros!$F$33:$F$42,MATCH(D698,Parametros!$A$33:$A$42,0)),1)</f>
        <v>1.034</v>
      </c>
      <c r="T698" s="27">
        <f>IFERROR(INDEX(Parametros!$B$21:$B$26,MATCH(I698,Parametros!$A$21:$A$26,0)),0)</f>
        <v>0</v>
      </c>
      <c r="U698" s="28">
        <f t="shared" si="41"/>
        <v>1.91</v>
      </c>
      <c r="V698" s="9">
        <f>IF(U698&gt;=Parametros!$B$14,4,IF(U698&gt;=Parametros!$B$13,3,IF(U698&gt;=Parametros!$B$12,2,1)))</f>
        <v>1</v>
      </c>
      <c r="W698" s="5">
        <f>MAX(V698,IF(K698=5,Parametros!$B$17,0),IF(P698="Sim",Parametros!$B$18,0))</f>
        <v>1</v>
      </c>
      <c r="X698" s="5" t="str">
        <f t="shared" si="42"/>
        <v>Baixa</v>
      </c>
      <c r="Y698" s="29">
        <f t="shared" si="43"/>
        <v>1018.799302</v>
      </c>
      <c r="Z698" s="4" t="s">
        <v>659</v>
      </c>
    </row>
    <row r="699" spans="1:26" ht="28.05" customHeight="1" x14ac:dyDescent="0.3">
      <c r="A699" s="5">
        <f t="shared" si="40"/>
        <v>695</v>
      </c>
      <c r="B699" s="23" t="s">
        <v>1591</v>
      </c>
      <c r="C699" s="17" t="s">
        <v>1592</v>
      </c>
      <c r="D699" s="4" t="s">
        <v>53</v>
      </c>
      <c r="E699" s="4" t="s">
        <v>64</v>
      </c>
      <c r="F699" s="4" t="s">
        <v>64</v>
      </c>
      <c r="G699" s="4" t="s">
        <v>171</v>
      </c>
      <c r="H699" s="4" t="s">
        <v>172</v>
      </c>
      <c r="I699" s="24" t="s">
        <v>131</v>
      </c>
      <c r="J699" s="15">
        <v>2</v>
      </c>
      <c r="K699" s="15">
        <v>2</v>
      </c>
      <c r="L699" s="15">
        <v>2</v>
      </c>
      <c r="M699" s="15">
        <v>1</v>
      </c>
      <c r="N699" s="15">
        <v>1</v>
      </c>
      <c r="O699" s="15">
        <v>3</v>
      </c>
      <c r="P699" s="15" t="s">
        <v>415</v>
      </c>
      <c r="Q699" s="23" t="s">
        <v>838</v>
      </c>
      <c r="R699" s="25">
        <f>ROUND((K699*Parametros!$B$4+L699*Parametros!$B$5+M699*Parametros!$B$6+N699*Parametros!$B$7+O699*Parametros!$B$8)/SUM(Parametros!$B$4:$B$8),2)</f>
        <v>1.8</v>
      </c>
      <c r="S699" s="26">
        <f>IFERROR(INDEX(Parametros!$F$33:$F$42,MATCH(D699,Parametros!$A$33:$A$42,0)),1)</f>
        <v>1.05</v>
      </c>
      <c r="T699" s="27">
        <f>IFERROR(INDEX(Parametros!$B$21:$B$26,MATCH(I699,Parametros!$A$21:$A$26,0)),0)</f>
        <v>0</v>
      </c>
      <c r="U699" s="28">
        <f t="shared" si="41"/>
        <v>1.89</v>
      </c>
      <c r="V699" s="9">
        <f>IF(U699&gt;=Parametros!$B$14,4,IF(U699&gt;=Parametros!$B$13,3,IF(U699&gt;=Parametros!$B$12,2,1)))</f>
        <v>1</v>
      </c>
      <c r="W699" s="5">
        <f>MAX(V699,IF(K699=5,Parametros!$B$17,0),IF(P699="Sim",Parametros!$B$18,0))</f>
        <v>1</v>
      </c>
      <c r="X699" s="5" t="str">
        <f t="shared" si="42"/>
        <v>Baixa</v>
      </c>
      <c r="Y699" s="29">
        <f t="shared" si="43"/>
        <v>1018.6993009999999</v>
      </c>
      <c r="Z699" s="4" t="s">
        <v>659</v>
      </c>
    </row>
    <row r="700" spans="1:26" ht="28.05" customHeight="1" x14ac:dyDescent="0.3">
      <c r="A700" s="5">
        <f t="shared" si="40"/>
        <v>696</v>
      </c>
      <c r="B700" s="23" t="s">
        <v>1593</v>
      </c>
      <c r="C700" s="17" t="s">
        <v>1594</v>
      </c>
      <c r="D700" s="4" t="s">
        <v>53</v>
      </c>
      <c r="E700" s="4" t="s">
        <v>64</v>
      </c>
      <c r="F700" s="4" t="s">
        <v>64</v>
      </c>
      <c r="G700" s="4" t="s">
        <v>171</v>
      </c>
      <c r="H700" s="4" t="s">
        <v>172</v>
      </c>
      <c r="I700" s="24" t="s">
        <v>131</v>
      </c>
      <c r="J700" s="15">
        <v>2</v>
      </c>
      <c r="K700" s="15">
        <v>2</v>
      </c>
      <c r="L700" s="15">
        <v>2</v>
      </c>
      <c r="M700" s="15">
        <v>1</v>
      </c>
      <c r="N700" s="15">
        <v>1</v>
      </c>
      <c r="O700" s="15">
        <v>3</v>
      </c>
      <c r="P700" s="15" t="s">
        <v>415</v>
      </c>
      <c r="Q700" s="23" t="s">
        <v>838</v>
      </c>
      <c r="R700" s="25">
        <f>ROUND((K700*Parametros!$B$4+L700*Parametros!$B$5+M700*Parametros!$B$6+N700*Parametros!$B$7+O700*Parametros!$B$8)/SUM(Parametros!$B$4:$B$8),2)</f>
        <v>1.8</v>
      </c>
      <c r="S700" s="26">
        <f>IFERROR(INDEX(Parametros!$F$33:$F$42,MATCH(D700,Parametros!$A$33:$A$42,0)),1)</f>
        <v>1.05</v>
      </c>
      <c r="T700" s="27">
        <f>IFERROR(INDEX(Parametros!$B$21:$B$26,MATCH(I700,Parametros!$A$21:$A$26,0)),0)</f>
        <v>0</v>
      </c>
      <c r="U700" s="28">
        <f t="shared" si="41"/>
        <v>1.89</v>
      </c>
      <c r="V700" s="9">
        <f>IF(U700&gt;=Parametros!$B$14,4,IF(U700&gt;=Parametros!$B$13,3,IF(U700&gt;=Parametros!$B$12,2,1)))</f>
        <v>1</v>
      </c>
      <c r="W700" s="5">
        <f>MAX(V700,IF(K700=5,Parametros!$B$17,0),IF(P700="Sim",Parametros!$B$18,0))</f>
        <v>1</v>
      </c>
      <c r="X700" s="5" t="str">
        <f t="shared" si="42"/>
        <v>Baixa</v>
      </c>
      <c r="Y700" s="29">
        <f t="shared" si="43"/>
        <v>1018.6992999999999</v>
      </c>
      <c r="Z700" s="4" t="s">
        <v>659</v>
      </c>
    </row>
    <row r="701" spans="1:26" ht="28.05" customHeight="1" x14ac:dyDescent="0.3">
      <c r="A701" s="5">
        <f t="shared" si="40"/>
        <v>697</v>
      </c>
      <c r="B701" s="23" t="s">
        <v>1595</v>
      </c>
      <c r="C701" s="17" t="s">
        <v>1596</v>
      </c>
      <c r="D701" s="4" t="s">
        <v>52</v>
      </c>
      <c r="E701" s="4" t="s">
        <v>64</v>
      </c>
      <c r="F701" s="4" t="s">
        <v>64</v>
      </c>
      <c r="G701" s="4" t="s">
        <v>171</v>
      </c>
      <c r="H701" s="4" t="s">
        <v>172</v>
      </c>
      <c r="I701" s="24" t="s">
        <v>131</v>
      </c>
      <c r="J701" s="15">
        <v>2</v>
      </c>
      <c r="K701" s="15">
        <v>2</v>
      </c>
      <c r="L701" s="15">
        <v>2</v>
      </c>
      <c r="M701" s="15">
        <v>1</v>
      </c>
      <c r="N701" s="15">
        <v>1</v>
      </c>
      <c r="O701" s="15">
        <v>3</v>
      </c>
      <c r="P701" s="15" t="s">
        <v>415</v>
      </c>
      <c r="Q701" s="23" t="s">
        <v>838</v>
      </c>
      <c r="R701" s="25">
        <f>ROUND((K701*Parametros!$B$4+L701*Parametros!$B$5+M701*Parametros!$B$6+N701*Parametros!$B$7+O701*Parametros!$B$8)/SUM(Parametros!$B$4:$B$8),2)</f>
        <v>1.8</v>
      </c>
      <c r="S701" s="26">
        <f>IFERROR(INDEX(Parametros!$F$33:$F$42,MATCH(D701,Parametros!$A$33:$A$42,0)),1)</f>
        <v>1.05</v>
      </c>
      <c r="T701" s="27">
        <f>IFERROR(INDEX(Parametros!$B$21:$B$26,MATCH(I701,Parametros!$A$21:$A$26,0)),0)</f>
        <v>0</v>
      </c>
      <c r="U701" s="28">
        <f t="shared" si="41"/>
        <v>1.89</v>
      </c>
      <c r="V701" s="9">
        <f>IF(U701&gt;=Parametros!$B$14,4,IF(U701&gt;=Parametros!$B$13,3,IF(U701&gt;=Parametros!$B$12,2,1)))</f>
        <v>1</v>
      </c>
      <c r="W701" s="5">
        <f>MAX(V701,IF(K701=5,Parametros!$B$17,0),IF(P701="Sim",Parametros!$B$18,0))</f>
        <v>1</v>
      </c>
      <c r="X701" s="5" t="str">
        <f t="shared" si="42"/>
        <v>Baixa</v>
      </c>
      <c r="Y701" s="29">
        <f t="shared" si="43"/>
        <v>1018.6992989999999</v>
      </c>
      <c r="Z701" s="4" t="s">
        <v>659</v>
      </c>
    </row>
    <row r="702" spans="1:26" ht="28.05" customHeight="1" x14ac:dyDescent="0.3">
      <c r="A702" s="5">
        <f t="shared" si="40"/>
        <v>698</v>
      </c>
      <c r="B702" s="23" t="s">
        <v>1597</v>
      </c>
      <c r="C702" s="17" t="s">
        <v>1598</v>
      </c>
      <c r="D702" s="4" t="s">
        <v>52</v>
      </c>
      <c r="E702" s="4" t="s">
        <v>64</v>
      </c>
      <c r="F702" s="4" t="s">
        <v>64</v>
      </c>
      <c r="G702" s="4" t="s">
        <v>184</v>
      </c>
      <c r="H702" s="4" t="s">
        <v>185</v>
      </c>
      <c r="I702" s="24" t="s">
        <v>131</v>
      </c>
      <c r="J702" s="15">
        <v>2</v>
      </c>
      <c r="K702" s="15">
        <v>2</v>
      </c>
      <c r="L702" s="15">
        <v>2</v>
      </c>
      <c r="M702" s="15">
        <v>1</v>
      </c>
      <c r="N702" s="15">
        <v>1</v>
      </c>
      <c r="O702" s="15">
        <v>3</v>
      </c>
      <c r="P702" s="15" t="s">
        <v>415</v>
      </c>
      <c r="Q702" s="23" t="s">
        <v>838</v>
      </c>
      <c r="R702" s="25">
        <f>ROUND((K702*Parametros!$B$4+L702*Parametros!$B$5+M702*Parametros!$B$6+N702*Parametros!$B$7+O702*Parametros!$B$8)/SUM(Parametros!$B$4:$B$8),2)</f>
        <v>1.8</v>
      </c>
      <c r="S702" s="26">
        <f>IFERROR(INDEX(Parametros!$F$33:$F$42,MATCH(D702,Parametros!$A$33:$A$42,0)),1)</f>
        <v>1.05</v>
      </c>
      <c r="T702" s="27">
        <f>IFERROR(INDEX(Parametros!$B$21:$B$26,MATCH(I702,Parametros!$A$21:$A$26,0)),0)</f>
        <v>0</v>
      </c>
      <c r="U702" s="28">
        <f t="shared" si="41"/>
        <v>1.89</v>
      </c>
      <c r="V702" s="9">
        <f>IF(U702&gt;=Parametros!$B$14,4,IF(U702&gt;=Parametros!$B$13,3,IF(U702&gt;=Parametros!$B$12,2,1)))</f>
        <v>1</v>
      </c>
      <c r="W702" s="5">
        <f>MAX(V702,IF(K702=5,Parametros!$B$17,0),IF(P702="Sim",Parametros!$B$18,0))</f>
        <v>1</v>
      </c>
      <c r="X702" s="5" t="str">
        <f t="shared" si="42"/>
        <v>Baixa</v>
      </c>
      <c r="Y702" s="29">
        <f t="shared" si="43"/>
        <v>1018.6992979999999</v>
      </c>
      <c r="Z702" s="4" t="s">
        <v>659</v>
      </c>
    </row>
    <row r="703" spans="1:26" ht="28.05" customHeight="1" x14ac:dyDescent="0.3">
      <c r="A703" s="5">
        <f t="shared" si="40"/>
        <v>699</v>
      </c>
      <c r="B703" s="23" t="s">
        <v>1599</v>
      </c>
      <c r="C703" s="17" t="s">
        <v>1600</v>
      </c>
      <c r="D703" s="4" t="s">
        <v>52</v>
      </c>
      <c r="E703" s="4" t="s">
        <v>66</v>
      </c>
      <c r="F703" s="4" t="s">
        <v>66</v>
      </c>
      <c r="G703" s="4" t="s">
        <v>171</v>
      </c>
      <c r="H703" s="4" t="s">
        <v>172</v>
      </c>
      <c r="I703" s="24" t="s">
        <v>152</v>
      </c>
      <c r="J703" s="15">
        <v>2</v>
      </c>
      <c r="K703" s="15">
        <v>1</v>
      </c>
      <c r="L703" s="15">
        <v>3</v>
      </c>
      <c r="M703" s="15">
        <v>3</v>
      </c>
      <c r="N703" s="15">
        <v>1</v>
      </c>
      <c r="O703" s="15">
        <v>1</v>
      </c>
      <c r="P703" s="15" t="s">
        <v>415</v>
      </c>
      <c r="Q703" s="23" t="s">
        <v>838</v>
      </c>
      <c r="R703" s="25">
        <f>ROUND((K703*Parametros!$B$4+L703*Parametros!$B$5+M703*Parametros!$B$6+N703*Parametros!$B$7+O703*Parametros!$B$8)/SUM(Parametros!$B$4:$B$8),2)</f>
        <v>1.8</v>
      </c>
      <c r="S703" s="26">
        <f>IFERROR(INDEX(Parametros!$F$33:$F$42,MATCH(D703,Parametros!$A$33:$A$42,0)),1)</f>
        <v>1.05</v>
      </c>
      <c r="T703" s="27">
        <f>IFERROR(INDEX(Parametros!$B$21:$B$26,MATCH(I703,Parametros!$A$21:$A$26,0)),0)</f>
        <v>0</v>
      </c>
      <c r="U703" s="28">
        <f t="shared" si="41"/>
        <v>1.89</v>
      </c>
      <c r="V703" s="9">
        <f>IF(U703&gt;=Parametros!$B$14,4,IF(U703&gt;=Parametros!$B$13,3,IF(U703&gt;=Parametros!$B$12,2,1)))</f>
        <v>1</v>
      </c>
      <c r="W703" s="5">
        <f>MAX(V703,IF(K703=5,Parametros!$B$17,0),IF(P703="Sim",Parametros!$B$18,0))</f>
        <v>1</v>
      </c>
      <c r="X703" s="5" t="str">
        <f t="shared" si="42"/>
        <v>Baixa</v>
      </c>
      <c r="Y703" s="29">
        <f t="shared" si="43"/>
        <v>1018.6992969999999</v>
      </c>
      <c r="Z703" s="4" t="s">
        <v>659</v>
      </c>
    </row>
    <row r="704" spans="1:26" ht="28.05" customHeight="1" x14ac:dyDescent="0.3">
      <c r="A704" s="5">
        <f t="shared" si="40"/>
        <v>700</v>
      </c>
      <c r="B704" s="23" t="s">
        <v>1601</v>
      </c>
      <c r="C704" s="17" t="s">
        <v>1602</v>
      </c>
      <c r="D704" s="4" t="s">
        <v>51</v>
      </c>
      <c r="E704" s="4" t="s">
        <v>81</v>
      </c>
      <c r="F704" s="4" t="s">
        <v>81</v>
      </c>
      <c r="G704" s="4" t="s">
        <v>184</v>
      </c>
      <c r="H704" s="4" t="s">
        <v>185</v>
      </c>
      <c r="I704" s="24" t="s">
        <v>954</v>
      </c>
      <c r="J704" s="15">
        <v>2</v>
      </c>
      <c r="K704" s="15">
        <v>2</v>
      </c>
      <c r="L704" s="15">
        <v>3</v>
      </c>
      <c r="M704" s="15">
        <v>2</v>
      </c>
      <c r="N704" s="15">
        <v>1</v>
      </c>
      <c r="O704" s="15">
        <v>2</v>
      </c>
      <c r="P704" s="15" t="s">
        <v>415</v>
      </c>
      <c r="Q704" s="23" t="s">
        <v>838</v>
      </c>
      <c r="R704" s="25">
        <f>ROUND((K704*Parametros!$B$4+L704*Parametros!$B$5+M704*Parametros!$B$6+N704*Parametros!$B$7+O704*Parametros!$B$8)/SUM(Parametros!$B$4:$B$8),2)</f>
        <v>2.0499999999999998</v>
      </c>
      <c r="S704" s="26">
        <f>IFERROR(INDEX(Parametros!$F$33:$F$42,MATCH(D704,Parametros!$A$33:$A$42,0)),1)</f>
        <v>1.0669999999999999</v>
      </c>
      <c r="T704" s="27">
        <f>IFERROR(INDEX(Parametros!$B$21:$B$26,MATCH(I704,Parametros!$A$21:$A$26,0)),0)</f>
        <v>-0.3</v>
      </c>
      <c r="U704" s="28">
        <f t="shared" si="41"/>
        <v>1.89</v>
      </c>
      <c r="V704" s="9">
        <f>IF(U704&gt;=Parametros!$B$14,4,IF(U704&gt;=Parametros!$B$13,3,IF(U704&gt;=Parametros!$B$12,2,1)))</f>
        <v>1</v>
      </c>
      <c r="W704" s="5">
        <f>MAX(V704,IF(K704=5,Parametros!$B$17,0),IF(P704="Sim",Parametros!$B$18,0))</f>
        <v>1</v>
      </c>
      <c r="X704" s="5" t="str">
        <f t="shared" si="42"/>
        <v>Baixa</v>
      </c>
      <c r="Y704" s="29">
        <f t="shared" si="43"/>
        <v>1018.6992959999999</v>
      </c>
      <c r="Z704" s="4" t="s">
        <v>1213</v>
      </c>
    </row>
    <row r="705" spans="1:26" ht="28.05" customHeight="1" x14ac:dyDescent="0.3">
      <c r="A705" s="5">
        <f t="shared" si="40"/>
        <v>701</v>
      </c>
      <c r="B705" s="23" t="s">
        <v>1603</v>
      </c>
      <c r="C705" s="17" t="s">
        <v>1602</v>
      </c>
      <c r="D705" s="4" t="s">
        <v>51</v>
      </c>
      <c r="E705" s="4" t="s">
        <v>85</v>
      </c>
      <c r="F705" s="4" t="s">
        <v>85</v>
      </c>
      <c r="G705" s="4" t="s">
        <v>184</v>
      </c>
      <c r="H705" s="4" t="s">
        <v>185</v>
      </c>
      <c r="I705" s="24" t="s">
        <v>954</v>
      </c>
      <c r="J705" s="15">
        <v>2</v>
      </c>
      <c r="K705" s="15">
        <v>2</v>
      </c>
      <c r="L705" s="15">
        <v>3</v>
      </c>
      <c r="M705" s="15">
        <v>2</v>
      </c>
      <c r="N705" s="15">
        <v>1</v>
      </c>
      <c r="O705" s="15">
        <v>2</v>
      </c>
      <c r="P705" s="15" t="s">
        <v>415</v>
      </c>
      <c r="Q705" s="23" t="s">
        <v>838</v>
      </c>
      <c r="R705" s="25">
        <f>ROUND((K705*Parametros!$B$4+L705*Parametros!$B$5+M705*Parametros!$B$6+N705*Parametros!$B$7+O705*Parametros!$B$8)/SUM(Parametros!$B$4:$B$8),2)</f>
        <v>2.0499999999999998</v>
      </c>
      <c r="S705" s="26">
        <f>IFERROR(INDEX(Parametros!$F$33:$F$42,MATCH(D705,Parametros!$A$33:$A$42,0)),1)</f>
        <v>1.0669999999999999</v>
      </c>
      <c r="T705" s="27">
        <f>IFERROR(INDEX(Parametros!$B$21:$B$26,MATCH(I705,Parametros!$A$21:$A$26,0)),0)</f>
        <v>-0.3</v>
      </c>
      <c r="U705" s="28">
        <f t="shared" si="41"/>
        <v>1.89</v>
      </c>
      <c r="V705" s="9">
        <f>IF(U705&gt;=Parametros!$B$14,4,IF(U705&gt;=Parametros!$B$13,3,IF(U705&gt;=Parametros!$B$12,2,1)))</f>
        <v>1</v>
      </c>
      <c r="W705" s="5">
        <f>MAX(V705,IF(K705=5,Parametros!$B$17,0),IF(P705="Sim",Parametros!$B$18,0))</f>
        <v>1</v>
      </c>
      <c r="X705" s="5" t="str">
        <f t="shared" si="42"/>
        <v>Baixa</v>
      </c>
      <c r="Y705" s="29">
        <f t="shared" si="43"/>
        <v>1018.6992949999999</v>
      </c>
      <c r="Z705" s="4" t="s">
        <v>1213</v>
      </c>
    </row>
    <row r="706" spans="1:26" ht="28.05" customHeight="1" x14ac:dyDescent="0.3">
      <c r="A706" s="5">
        <f t="shared" si="40"/>
        <v>702</v>
      </c>
      <c r="B706" s="23" t="s">
        <v>1604</v>
      </c>
      <c r="C706" s="17" t="s">
        <v>1605</v>
      </c>
      <c r="D706" s="4" t="s">
        <v>53</v>
      </c>
      <c r="E706" s="4" t="s">
        <v>64</v>
      </c>
      <c r="F706" s="4" t="s">
        <v>64</v>
      </c>
      <c r="G706" s="4" t="s">
        <v>171</v>
      </c>
      <c r="H706" s="4" t="s">
        <v>172</v>
      </c>
      <c r="I706" s="24" t="s">
        <v>131</v>
      </c>
      <c r="J706" s="15">
        <v>3</v>
      </c>
      <c r="K706" s="15">
        <v>2</v>
      </c>
      <c r="L706" s="15">
        <v>2</v>
      </c>
      <c r="M706" s="15">
        <v>1</v>
      </c>
      <c r="N706" s="15">
        <v>1</v>
      </c>
      <c r="O706" s="15">
        <v>3</v>
      </c>
      <c r="P706" s="15" t="s">
        <v>415</v>
      </c>
      <c r="Q706" s="23" t="s">
        <v>838</v>
      </c>
      <c r="R706" s="25">
        <f>ROUND((K706*Parametros!$B$4+L706*Parametros!$B$5+M706*Parametros!$B$6+N706*Parametros!$B$7+O706*Parametros!$B$8)/SUM(Parametros!$B$4:$B$8),2)</f>
        <v>1.8</v>
      </c>
      <c r="S706" s="26">
        <f>IFERROR(INDEX(Parametros!$F$33:$F$42,MATCH(D706,Parametros!$A$33:$A$42,0)),1)</f>
        <v>1.05</v>
      </c>
      <c r="T706" s="27">
        <f>IFERROR(INDEX(Parametros!$B$21:$B$26,MATCH(I706,Parametros!$A$21:$A$26,0)),0)</f>
        <v>0</v>
      </c>
      <c r="U706" s="28">
        <f t="shared" si="41"/>
        <v>1.89</v>
      </c>
      <c r="V706" s="9">
        <f>IF(U706&gt;=Parametros!$B$14,4,IF(U706&gt;=Parametros!$B$13,3,IF(U706&gt;=Parametros!$B$12,2,1)))</f>
        <v>1</v>
      </c>
      <c r="W706" s="5">
        <f>MAX(V706,IF(K706=5,Parametros!$B$17,0),IF(P706="Sim",Parametros!$B$18,0))</f>
        <v>1</v>
      </c>
      <c r="X706" s="5" t="str">
        <f t="shared" si="42"/>
        <v>Baixa</v>
      </c>
      <c r="Y706" s="29">
        <f t="shared" si="43"/>
        <v>1018.599294</v>
      </c>
      <c r="Z706" s="4" t="s">
        <v>659</v>
      </c>
    </row>
    <row r="707" spans="1:26" ht="28.05" customHeight="1" x14ac:dyDescent="0.3">
      <c r="A707" s="5">
        <f t="shared" si="40"/>
        <v>703</v>
      </c>
      <c r="B707" s="23" t="s">
        <v>1606</v>
      </c>
      <c r="C707" s="17" t="s">
        <v>1607</v>
      </c>
      <c r="D707" s="4" t="s">
        <v>53</v>
      </c>
      <c r="E707" s="4" t="s">
        <v>63</v>
      </c>
      <c r="F707" s="4" t="s">
        <v>63</v>
      </c>
      <c r="G707" s="4" t="s">
        <v>107</v>
      </c>
      <c r="H707" s="4" t="s">
        <v>108</v>
      </c>
      <c r="I707" s="24" t="s">
        <v>152</v>
      </c>
      <c r="J707" s="15">
        <v>3</v>
      </c>
      <c r="K707" s="15">
        <v>2</v>
      </c>
      <c r="L707" s="15">
        <v>2</v>
      </c>
      <c r="M707" s="15">
        <v>1</v>
      </c>
      <c r="N707" s="15">
        <v>2</v>
      </c>
      <c r="O707" s="15">
        <v>2</v>
      </c>
      <c r="P707" s="15" t="s">
        <v>415</v>
      </c>
      <c r="Q707" s="23" t="s">
        <v>416</v>
      </c>
      <c r="R707" s="25">
        <f>ROUND((K707*Parametros!$B$4+L707*Parametros!$B$5+M707*Parametros!$B$6+N707*Parametros!$B$7+O707*Parametros!$B$8)/SUM(Parametros!$B$4:$B$8),2)</f>
        <v>1.8</v>
      </c>
      <c r="S707" s="26">
        <f>IFERROR(INDEX(Parametros!$F$33:$F$42,MATCH(D707,Parametros!$A$33:$A$42,0)),1)</f>
        <v>1.05</v>
      </c>
      <c r="T707" s="27">
        <f>IFERROR(INDEX(Parametros!$B$21:$B$26,MATCH(I707,Parametros!$A$21:$A$26,0)),0)</f>
        <v>0</v>
      </c>
      <c r="U707" s="28">
        <f t="shared" si="41"/>
        <v>1.89</v>
      </c>
      <c r="V707" s="9">
        <f>IF(U707&gt;=Parametros!$B$14,4,IF(U707&gt;=Parametros!$B$13,3,IF(U707&gt;=Parametros!$B$12,2,1)))</f>
        <v>1</v>
      </c>
      <c r="W707" s="5">
        <f>MAX(V707,IF(K707=5,Parametros!$B$17,0),IF(P707="Sim",Parametros!$B$18,0))</f>
        <v>1</v>
      </c>
      <c r="X707" s="5" t="str">
        <f t="shared" si="42"/>
        <v>Baixa</v>
      </c>
      <c r="Y707" s="29">
        <f t="shared" si="43"/>
        <v>1018.599293</v>
      </c>
      <c r="Z707" s="4" t="s">
        <v>659</v>
      </c>
    </row>
    <row r="708" spans="1:26" ht="28.05" customHeight="1" x14ac:dyDescent="0.3">
      <c r="A708" s="5">
        <f t="shared" si="40"/>
        <v>704</v>
      </c>
      <c r="B708" s="23" t="s">
        <v>1608</v>
      </c>
      <c r="C708" s="17" t="s">
        <v>1609</v>
      </c>
      <c r="D708" s="4" t="s">
        <v>53</v>
      </c>
      <c r="E708" s="4" t="s">
        <v>64</v>
      </c>
      <c r="F708" s="4" t="s">
        <v>64</v>
      </c>
      <c r="G708" s="4" t="s">
        <v>134</v>
      </c>
      <c r="H708" s="4" t="s">
        <v>108</v>
      </c>
      <c r="I708" s="24" t="s">
        <v>131</v>
      </c>
      <c r="J708" s="15">
        <v>3</v>
      </c>
      <c r="K708" s="15">
        <v>2</v>
      </c>
      <c r="L708" s="15">
        <v>2</v>
      </c>
      <c r="M708" s="15">
        <v>1</v>
      </c>
      <c r="N708" s="15">
        <v>2</v>
      </c>
      <c r="O708" s="15">
        <v>2</v>
      </c>
      <c r="P708" s="15" t="s">
        <v>415</v>
      </c>
      <c r="Q708" s="23" t="s">
        <v>416</v>
      </c>
      <c r="R708" s="25">
        <f>ROUND((K708*Parametros!$B$4+L708*Parametros!$B$5+M708*Parametros!$B$6+N708*Parametros!$B$7+O708*Parametros!$B$8)/SUM(Parametros!$B$4:$B$8),2)</f>
        <v>1.8</v>
      </c>
      <c r="S708" s="26">
        <f>IFERROR(INDEX(Parametros!$F$33:$F$42,MATCH(D708,Parametros!$A$33:$A$42,0)),1)</f>
        <v>1.05</v>
      </c>
      <c r="T708" s="27">
        <f>IFERROR(INDEX(Parametros!$B$21:$B$26,MATCH(I708,Parametros!$A$21:$A$26,0)),0)</f>
        <v>0</v>
      </c>
      <c r="U708" s="28">
        <f t="shared" si="41"/>
        <v>1.89</v>
      </c>
      <c r="V708" s="9">
        <f>IF(U708&gt;=Parametros!$B$14,4,IF(U708&gt;=Parametros!$B$13,3,IF(U708&gt;=Parametros!$B$12,2,1)))</f>
        <v>1</v>
      </c>
      <c r="W708" s="5">
        <f>MAX(V708,IF(K708=5,Parametros!$B$17,0),IF(P708="Sim",Parametros!$B$18,0))</f>
        <v>1</v>
      </c>
      <c r="X708" s="5" t="str">
        <f t="shared" si="42"/>
        <v>Baixa</v>
      </c>
      <c r="Y708" s="29">
        <f t="shared" si="43"/>
        <v>1018.599292</v>
      </c>
      <c r="Z708" s="4" t="s">
        <v>659</v>
      </c>
    </row>
    <row r="709" spans="1:26" ht="28.05" customHeight="1" x14ac:dyDescent="0.3">
      <c r="A709" s="5">
        <f t="shared" ref="A709:A772" si="44">IF(Y709="","",COUNTIF($Y$5:$Y$983,"&gt;"&amp;Y709)+1)</f>
        <v>705</v>
      </c>
      <c r="B709" s="23" t="s">
        <v>1610</v>
      </c>
      <c r="C709" s="17" t="s">
        <v>1611</v>
      </c>
      <c r="D709" s="4" t="s">
        <v>52</v>
      </c>
      <c r="E709" s="4" t="s">
        <v>66</v>
      </c>
      <c r="F709" s="4" t="s">
        <v>66</v>
      </c>
      <c r="G709" s="4" t="s">
        <v>171</v>
      </c>
      <c r="H709" s="4" t="s">
        <v>172</v>
      </c>
      <c r="I709" s="24" t="s">
        <v>152</v>
      </c>
      <c r="J709" s="15">
        <v>3</v>
      </c>
      <c r="K709" s="15">
        <v>1</v>
      </c>
      <c r="L709" s="15">
        <v>3</v>
      </c>
      <c r="M709" s="15">
        <v>3</v>
      </c>
      <c r="N709" s="15">
        <v>1</v>
      </c>
      <c r="O709" s="15">
        <v>1</v>
      </c>
      <c r="P709" s="15" t="s">
        <v>415</v>
      </c>
      <c r="Q709" s="23" t="s">
        <v>838</v>
      </c>
      <c r="R709" s="25">
        <f>ROUND((K709*Parametros!$B$4+L709*Parametros!$B$5+M709*Parametros!$B$6+N709*Parametros!$B$7+O709*Parametros!$B$8)/SUM(Parametros!$B$4:$B$8),2)</f>
        <v>1.8</v>
      </c>
      <c r="S709" s="26">
        <f>IFERROR(INDEX(Parametros!$F$33:$F$42,MATCH(D709,Parametros!$A$33:$A$42,0)),1)</f>
        <v>1.05</v>
      </c>
      <c r="T709" s="27">
        <f>IFERROR(INDEX(Parametros!$B$21:$B$26,MATCH(I709,Parametros!$A$21:$A$26,0)),0)</f>
        <v>0</v>
      </c>
      <c r="U709" s="28">
        <f t="shared" ref="U709:U772" si="45">ROUND(R709*S709+T709,2)</f>
        <v>1.89</v>
      </c>
      <c r="V709" s="9">
        <f>IF(U709&gt;=Parametros!$B$14,4,IF(U709&gt;=Parametros!$B$13,3,IF(U709&gt;=Parametros!$B$12,2,1)))</f>
        <v>1</v>
      </c>
      <c r="W709" s="5">
        <f>MAX(V709,IF(K709=5,Parametros!$B$17,0),IF(P709="Sim",Parametros!$B$18,0))</f>
        <v>1</v>
      </c>
      <c r="X709" s="5" t="str">
        <f t="shared" ref="X709:X772" si="46">CHOOSE(W709,"Baixa","Normal","Alta","Urgente")</f>
        <v>Baixa</v>
      </c>
      <c r="Y709" s="29">
        <f t="shared" ref="Y709:Y772" si="47">W709*1000+U709*10-J709/10-ROW()/1000000</f>
        <v>1018.599291</v>
      </c>
      <c r="Z709" s="4" t="s">
        <v>659</v>
      </c>
    </row>
    <row r="710" spans="1:26" ht="28.05" customHeight="1" x14ac:dyDescent="0.3">
      <c r="A710" s="5">
        <f t="shared" si="44"/>
        <v>706</v>
      </c>
      <c r="B710" s="23" t="s">
        <v>1612</v>
      </c>
      <c r="C710" s="17" t="s">
        <v>1613</v>
      </c>
      <c r="D710" s="4" t="s">
        <v>56</v>
      </c>
      <c r="E710" s="4" t="s">
        <v>1351</v>
      </c>
      <c r="F710" s="4" t="s">
        <v>1351</v>
      </c>
      <c r="G710" s="4" t="s">
        <v>134</v>
      </c>
      <c r="H710" s="4" t="s">
        <v>108</v>
      </c>
      <c r="I710" s="24" t="s">
        <v>152</v>
      </c>
      <c r="J710" s="15">
        <v>2</v>
      </c>
      <c r="K710" s="15">
        <v>2</v>
      </c>
      <c r="L710" s="15">
        <v>2</v>
      </c>
      <c r="M710" s="15">
        <v>2</v>
      </c>
      <c r="N710" s="15">
        <v>1</v>
      </c>
      <c r="O710" s="15">
        <v>2</v>
      </c>
      <c r="P710" s="15" t="s">
        <v>415</v>
      </c>
      <c r="Q710" s="23" t="s">
        <v>416</v>
      </c>
      <c r="R710" s="25">
        <f>ROUND((K710*Parametros!$B$4+L710*Parametros!$B$5+M710*Parametros!$B$6+N710*Parametros!$B$7+O710*Parametros!$B$8)/SUM(Parametros!$B$4:$B$8),2)</f>
        <v>1.85</v>
      </c>
      <c r="S710" s="26">
        <f>IFERROR(INDEX(Parametros!$F$33:$F$42,MATCH(D710,Parametros!$A$33:$A$42,0)),1)</f>
        <v>1.0169999999999999</v>
      </c>
      <c r="T710" s="27">
        <f>IFERROR(INDEX(Parametros!$B$21:$B$26,MATCH(I710,Parametros!$A$21:$A$26,0)),0)</f>
        <v>0</v>
      </c>
      <c r="U710" s="28">
        <f t="shared" si="45"/>
        <v>1.88</v>
      </c>
      <c r="V710" s="9">
        <f>IF(U710&gt;=Parametros!$B$14,4,IF(U710&gt;=Parametros!$B$13,3,IF(U710&gt;=Parametros!$B$12,2,1)))</f>
        <v>1</v>
      </c>
      <c r="W710" s="5">
        <f>MAX(V710,IF(K710=5,Parametros!$B$17,0),IF(P710="Sim",Parametros!$B$18,0))</f>
        <v>1</v>
      </c>
      <c r="X710" s="5" t="str">
        <f t="shared" si="46"/>
        <v>Baixa</v>
      </c>
      <c r="Y710" s="29">
        <f t="shared" si="47"/>
        <v>1018.5992899999999</v>
      </c>
      <c r="Z710" s="4" t="s">
        <v>659</v>
      </c>
    </row>
    <row r="711" spans="1:26" ht="28.05" customHeight="1" x14ac:dyDescent="0.3">
      <c r="A711" s="5">
        <f t="shared" si="44"/>
        <v>707</v>
      </c>
      <c r="B711" s="23" t="s">
        <v>1614</v>
      </c>
      <c r="C711" s="17" t="s">
        <v>1615</v>
      </c>
      <c r="D711" s="4" t="s">
        <v>54</v>
      </c>
      <c r="E711" s="4" t="s">
        <v>72</v>
      </c>
      <c r="F711" s="4" t="s">
        <v>72</v>
      </c>
      <c r="G711" s="4" t="s">
        <v>112</v>
      </c>
      <c r="H711" s="4" t="s">
        <v>108</v>
      </c>
      <c r="I711" s="24" t="s">
        <v>359</v>
      </c>
      <c r="J711" s="15">
        <v>2</v>
      </c>
      <c r="K711" s="15">
        <v>2</v>
      </c>
      <c r="L711" s="15">
        <v>2</v>
      </c>
      <c r="M711" s="15">
        <v>2</v>
      </c>
      <c r="N711" s="15">
        <v>2</v>
      </c>
      <c r="O711" s="15">
        <v>2</v>
      </c>
      <c r="P711" s="15" t="s">
        <v>415</v>
      </c>
      <c r="Q711" s="23" t="s">
        <v>416</v>
      </c>
      <c r="R711" s="25">
        <f>ROUND((K711*Parametros!$B$4+L711*Parametros!$B$5+M711*Parametros!$B$6+N711*Parametros!$B$7+O711*Parametros!$B$8)/SUM(Parametros!$B$4:$B$8),2)</f>
        <v>2</v>
      </c>
      <c r="S711" s="26">
        <f>IFERROR(INDEX(Parametros!$F$33:$F$42,MATCH(D711,Parametros!$A$33:$A$42,0)),1)</f>
        <v>1.034</v>
      </c>
      <c r="T711" s="27">
        <f>IFERROR(INDEX(Parametros!$B$21:$B$26,MATCH(I711,Parametros!$A$21:$A$26,0)),0)</f>
        <v>-0.2</v>
      </c>
      <c r="U711" s="28">
        <f t="shared" si="45"/>
        <v>1.87</v>
      </c>
      <c r="V711" s="9">
        <f>IF(U711&gt;=Parametros!$B$14,4,IF(U711&gt;=Parametros!$B$13,3,IF(U711&gt;=Parametros!$B$12,2,1)))</f>
        <v>1</v>
      </c>
      <c r="W711" s="5">
        <f>MAX(V711,IF(K711=5,Parametros!$B$17,0),IF(P711="Sim",Parametros!$B$18,0))</f>
        <v>1</v>
      </c>
      <c r="X711" s="5" t="str">
        <f t="shared" si="46"/>
        <v>Baixa</v>
      </c>
      <c r="Y711" s="29">
        <f t="shared" si="47"/>
        <v>1018.499289</v>
      </c>
      <c r="Z711" s="4" t="s">
        <v>1410</v>
      </c>
    </row>
    <row r="712" spans="1:26" ht="28.05" customHeight="1" x14ac:dyDescent="0.3">
      <c r="A712" s="5">
        <f t="shared" si="44"/>
        <v>708</v>
      </c>
      <c r="B712" s="23" t="s">
        <v>1616</v>
      </c>
      <c r="C712" s="17" t="s">
        <v>1617</v>
      </c>
      <c r="D712" s="4" t="s">
        <v>54</v>
      </c>
      <c r="E712" s="4" t="s">
        <v>64</v>
      </c>
      <c r="F712" s="4" t="s">
        <v>64</v>
      </c>
      <c r="G712" s="4" t="s">
        <v>134</v>
      </c>
      <c r="H712" s="4" t="s">
        <v>108</v>
      </c>
      <c r="I712" s="24" t="s">
        <v>359</v>
      </c>
      <c r="J712" s="15">
        <v>2</v>
      </c>
      <c r="K712" s="15">
        <v>2</v>
      </c>
      <c r="L712" s="15">
        <v>2</v>
      </c>
      <c r="M712" s="15">
        <v>2</v>
      </c>
      <c r="N712" s="15">
        <v>2</v>
      </c>
      <c r="O712" s="15">
        <v>2</v>
      </c>
      <c r="P712" s="15" t="s">
        <v>415</v>
      </c>
      <c r="Q712" s="23" t="s">
        <v>416</v>
      </c>
      <c r="R712" s="25">
        <f>ROUND((K712*Parametros!$B$4+L712*Parametros!$B$5+M712*Parametros!$B$6+N712*Parametros!$B$7+O712*Parametros!$B$8)/SUM(Parametros!$B$4:$B$8),2)</f>
        <v>2</v>
      </c>
      <c r="S712" s="26">
        <f>IFERROR(INDEX(Parametros!$F$33:$F$42,MATCH(D712,Parametros!$A$33:$A$42,0)),1)</f>
        <v>1.034</v>
      </c>
      <c r="T712" s="27">
        <f>IFERROR(INDEX(Parametros!$B$21:$B$26,MATCH(I712,Parametros!$A$21:$A$26,0)),0)</f>
        <v>-0.2</v>
      </c>
      <c r="U712" s="28">
        <f t="shared" si="45"/>
        <v>1.87</v>
      </c>
      <c r="V712" s="9">
        <f>IF(U712&gt;=Parametros!$B$14,4,IF(U712&gt;=Parametros!$B$13,3,IF(U712&gt;=Parametros!$B$12,2,1)))</f>
        <v>1</v>
      </c>
      <c r="W712" s="5">
        <f>MAX(V712,IF(K712=5,Parametros!$B$17,0),IF(P712="Sim",Parametros!$B$18,0))</f>
        <v>1</v>
      </c>
      <c r="X712" s="5" t="str">
        <f t="shared" si="46"/>
        <v>Baixa</v>
      </c>
      <c r="Y712" s="29">
        <f t="shared" si="47"/>
        <v>1018.499288</v>
      </c>
      <c r="Z712" s="4" t="s">
        <v>1410</v>
      </c>
    </row>
    <row r="713" spans="1:26" ht="28.05" customHeight="1" x14ac:dyDescent="0.3">
      <c r="A713" s="5">
        <f t="shared" si="44"/>
        <v>709</v>
      </c>
      <c r="B713" s="23" t="s">
        <v>1618</v>
      </c>
      <c r="C713" s="17" t="s">
        <v>1619</v>
      </c>
      <c r="D713" s="4" t="s">
        <v>55</v>
      </c>
      <c r="E713" s="4" t="s">
        <v>83</v>
      </c>
      <c r="F713" s="4" t="s">
        <v>83</v>
      </c>
      <c r="G713" s="4" t="s">
        <v>134</v>
      </c>
      <c r="H713" s="4" t="s">
        <v>108</v>
      </c>
      <c r="I713" s="24" t="s">
        <v>359</v>
      </c>
      <c r="J713" s="15">
        <v>2</v>
      </c>
      <c r="K713" s="15">
        <v>2</v>
      </c>
      <c r="L713" s="15">
        <v>2</v>
      </c>
      <c r="M713" s="15">
        <v>2</v>
      </c>
      <c r="N713" s="15">
        <v>2</v>
      </c>
      <c r="O713" s="15">
        <v>2</v>
      </c>
      <c r="P713" s="15" t="s">
        <v>415</v>
      </c>
      <c r="Q713" s="23" t="s">
        <v>416</v>
      </c>
      <c r="R713" s="25">
        <f>ROUND((K713*Parametros!$B$4+L713*Parametros!$B$5+M713*Parametros!$B$6+N713*Parametros!$B$7+O713*Parametros!$B$8)/SUM(Parametros!$B$4:$B$8),2)</f>
        <v>2</v>
      </c>
      <c r="S713" s="26">
        <f>IFERROR(INDEX(Parametros!$F$33:$F$42,MATCH(D713,Parametros!$A$33:$A$42,0)),1)</f>
        <v>1.034</v>
      </c>
      <c r="T713" s="27">
        <f>IFERROR(INDEX(Parametros!$B$21:$B$26,MATCH(I713,Parametros!$A$21:$A$26,0)),0)</f>
        <v>-0.2</v>
      </c>
      <c r="U713" s="28">
        <f t="shared" si="45"/>
        <v>1.87</v>
      </c>
      <c r="V713" s="9">
        <f>IF(U713&gt;=Parametros!$B$14,4,IF(U713&gt;=Parametros!$B$13,3,IF(U713&gt;=Parametros!$B$12,2,1)))</f>
        <v>1</v>
      </c>
      <c r="W713" s="5">
        <f>MAX(V713,IF(K713=5,Parametros!$B$17,0),IF(P713="Sim",Parametros!$B$18,0))</f>
        <v>1</v>
      </c>
      <c r="X713" s="5" t="str">
        <f t="shared" si="46"/>
        <v>Baixa</v>
      </c>
      <c r="Y713" s="29">
        <f t="shared" si="47"/>
        <v>1018.499287</v>
      </c>
      <c r="Z713" s="4" t="s">
        <v>1410</v>
      </c>
    </row>
    <row r="714" spans="1:26" ht="28.05" customHeight="1" x14ac:dyDescent="0.3">
      <c r="A714" s="5">
        <f t="shared" si="44"/>
        <v>710</v>
      </c>
      <c r="B714" s="23" t="s">
        <v>1620</v>
      </c>
      <c r="C714" s="17" t="s">
        <v>1621</v>
      </c>
      <c r="D714" s="4" t="s">
        <v>55</v>
      </c>
      <c r="E714" s="4" t="s">
        <v>64</v>
      </c>
      <c r="F714" s="4" t="s">
        <v>64</v>
      </c>
      <c r="G714" s="4" t="s">
        <v>134</v>
      </c>
      <c r="H714" s="4" t="s">
        <v>108</v>
      </c>
      <c r="I714" s="24" t="s">
        <v>359</v>
      </c>
      <c r="J714" s="15">
        <v>2</v>
      </c>
      <c r="K714" s="15">
        <v>2</v>
      </c>
      <c r="L714" s="15">
        <v>2</v>
      </c>
      <c r="M714" s="15">
        <v>2</v>
      </c>
      <c r="N714" s="15">
        <v>2</v>
      </c>
      <c r="O714" s="15">
        <v>2</v>
      </c>
      <c r="P714" s="15" t="s">
        <v>415</v>
      </c>
      <c r="Q714" s="23" t="s">
        <v>416</v>
      </c>
      <c r="R714" s="25">
        <f>ROUND((K714*Parametros!$B$4+L714*Parametros!$B$5+M714*Parametros!$B$6+N714*Parametros!$B$7+O714*Parametros!$B$8)/SUM(Parametros!$B$4:$B$8),2)</f>
        <v>2</v>
      </c>
      <c r="S714" s="26">
        <f>IFERROR(INDEX(Parametros!$F$33:$F$42,MATCH(D714,Parametros!$A$33:$A$42,0)),1)</f>
        <v>1.034</v>
      </c>
      <c r="T714" s="27">
        <f>IFERROR(INDEX(Parametros!$B$21:$B$26,MATCH(I714,Parametros!$A$21:$A$26,0)),0)</f>
        <v>-0.2</v>
      </c>
      <c r="U714" s="28">
        <f t="shared" si="45"/>
        <v>1.87</v>
      </c>
      <c r="V714" s="9">
        <f>IF(U714&gt;=Parametros!$B$14,4,IF(U714&gt;=Parametros!$B$13,3,IF(U714&gt;=Parametros!$B$12,2,1)))</f>
        <v>1</v>
      </c>
      <c r="W714" s="5">
        <f>MAX(V714,IF(K714=5,Parametros!$B$17,0),IF(P714="Sim",Parametros!$B$18,0))</f>
        <v>1</v>
      </c>
      <c r="X714" s="5" t="str">
        <f t="shared" si="46"/>
        <v>Baixa</v>
      </c>
      <c r="Y714" s="29">
        <f t="shared" si="47"/>
        <v>1018.499286</v>
      </c>
      <c r="Z714" s="4" t="s">
        <v>1410</v>
      </c>
    </row>
    <row r="715" spans="1:26" ht="28.05" customHeight="1" x14ac:dyDescent="0.3">
      <c r="A715" s="5">
        <f t="shared" si="44"/>
        <v>711</v>
      </c>
      <c r="B715" s="23" t="s">
        <v>1622</v>
      </c>
      <c r="C715" s="17" t="s">
        <v>1623</v>
      </c>
      <c r="D715" s="4" t="s">
        <v>55</v>
      </c>
      <c r="E715" s="4" t="s">
        <v>64</v>
      </c>
      <c r="F715" s="4" t="s">
        <v>64</v>
      </c>
      <c r="G715" s="4" t="s">
        <v>134</v>
      </c>
      <c r="H715" s="4" t="s">
        <v>108</v>
      </c>
      <c r="I715" s="24" t="s">
        <v>359</v>
      </c>
      <c r="J715" s="15">
        <v>2</v>
      </c>
      <c r="K715" s="15">
        <v>2</v>
      </c>
      <c r="L715" s="15">
        <v>2</v>
      </c>
      <c r="M715" s="15">
        <v>2</v>
      </c>
      <c r="N715" s="15">
        <v>2</v>
      </c>
      <c r="O715" s="15">
        <v>2</v>
      </c>
      <c r="P715" s="15" t="s">
        <v>415</v>
      </c>
      <c r="Q715" s="23" t="s">
        <v>416</v>
      </c>
      <c r="R715" s="25">
        <f>ROUND((K715*Parametros!$B$4+L715*Parametros!$B$5+M715*Parametros!$B$6+N715*Parametros!$B$7+O715*Parametros!$B$8)/SUM(Parametros!$B$4:$B$8),2)</f>
        <v>2</v>
      </c>
      <c r="S715" s="26">
        <f>IFERROR(INDEX(Parametros!$F$33:$F$42,MATCH(D715,Parametros!$A$33:$A$42,0)),1)</f>
        <v>1.034</v>
      </c>
      <c r="T715" s="27">
        <f>IFERROR(INDEX(Parametros!$B$21:$B$26,MATCH(I715,Parametros!$A$21:$A$26,0)),0)</f>
        <v>-0.2</v>
      </c>
      <c r="U715" s="28">
        <f t="shared" si="45"/>
        <v>1.87</v>
      </c>
      <c r="V715" s="9">
        <f>IF(U715&gt;=Parametros!$B$14,4,IF(U715&gt;=Parametros!$B$13,3,IF(U715&gt;=Parametros!$B$12,2,1)))</f>
        <v>1</v>
      </c>
      <c r="W715" s="5">
        <f>MAX(V715,IF(K715=5,Parametros!$B$17,0),IF(P715="Sim",Parametros!$B$18,0))</f>
        <v>1</v>
      </c>
      <c r="X715" s="5" t="str">
        <f t="shared" si="46"/>
        <v>Baixa</v>
      </c>
      <c r="Y715" s="29">
        <f t="shared" si="47"/>
        <v>1018.499285</v>
      </c>
      <c r="Z715" s="4" t="s">
        <v>1410</v>
      </c>
    </row>
    <row r="716" spans="1:26" ht="28.05" customHeight="1" x14ac:dyDescent="0.3">
      <c r="A716" s="5">
        <f t="shared" si="44"/>
        <v>712</v>
      </c>
      <c r="B716" s="23" t="s">
        <v>1624</v>
      </c>
      <c r="C716" s="17" t="s">
        <v>1625</v>
      </c>
      <c r="D716" s="4" t="s">
        <v>49</v>
      </c>
      <c r="E716" s="4" t="s">
        <v>81</v>
      </c>
      <c r="F716" s="4" t="s">
        <v>81</v>
      </c>
      <c r="G716" s="4" t="s">
        <v>171</v>
      </c>
      <c r="H716" s="4" t="s">
        <v>172</v>
      </c>
      <c r="I716" s="24" t="s">
        <v>152</v>
      </c>
      <c r="J716" s="15">
        <v>2</v>
      </c>
      <c r="K716" s="15">
        <v>1</v>
      </c>
      <c r="L716" s="15">
        <v>1</v>
      </c>
      <c r="M716" s="15">
        <v>3</v>
      </c>
      <c r="N716" s="15">
        <v>1</v>
      </c>
      <c r="O716" s="15">
        <v>3</v>
      </c>
      <c r="P716" s="15" t="s">
        <v>415</v>
      </c>
      <c r="Q716" s="23" t="s">
        <v>838</v>
      </c>
      <c r="R716" s="25">
        <f>ROUND((K716*Parametros!$B$4+L716*Parametros!$B$5+M716*Parametros!$B$6+N716*Parametros!$B$7+O716*Parametros!$B$8)/SUM(Parametros!$B$4:$B$8),2)</f>
        <v>1.7</v>
      </c>
      <c r="S716" s="26">
        <f>IFERROR(INDEX(Parametros!$F$33:$F$42,MATCH(D716,Parametros!$A$33:$A$42,0)),1)</f>
        <v>1.1000000000000001</v>
      </c>
      <c r="T716" s="27">
        <f>IFERROR(INDEX(Parametros!$B$21:$B$26,MATCH(I716,Parametros!$A$21:$A$26,0)),0)</f>
        <v>0</v>
      </c>
      <c r="U716" s="28">
        <f t="shared" si="45"/>
        <v>1.87</v>
      </c>
      <c r="V716" s="9">
        <f>IF(U716&gt;=Parametros!$B$14,4,IF(U716&gt;=Parametros!$B$13,3,IF(U716&gt;=Parametros!$B$12,2,1)))</f>
        <v>1</v>
      </c>
      <c r="W716" s="5">
        <f>MAX(V716,IF(K716=5,Parametros!$B$17,0),IF(P716="Sim",Parametros!$B$18,0))</f>
        <v>1</v>
      </c>
      <c r="X716" s="5" t="str">
        <f t="shared" si="46"/>
        <v>Baixa</v>
      </c>
      <c r="Y716" s="29">
        <f t="shared" si="47"/>
        <v>1018.499284</v>
      </c>
      <c r="Z716" s="4" t="s">
        <v>659</v>
      </c>
    </row>
    <row r="717" spans="1:26" ht="28.05" customHeight="1" x14ac:dyDescent="0.3">
      <c r="A717" s="5">
        <f t="shared" si="44"/>
        <v>713</v>
      </c>
      <c r="B717" s="23" t="s">
        <v>1626</v>
      </c>
      <c r="C717" s="17" t="s">
        <v>1627</v>
      </c>
      <c r="D717" s="4" t="s">
        <v>48</v>
      </c>
      <c r="E717" s="4" t="s">
        <v>1628</v>
      </c>
      <c r="F717" s="4" t="s">
        <v>1628</v>
      </c>
      <c r="G717" s="4" t="s">
        <v>107</v>
      </c>
      <c r="H717" s="4" t="s">
        <v>108</v>
      </c>
      <c r="I717" s="24" t="s">
        <v>122</v>
      </c>
      <c r="J717" s="15">
        <v>3</v>
      </c>
      <c r="K717" s="15">
        <v>1</v>
      </c>
      <c r="L717" s="15">
        <v>2</v>
      </c>
      <c r="M717" s="15">
        <v>2</v>
      </c>
      <c r="N717" s="15">
        <v>2</v>
      </c>
      <c r="O717" s="15">
        <v>2</v>
      </c>
      <c r="P717" s="15" t="s">
        <v>415</v>
      </c>
      <c r="Q717" s="23" t="s">
        <v>416</v>
      </c>
      <c r="R717" s="25">
        <f>ROUND((K717*Parametros!$B$4+L717*Parametros!$B$5+M717*Parametros!$B$6+N717*Parametros!$B$7+O717*Parametros!$B$8)/SUM(Parametros!$B$4:$B$8),2)</f>
        <v>1.7</v>
      </c>
      <c r="S717" s="26">
        <f>IFERROR(INDEX(Parametros!$F$33:$F$42,MATCH(D717,Parametros!$A$33:$A$42,0)),1)</f>
        <v>1.1000000000000001</v>
      </c>
      <c r="T717" s="27">
        <f>IFERROR(INDEX(Parametros!$B$21:$B$26,MATCH(I717,Parametros!$A$21:$A$26,0)),0)</f>
        <v>0</v>
      </c>
      <c r="U717" s="28">
        <f t="shared" si="45"/>
        <v>1.87</v>
      </c>
      <c r="V717" s="9">
        <f>IF(U717&gt;=Parametros!$B$14,4,IF(U717&gt;=Parametros!$B$13,3,IF(U717&gt;=Parametros!$B$12,2,1)))</f>
        <v>1</v>
      </c>
      <c r="W717" s="5">
        <f>MAX(V717,IF(K717=5,Parametros!$B$17,0),IF(P717="Sim",Parametros!$B$18,0))</f>
        <v>1</v>
      </c>
      <c r="X717" s="5" t="str">
        <f t="shared" si="46"/>
        <v>Baixa</v>
      </c>
      <c r="Y717" s="29">
        <f t="shared" si="47"/>
        <v>1018.3992830000001</v>
      </c>
      <c r="Z717" s="4" t="s">
        <v>659</v>
      </c>
    </row>
    <row r="718" spans="1:26" ht="28.05" customHeight="1" x14ac:dyDescent="0.3">
      <c r="A718" s="5">
        <f t="shared" si="44"/>
        <v>714</v>
      </c>
      <c r="B718" s="23" t="s">
        <v>1629</v>
      </c>
      <c r="C718" s="17" t="s">
        <v>1630</v>
      </c>
      <c r="D718" s="4" t="s">
        <v>54</v>
      </c>
      <c r="E718" s="4" t="s">
        <v>64</v>
      </c>
      <c r="F718" s="4" t="s">
        <v>64</v>
      </c>
      <c r="G718" s="4" t="s">
        <v>112</v>
      </c>
      <c r="H718" s="4" t="s">
        <v>108</v>
      </c>
      <c r="I718" s="24" t="s">
        <v>131</v>
      </c>
      <c r="J718" s="15">
        <v>3</v>
      </c>
      <c r="K718" s="15">
        <v>2</v>
      </c>
      <c r="L718" s="15">
        <v>1</v>
      </c>
      <c r="M718" s="15">
        <v>2</v>
      </c>
      <c r="N718" s="15">
        <v>2</v>
      </c>
      <c r="O718" s="15">
        <v>2</v>
      </c>
      <c r="P718" s="15" t="s">
        <v>415</v>
      </c>
      <c r="Q718" s="23" t="s">
        <v>416</v>
      </c>
      <c r="R718" s="25">
        <f>ROUND((K718*Parametros!$B$4+L718*Parametros!$B$5+M718*Parametros!$B$6+N718*Parametros!$B$7+O718*Parametros!$B$8)/SUM(Parametros!$B$4:$B$8),2)</f>
        <v>1.8</v>
      </c>
      <c r="S718" s="26">
        <f>IFERROR(INDEX(Parametros!$F$33:$F$42,MATCH(D718,Parametros!$A$33:$A$42,0)),1)</f>
        <v>1.034</v>
      </c>
      <c r="T718" s="27">
        <f>IFERROR(INDEX(Parametros!$B$21:$B$26,MATCH(I718,Parametros!$A$21:$A$26,0)),0)</f>
        <v>0</v>
      </c>
      <c r="U718" s="28">
        <f t="shared" si="45"/>
        <v>1.86</v>
      </c>
      <c r="V718" s="9">
        <f>IF(U718&gt;=Parametros!$B$14,4,IF(U718&gt;=Parametros!$B$13,3,IF(U718&gt;=Parametros!$B$12,2,1)))</f>
        <v>1</v>
      </c>
      <c r="W718" s="5">
        <f>MAX(V718,IF(K718=5,Parametros!$B$17,0),IF(P718="Sim",Parametros!$B$18,0))</f>
        <v>1</v>
      </c>
      <c r="X718" s="5" t="str">
        <f t="shared" si="46"/>
        <v>Baixa</v>
      </c>
      <c r="Y718" s="29">
        <f t="shared" si="47"/>
        <v>1018.2992820000001</v>
      </c>
      <c r="Z718" s="4" t="s">
        <v>659</v>
      </c>
    </row>
    <row r="719" spans="1:26" ht="28.05" customHeight="1" x14ac:dyDescent="0.3">
      <c r="A719" s="5">
        <f t="shared" si="44"/>
        <v>715</v>
      </c>
      <c r="B719" s="23" t="s">
        <v>1631</v>
      </c>
      <c r="C719" s="17" t="s">
        <v>1632</v>
      </c>
      <c r="D719" s="4" t="s">
        <v>54</v>
      </c>
      <c r="E719" s="4" t="s">
        <v>72</v>
      </c>
      <c r="F719" s="4" t="s">
        <v>72</v>
      </c>
      <c r="G719" s="4" t="s">
        <v>171</v>
      </c>
      <c r="H719" s="4" t="s">
        <v>172</v>
      </c>
      <c r="I719" s="24" t="s">
        <v>131</v>
      </c>
      <c r="J719" s="15">
        <v>3</v>
      </c>
      <c r="K719" s="15">
        <v>1</v>
      </c>
      <c r="L719" s="15">
        <v>3</v>
      </c>
      <c r="M719" s="15">
        <v>3</v>
      </c>
      <c r="N719" s="15">
        <v>1</v>
      </c>
      <c r="O719" s="15">
        <v>1</v>
      </c>
      <c r="P719" s="15" t="s">
        <v>415</v>
      </c>
      <c r="Q719" s="23" t="s">
        <v>838</v>
      </c>
      <c r="R719" s="25">
        <f>ROUND((K719*Parametros!$B$4+L719*Parametros!$B$5+M719*Parametros!$B$6+N719*Parametros!$B$7+O719*Parametros!$B$8)/SUM(Parametros!$B$4:$B$8),2)</f>
        <v>1.8</v>
      </c>
      <c r="S719" s="26">
        <f>IFERROR(INDEX(Parametros!$F$33:$F$42,MATCH(D719,Parametros!$A$33:$A$42,0)),1)</f>
        <v>1.034</v>
      </c>
      <c r="T719" s="27">
        <f>IFERROR(INDEX(Parametros!$B$21:$B$26,MATCH(I719,Parametros!$A$21:$A$26,0)),0)</f>
        <v>0</v>
      </c>
      <c r="U719" s="28">
        <f t="shared" si="45"/>
        <v>1.86</v>
      </c>
      <c r="V719" s="9">
        <f>IF(U719&gt;=Parametros!$B$14,4,IF(U719&gt;=Parametros!$B$13,3,IF(U719&gt;=Parametros!$B$12,2,1)))</f>
        <v>1</v>
      </c>
      <c r="W719" s="5">
        <f>MAX(V719,IF(K719=5,Parametros!$B$17,0),IF(P719="Sim",Parametros!$B$18,0))</f>
        <v>1</v>
      </c>
      <c r="X719" s="5" t="str">
        <f t="shared" si="46"/>
        <v>Baixa</v>
      </c>
      <c r="Y719" s="29">
        <f t="shared" si="47"/>
        <v>1018.2992810000001</v>
      </c>
      <c r="Z719" s="4" t="s">
        <v>659</v>
      </c>
    </row>
    <row r="720" spans="1:26" ht="28.05" customHeight="1" x14ac:dyDescent="0.3">
      <c r="A720" s="5">
        <f t="shared" si="44"/>
        <v>716</v>
      </c>
      <c r="B720" s="23" t="s">
        <v>1633</v>
      </c>
      <c r="C720" s="17" t="s">
        <v>1634</v>
      </c>
      <c r="D720" s="4" t="s">
        <v>54</v>
      </c>
      <c r="E720" s="4" t="s">
        <v>70</v>
      </c>
      <c r="F720" s="4" t="s">
        <v>70</v>
      </c>
      <c r="G720" s="4" t="s">
        <v>184</v>
      </c>
      <c r="H720" s="4" t="s">
        <v>185</v>
      </c>
      <c r="I720" s="24" t="s">
        <v>152</v>
      </c>
      <c r="J720" s="15">
        <v>3</v>
      </c>
      <c r="K720" s="15">
        <v>1</v>
      </c>
      <c r="L720" s="15">
        <v>3</v>
      </c>
      <c r="M720" s="15">
        <v>3</v>
      </c>
      <c r="N720" s="15">
        <v>1</v>
      </c>
      <c r="O720" s="15">
        <v>1</v>
      </c>
      <c r="P720" s="15" t="s">
        <v>415</v>
      </c>
      <c r="Q720" s="23" t="s">
        <v>838</v>
      </c>
      <c r="R720" s="25">
        <f>ROUND((K720*Parametros!$B$4+L720*Parametros!$B$5+M720*Parametros!$B$6+N720*Parametros!$B$7+O720*Parametros!$B$8)/SUM(Parametros!$B$4:$B$8),2)</f>
        <v>1.8</v>
      </c>
      <c r="S720" s="26">
        <f>IFERROR(INDEX(Parametros!$F$33:$F$42,MATCH(D720,Parametros!$A$33:$A$42,0)),1)</f>
        <v>1.034</v>
      </c>
      <c r="T720" s="27">
        <f>IFERROR(INDEX(Parametros!$B$21:$B$26,MATCH(I720,Parametros!$A$21:$A$26,0)),0)</f>
        <v>0</v>
      </c>
      <c r="U720" s="28">
        <f t="shared" si="45"/>
        <v>1.86</v>
      </c>
      <c r="V720" s="9">
        <f>IF(U720&gt;=Parametros!$B$14,4,IF(U720&gt;=Parametros!$B$13,3,IF(U720&gt;=Parametros!$B$12,2,1)))</f>
        <v>1</v>
      </c>
      <c r="W720" s="5">
        <f>MAX(V720,IF(K720=5,Parametros!$B$17,0),IF(P720="Sim",Parametros!$B$18,0))</f>
        <v>1</v>
      </c>
      <c r="X720" s="5" t="str">
        <f t="shared" si="46"/>
        <v>Baixa</v>
      </c>
      <c r="Y720" s="29">
        <f t="shared" si="47"/>
        <v>1018.2992800000001</v>
      </c>
      <c r="Z720" s="4" t="s">
        <v>659</v>
      </c>
    </row>
    <row r="721" spans="1:26" ht="28.05" customHeight="1" x14ac:dyDescent="0.3">
      <c r="A721" s="5">
        <f t="shared" si="44"/>
        <v>717</v>
      </c>
      <c r="B721" s="23" t="s">
        <v>1635</v>
      </c>
      <c r="C721" s="17" t="s">
        <v>1636</v>
      </c>
      <c r="D721" s="4" t="s">
        <v>54</v>
      </c>
      <c r="E721" s="4" t="s">
        <v>64</v>
      </c>
      <c r="F721" s="4" t="s">
        <v>64</v>
      </c>
      <c r="G721" s="4" t="s">
        <v>184</v>
      </c>
      <c r="H721" s="4" t="s">
        <v>185</v>
      </c>
      <c r="I721" s="24" t="s">
        <v>131</v>
      </c>
      <c r="J721" s="15">
        <v>3</v>
      </c>
      <c r="K721" s="15">
        <v>2</v>
      </c>
      <c r="L721" s="15">
        <v>2</v>
      </c>
      <c r="M721" s="15">
        <v>1</v>
      </c>
      <c r="N721" s="15">
        <v>1</v>
      </c>
      <c r="O721" s="15">
        <v>3</v>
      </c>
      <c r="P721" s="15" t="s">
        <v>415</v>
      </c>
      <c r="Q721" s="23" t="s">
        <v>838</v>
      </c>
      <c r="R721" s="25">
        <f>ROUND((K721*Parametros!$B$4+L721*Parametros!$B$5+M721*Parametros!$B$6+N721*Parametros!$B$7+O721*Parametros!$B$8)/SUM(Parametros!$B$4:$B$8),2)</f>
        <v>1.8</v>
      </c>
      <c r="S721" s="26">
        <f>IFERROR(INDEX(Parametros!$F$33:$F$42,MATCH(D721,Parametros!$A$33:$A$42,0)),1)</f>
        <v>1.034</v>
      </c>
      <c r="T721" s="27">
        <f>IFERROR(INDEX(Parametros!$B$21:$B$26,MATCH(I721,Parametros!$A$21:$A$26,0)),0)</f>
        <v>0</v>
      </c>
      <c r="U721" s="28">
        <f t="shared" si="45"/>
        <v>1.86</v>
      </c>
      <c r="V721" s="9">
        <f>IF(U721&gt;=Parametros!$B$14,4,IF(U721&gt;=Parametros!$B$13,3,IF(U721&gt;=Parametros!$B$12,2,1)))</f>
        <v>1</v>
      </c>
      <c r="W721" s="5">
        <f>MAX(V721,IF(K721=5,Parametros!$B$17,0),IF(P721="Sim",Parametros!$B$18,0))</f>
        <v>1</v>
      </c>
      <c r="X721" s="5" t="str">
        <f t="shared" si="46"/>
        <v>Baixa</v>
      </c>
      <c r="Y721" s="29">
        <f t="shared" si="47"/>
        <v>1018.2992790000001</v>
      </c>
      <c r="Z721" s="4" t="s">
        <v>659</v>
      </c>
    </row>
    <row r="722" spans="1:26" ht="28.05" customHeight="1" x14ac:dyDescent="0.3">
      <c r="A722" s="5">
        <f t="shared" si="44"/>
        <v>718</v>
      </c>
      <c r="B722" s="23" t="s">
        <v>1637</v>
      </c>
      <c r="C722" s="17" t="s">
        <v>1638</v>
      </c>
      <c r="D722" s="4" t="s">
        <v>50</v>
      </c>
      <c r="E722" s="4" t="s">
        <v>1628</v>
      </c>
      <c r="F722" s="4" t="s">
        <v>1628</v>
      </c>
      <c r="G722" s="4" t="s">
        <v>107</v>
      </c>
      <c r="H722" s="4" t="s">
        <v>108</v>
      </c>
      <c r="I722" s="24" t="s">
        <v>152</v>
      </c>
      <c r="J722" s="15">
        <v>1</v>
      </c>
      <c r="K722" s="15">
        <v>1</v>
      </c>
      <c r="L722" s="15">
        <v>2</v>
      </c>
      <c r="M722" s="15">
        <v>2</v>
      </c>
      <c r="N722" s="15">
        <v>2</v>
      </c>
      <c r="O722" s="15">
        <v>2</v>
      </c>
      <c r="P722" s="15" t="s">
        <v>415</v>
      </c>
      <c r="Q722" s="23" t="s">
        <v>416</v>
      </c>
      <c r="R722" s="25">
        <f>ROUND((K722*Parametros!$B$4+L722*Parametros!$B$5+M722*Parametros!$B$6+N722*Parametros!$B$7+O722*Parametros!$B$8)/SUM(Parametros!$B$4:$B$8),2)</f>
        <v>1.7</v>
      </c>
      <c r="S722" s="26">
        <f>IFERROR(INDEX(Parametros!$F$33:$F$42,MATCH(D722,Parametros!$A$33:$A$42,0)),1)</f>
        <v>1.0840000000000001</v>
      </c>
      <c r="T722" s="27">
        <f>IFERROR(INDEX(Parametros!$B$21:$B$26,MATCH(I722,Parametros!$A$21:$A$26,0)),0)</f>
        <v>0</v>
      </c>
      <c r="U722" s="28">
        <f t="shared" si="45"/>
        <v>1.84</v>
      </c>
      <c r="V722" s="9">
        <f>IF(U722&gt;=Parametros!$B$14,4,IF(U722&gt;=Parametros!$B$13,3,IF(U722&gt;=Parametros!$B$12,2,1)))</f>
        <v>1</v>
      </c>
      <c r="W722" s="5">
        <f>MAX(V722,IF(K722=5,Parametros!$B$17,0),IF(P722="Sim",Parametros!$B$18,0))</f>
        <v>1</v>
      </c>
      <c r="X722" s="5" t="str">
        <f t="shared" si="46"/>
        <v>Baixa</v>
      </c>
      <c r="Y722" s="29">
        <f t="shared" si="47"/>
        <v>1018.299278</v>
      </c>
      <c r="Z722" s="4" t="s">
        <v>659</v>
      </c>
    </row>
    <row r="723" spans="1:26" ht="28.05" customHeight="1" x14ac:dyDescent="0.3">
      <c r="A723" s="5">
        <f t="shared" si="44"/>
        <v>719</v>
      </c>
      <c r="B723" s="23" t="s">
        <v>1639</v>
      </c>
      <c r="C723" s="17" t="s">
        <v>1640</v>
      </c>
      <c r="D723" s="4" t="s">
        <v>52</v>
      </c>
      <c r="E723" s="4" t="s">
        <v>66</v>
      </c>
      <c r="F723" s="4" t="s">
        <v>66</v>
      </c>
      <c r="G723" s="4" t="s">
        <v>119</v>
      </c>
      <c r="H723" s="4" t="s">
        <v>108</v>
      </c>
      <c r="I723" s="24" t="s">
        <v>954</v>
      </c>
      <c r="J723" s="15">
        <v>2</v>
      </c>
      <c r="K723" s="15">
        <v>2</v>
      </c>
      <c r="L723" s="15">
        <v>3</v>
      </c>
      <c r="M723" s="15">
        <v>2</v>
      </c>
      <c r="N723" s="15">
        <v>1</v>
      </c>
      <c r="O723" s="15">
        <v>2</v>
      </c>
      <c r="P723" s="15" t="s">
        <v>415</v>
      </c>
      <c r="Q723" s="23" t="s">
        <v>838</v>
      </c>
      <c r="R723" s="25">
        <f>ROUND((K723*Parametros!$B$4+L723*Parametros!$B$5+M723*Parametros!$B$6+N723*Parametros!$B$7+O723*Parametros!$B$8)/SUM(Parametros!$B$4:$B$8),2)</f>
        <v>2.0499999999999998</v>
      </c>
      <c r="S723" s="26">
        <f>IFERROR(INDEX(Parametros!$F$33:$F$42,MATCH(D723,Parametros!$A$33:$A$42,0)),1)</f>
        <v>1.05</v>
      </c>
      <c r="T723" s="27">
        <f>IFERROR(INDEX(Parametros!$B$21:$B$26,MATCH(I723,Parametros!$A$21:$A$26,0)),0)</f>
        <v>-0.3</v>
      </c>
      <c r="U723" s="28">
        <f t="shared" si="45"/>
        <v>1.85</v>
      </c>
      <c r="V723" s="9">
        <f>IF(U723&gt;=Parametros!$B$14,4,IF(U723&gt;=Parametros!$B$13,3,IF(U723&gt;=Parametros!$B$12,2,1)))</f>
        <v>1</v>
      </c>
      <c r="W723" s="5">
        <f>MAX(V723,IF(K723=5,Parametros!$B$17,0),IF(P723="Sim",Parametros!$B$18,0))</f>
        <v>1</v>
      </c>
      <c r="X723" s="5" t="str">
        <f t="shared" si="46"/>
        <v>Baixa</v>
      </c>
      <c r="Y723" s="29">
        <f t="shared" si="47"/>
        <v>1018.299277</v>
      </c>
      <c r="Z723" s="4" t="s">
        <v>1213</v>
      </c>
    </row>
    <row r="724" spans="1:26" ht="28.05" customHeight="1" x14ac:dyDescent="0.3">
      <c r="A724" s="5">
        <f t="shared" si="44"/>
        <v>720</v>
      </c>
      <c r="B724" s="23" t="s">
        <v>1641</v>
      </c>
      <c r="C724" s="17" t="s">
        <v>1642</v>
      </c>
      <c r="D724" s="4" t="s">
        <v>52</v>
      </c>
      <c r="E724" s="4" t="s">
        <v>66</v>
      </c>
      <c r="F724" s="4" t="s">
        <v>66</v>
      </c>
      <c r="G724" s="4" t="s">
        <v>119</v>
      </c>
      <c r="H724" s="4" t="s">
        <v>108</v>
      </c>
      <c r="I724" s="24" t="s">
        <v>954</v>
      </c>
      <c r="J724" s="15">
        <v>2</v>
      </c>
      <c r="K724" s="15">
        <v>2</v>
      </c>
      <c r="L724" s="15">
        <v>3</v>
      </c>
      <c r="M724" s="15">
        <v>2</v>
      </c>
      <c r="N724" s="15">
        <v>1</v>
      </c>
      <c r="O724" s="15">
        <v>2</v>
      </c>
      <c r="P724" s="15" t="s">
        <v>415</v>
      </c>
      <c r="Q724" s="23" t="s">
        <v>838</v>
      </c>
      <c r="R724" s="25">
        <f>ROUND((K724*Parametros!$B$4+L724*Parametros!$B$5+M724*Parametros!$B$6+N724*Parametros!$B$7+O724*Parametros!$B$8)/SUM(Parametros!$B$4:$B$8),2)</f>
        <v>2.0499999999999998</v>
      </c>
      <c r="S724" s="26">
        <f>IFERROR(INDEX(Parametros!$F$33:$F$42,MATCH(D724,Parametros!$A$33:$A$42,0)),1)</f>
        <v>1.05</v>
      </c>
      <c r="T724" s="27">
        <f>IFERROR(INDEX(Parametros!$B$21:$B$26,MATCH(I724,Parametros!$A$21:$A$26,0)),0)</f>
        <v>-0.3</v>
      </c>
      <c r="U724" s="28">
        <f t="shared" si="45"/>
        <v>1.85</v>
      </c>
      <c r="V724" s="9">
        <f>IF(U724&gt;=Parametros!$B$14,4,IF(U724&gt;=Parametros!$B$13,3,IF(U724&gt;=Parametros!$B$12,2,1)))</f>
        <v>1</v>
      </c>
      <c r="W724" s="5">
        <f>MAX(V724,IF(K724=5,Parametros!$B$17,0),IF(P724="Sim",Parametros!$B$18,0))</f>
        <v>1</v>
      </c>
      <c r="X724" s="5" t="str">
        <f t="shared" si="46"/>
        <v>Baixa</v>
      </c>
      <c r="Y724" s="29">
        <f t="shared" si="47"/>
        <v>1018.299276</v>
      </c>
      <c r="Z724" s="4" t="s">
        <v>1213</v>
      </c>
    </row>
    <row r="725" spans="1:26" ht="28.05" customHeight="1" x14ac:dyDescent="0.3">
      <c r="A725" s="5">
        <f t="shared" si="44"/>
        <v>721</v>
      </c>
      <c r="B725" s="23" t="s">
        <v>1643</v>
      </c>
      <c r="C725" s="17" t="s">
        <v>1644</v>
      </c>
      <c r="D725" s="4" t="s">
        <v>52</v>
      </c>
      <c r="E725" s="4" t="s">
        <v>66</v>
      </c>
      <c r="F725" s="4" t="s">
        <v>66</v>
      </c>
      <c r="G725" s="4" t="s">
        <v>171</v>
      </c>
      <c r="H725" s="4" t="s">
        <v>172</v>
      </c>
      <c r="I725" s="24" t="s">
        <v>954</v>
      </c>
      <c r="J725" s="15">
        <v>2</v>
      </c>
      <c r="K725" s="15">
        <v>2</v>
      </c>
      <c r="L725" s="15">
        <v>3</v>
      </c>
      <c r="M725" s="15">
        <v>2</v>
      </c>
      <c r="N725" s="15">
        <v>1</v>
      </c>
      <c r="O725" s="15">
        <v>2</v>
      </c>
      <c r="P725" s="15" t="s">
        <v>415</v>
      </c>
      <c r="Q725" s="23" t="s">
        <v>838</v>
      </c>
      <c r="R725" s="25">
        <f>ROUND((K725*Parametros!$B$4+L725*Parametros!$B$5+M725*Parametros!$B$6+N725*Parametros!$B$7+O725*Parametros!$B$8)/SUM(Parametros!$B$4:$B$8),2)</f>
        <v>2.0499999999999998</v>
      </c>
      <c r="S725" s="26">
        <f>IFERROR(INDEX(Parametros!$F$33:$F$42,MATCH(D725,Parametros!$A$33:$A$42,0)),1)</f>
        <v>1.05</v>
      </c>
      <c r="T725" s="27">
        <f>IFERROR(INDEX(Parametros!$B$21:$B$26,MATCH(I725,Parametros!$A$21:$A$26,0)),0)</f>
        <v>-0.3</v>
      </c>
      <c r="U725" s="28">
        <f t="shared" si="45"/>
        <v>1.85</v>
      </c>
      <c r="V725" s="9">
        <f>IF(U725&gt;=Parametros!$B$14,4,IF(U725&gt;=Parametros!$B$13,3,IF(U725&gt;=Parametros!$B$12,2,1)))</f>
        <v>1</v>
      </c>
      <c r="W725" s="5">
        <f>MAX(V725,IF(K725=5,Parametros!$B$17,0),IF(P725="Sim",Parametros!$B$18,0))</f>
        <v>1</v>
      </c>
      <c r="X725" s="5" t="str">
        <f t="shared" si="46"/>
        <v>Baixa</v>
      </c>
      <c r="Y725" s="29">
        <f t="shared" si="47"/>
        <v>1018.299275</v>
      </c>
      <c r="Z725" s="4" t="s">
        <v>1213</v>
      </c>
    </row>
    <row r="726" spans="1:26" ht="28.05" customHeight="1" x14ac:dyDescent="0.3">
      <c r="A726" s="5">
        <f t="shared" si="44"/>
        <v>722</v>
      </c>
      <c r="B726" s="23" t="s">
        <v>1645</v>
      </c>
      <c r="C726" s="17" t="s">
        <v>1646</v>
      </c>
      <c r="D726" s="4" t="s">
        <v>53</v>
      </c>
      <c r="E726" s="4" t="s">
        <v>84</v>
      </c>
      <c r="F726" s="4" t="s">
        <v>84</v>
      </c>
      <c r="G726" s="4" t="s">
        <v>134</v>
      </c>
      <c r="H726" s="4" t="s">
        <v>108</v>
      </c>
      <c r="I726" s="24" t="s">
        <v>152</v>
      </c>
      <c r="J726" s="15">
        <v>1</v>
      </c>
      <c r="K726" s="15">
        <v>2</v>
      </c>
      <c r="L726" s="15">
        <v>1</v>
      </c>
      <c r="M726" s="15">
        <v>1</v>
      </c>
      <c r="N726" s="15">
        <v>3</v>
      </c>
      <c r="O726" s="15">
        <v>2</v>
      </c>
      <c r="P726" s="15" t="s">
        <v>415</v>
      </c>
      <c r="Q726" s="23" t="s">
        <v>416</v>
      </c>
      <c r="R726" s="25">
        <f>ROUND((K726*Parametros!$B$4+L726*Parametros!$B$5+M726*Parametros!$B$6+N726*Parametros!$B$7+O726*Parametros!$B$8)/SUM(Parametros!$B$4:$B$8),2)</f>
        <v>1.75</v>
      </c>
      <c r="S726" s="26">
        <f>IFERROR(INDEX(Parametros!$F$33:$F$42,MATCH(D726,Parametros!$A$33:$A$42,0)),1)</f>
        <v>1.05</v>
      </c>
      <c r="T726" s="27">
        <f>IFERROR(INDEX(Parametros!$B$21:$B$26,MATCH(I726,Parametros!$A$21:$A$26,0)),0)</f>
        <v>0</v>
      </c>
      <c r="U726" s="28">
        <f t="shared" si="45"/>
        <v>1.84</v>
      </c>
      <c r="V726" s="9">
        <f>IF(U726&gt;=Parametros!$B$14,4,IF(U726&gt;=Parametros!$B$13,3,IF(U726&gt;=Parametros!$B$12,2,1)))</f>
        <v>1</v>
      </c>
      <c r="W726" s="5">
        <f>MAX(V726,IF(K726=5,Parametros!$B$17,0),IF(P726="Sim",Parametros!$B$18,0))</f>
        <v>1</v>
      </c>
      <c r="X726" s="5" t="str">
        <f t="shared" si="46"/>
        <v>Baixa</v>
      </c>
      <c r="Y726" s="29">
        <f t="shared" si="47"/>
        <v>1018.299274</v>
      </c>
      <c r="Z726" s="4" t="s">
        <v>659</v>
      </c>
    </row>
    <row r="727" spans="1:26" ht="28.05" customHeight="1" x14ac:dyDescent="0.3">
      <c r="A727" s="5">
        <f t="shared" si="44"/>
        <v>723</v>
      </c>
      <c r="B727" s="23" t="s">
        <v>1647</v>
      </c>
      <c r="C727" s="17" t="s">
        <v>1648</v>
      </c>
      <c r="D727" s="4" t="s">
        <v>50</v>
      </c>
      <c r="E727" s="4" t="s">
        <v>1628</v>
      </c>
      <c r="F727" s="4" t="s">
        <v>1628</v>
      </c>
      <c r="G727" s="4" t="s">
        <v>112</v>
      </c>
      <c r="H727" s="4" t="s">
        <v>108</v>
      </c>
      <c r="I727" s="24" t="s">
        <v>122</v>
      </c>
      <c r="J727" s="15">
        <v>3</v>
      </c>
      <c r="K727" s="15">
        <v>1</v>
      </c>
      <c r="L727" s="15">
        <v>2</v>
      </c>
      <c r="M727" s="15">
        <v>2</v>
      </c>
      <c r="N727" s="15">
        <v>2</v>
      </c>
      <c r="O727" s="15">
        <v>2</v>
      </c>
      <c r="P727" s="15" t="s">
        <v>415</v>
      </c>
      <c r="Q727" s="23" t="s">
        <v>416</v>
      </c>
      <c r="R727" s="25">
        <f>ROUND((K727*Parametros!$B$4+L727*Parametros!$B$5+M727*Parametros!$B$6+N727*Parametros!$B$7+O727*Parametros!$B$8)/SUM(Parametros!$B$4:$B$8),2)</f>
        <v>1.7</v>
      </c>
      <c r="S727" s="26">
        <f>IFERROR(INDEX(Parametros!$F$33:$F$42,MATCH(D727,Parametros!$A$33:$A$42,0)),1)</f>
        <v>1.0840000000000001</v>
      </c>
      <c r="T727" s="27">
        <f>IFERROR(INDEX(Parametros!$B$21:$B$26,MATCH(I727,Parametros!$A$21:$A$26,0)),0)</f>
        <v>0</v>
      </c>
      <c r="U727" s="28">
        <f t="shared" si="45"/>
        <v>1.84</v>
      </c>
      <c r="V727" s="9">
        <f>IF(U727&gt;=Parametros!$B$14,4,IF(U727&gt;=Parametros!$B$13,3,IF(U727&gt;=Parametros!$B$12,2,1)))</f>
        <v>1</v>
      </c>
      <c r="W727" s="5">
        <f>MAX(V727,IF(K727=5,Parametros!$B$17,0),IF(P727="Sim",Parametros!$B$18,0))</f>
        <v>1</v>
      </c>
      <c r="X727" s="5" t="str">
        <f t="shared" si="46"/>
        <v>Baixa</v>
      </c>
      <c r="Y727" s="29">
        <f t="shared" si="47"/>
        <v>1018.099273</v>
      </c>
      <c r="Z727" s="4" t="s">
        <v>659</v>
      </c>
    </row>
    <row r="728" spans="1:26" ht="28.05" customHeight="1" x14ac:dyDescent="0.3">
      <c r="A728" s="5">
        <f t="shared" si="44"/>
        <v>724</v>
      </c>
      <c r="B728" s="23" t="s">
        <v>1649</v>
      </c>
      <c r="C728" s="17" t="s">
        <v>1650</v>
      </c>
      <c r="D728" s="4" t="s">
        <v>50</v>
      </c>
      <c r="E728" s="4" t="s">
        <v>1628</v>
      </c>
      <c r="F728" s="4" t="s">
        <v>1628</v>
      </c>
      <c r="G728" s="4" t="s">
        <v>107</v>
      </c>
      <c r="H728" s="4" t="s">
        <v>108</v>
      </c>
      <c r="I728" s="24" t="s">
        <v>122</v>
      </c>
      <c r="J728" s="15">
        <v>3</v>
      </c>
      <c r="K728" s="15">
        <v>1</v>
      </c>
      <c r="L728" s="15">
        <v>2</v>
      </c>
      <c r="M728" s="15">
        <v>2</v>
      </c>
      <c r="N728" s="15">
        <v>2</v>
      </c>
      <c r="O728" s="15">
        <v>2</v>
      </c>
      <c r="P728" s="15" t="s">
        <v>415</v>
      </c>
      <c r="Q728" s="23" t="s">
        <v>416</v>
      </c>
      <c r="R728" s="25">
        <f>ROUND((K728*Parametros!$B$4+L728*Parametros!$B$5+M728*Parametros!$B$6+N728*Parametros!$B$7+O728*Parametros!$B$8)/SUM(Parametros!$B$4:$B$8),2)</f>
        <v>1.7</v>
      </c>
      <c r="S728" s="26">
        <f>IFERROR(INDEX(Parametros!$F$33:$F$42,MATCH(D728,Parametros!$A$33:$A$42,0)),1)</f>
        <v>1.0840000000000001</v>
      </c>
      <c r="T728" s="27">
        <f>IFERROR(INDEX(Parametros!$B$21:$B$26,MATCH(I728,Parametros!$A$21:$A$26,0)),0)</f>
        <v>0</v>
      </c>
      <c r="U728" s="28">
        <f t="shared" si="45"/>
        <v>1.84</v>
      </c>
      <c r="V728" s="9">
        <f>IF(U728&gt;=Parametros!$B$14,4,IF(U728&gt;=Parametros!$B$13,3,IF(U728&gt;=Parametros!$B$12,2,1)))</f>
        <v>1</v>
      </c>
      <c r="W728" s="5">
        <f>MAX(V728,IF(K728=5,Parametros!$B$17,0),IF(P728="Sim",Parametros!$B$18,0))</f>
        <v>1</v>
      </c>
      <c r="X728" s="5" t="str">
        <f t="shared" si="46"/>
        <v>Baixa</v>
      </c>
      <c r="Y728" s="29">
        <f t="shared" si="47"/>
        <v>1018.099272</v>
      </c>
      <c r="Z728" s="4" t="s">
        <v>659</v>
      </c>
    </row>
    <row r="729" spans="1:26" ht="28.05" customHeight="1" x14ac:dyDescent="0.3">
      <c r="A729" s="5">
        <f t="shared" si="44"/>
        <v>725</v>
      </c>
      <c r="B729" s="23" t="s">
        <v>1651</v>
      </c>
      <c r="C729" s="17" t="s">
        <v>1652</v>
      </c>
      <c r="D729" s="4" t="s">
        <v>50</v>
      </c>
      <c r="E729" s="4" t="s">
        <v>1628</v>
      </c>
      <c r="F729" s="4" t="s">
        <v>1628</v>
      </c>
      <c r="G729" s="4" t="s">
        <v>112</v>
      </c>
      <c r="H729" s="4" t="s">
        <v>108</v>
      </c>
      <c r="I729" s="24" t="s">
        <v>122</v>
      </c>
      <c r="J729" s="15">
        <v>3</v>
      </c>
      <c r="K729" s="15">
        <v>1</v>
      </c>
      <c r="L729" s="15">
        <v>2</v>
      </c>
      <c r="M729" s="15">
        <v>2</v>
      </c>
      <c r="N729" s="15">
        <v>2</v>
      </c>
      <c r="O729" s="15">
        <v>2</v>
      </c>
      <c r="P729" s="15" t="s">
        <v>415</v>
      </c>
      <c r="Q729" s="23" t="s">
        <v>416</v>
      </c>
      <c r="R729" s="25">
        <f>ROUND((K729*Parametros!$B$4+L729*Parametros!$B$5+M729*Parametros!$B$6+N729*Parametros!$B$7+O729*Parametros!$B$8)/SUM(Parametros!$B$4:$B$8),2)</f>
        <v>1.7</v>
      </c>
      <c r="S729" s="26">
        <f>IFERROR(INDEX(Parametros!$F$33:$F$42,MATCH(D729,Parametros!$A$33:$A$42,0)),1)</f>
        <v>1.0840000000000001</v>
      </c>
      <c r="T729" s="27">
        <f>IFERROR(INDEX(Parametros!$B$21:$B$26,MATCH(I729,Parametros!$A$21:$A$26,0)),0)</f>
        <v>0</v>
      </c>
      <c r="U729" s="28">
        <f t="shared" si="45"/>
        <v>1.84</v>
      </c>
      <c r="V729" s="9">
        <f>IF(U729&gt;=Parametros!$B$14,4,IF(U729&gt;=Parametros!$B$13,3,IF(U729&gt;=Parametros!$B$12,2,1)))</f>
        <v>1</v>
      </c>
      <c r="W729" s="5">
        <f>MAX(V729,IF(K729=5,Parametros!$B$17,0),IF(P729="Sim",Parametros!$B$18,0))</f>
        <v>1</v>
      </c>
      <c r="X729" s="5" t="str">
        <f t="shared" si="46"/>
        <v>Baixa</v>
      </c>
      <c r="Y729" s="29">
        <f t="shared" si="47"/>
        <v>1018.099271</v>
      </c>
      <c r="Z729" s="4" t="s">
        <v>659</v>
      </c>
    </row>
    <row r="730" spans="1:26" ht="28.05" customHeight="1" x14ac:dyDescent="0.3">
      <c r="A730" s="5">
        <f t="shared" si="44"/>
        <v>726</v>
      </c>
      <c r="B730" s="23" t="s">
        <v>1653</v>
      </c>
      <c r="C730" s="17" t="s">
        <v>1654</v>
      </c>
      <c r="D730" s="4" t="s">
        <v>50</v>
      </c>
      <c r="E730" s="4" t="s">
        <v>75</v>
      </c>
      <c r="F730" s="4" t="s">
        <v>75</v>
      </c>
      <c r="G730" s="4" t="s">
        <v>171</v>
      </c>
      <c r="H730" s="4" t="s">
        <v>172</v>
      </c>
      <c r="I730" s="24" t="s">
        <v>152</v>
      </c>
      <c r="J730" s="15">
        <v>3</v>
      </c>
      <c r="K730" s="15">
        <v>1</v>
      </c>
      <c r="L730" s="15">
        <v>1</v>
      </c>
      <c r="M730" s="15">
        <v>3</v>
      </c>
      <c r="N730" s="15">
        <v>1</v>
      </c>
      <c r="O730" s="15">
        <v>3</v>
      </c>
      <c r="P730" s="15" t="s">
        <v>415</v>
      </c>
      <c r="Q730" s="23" t="s">
        <v>838</v>
      </c>
      <c r="R730" s="25">
        <f>ROUND((K730*Parametros!$B$4+L730*Parametros!$B$5+M730*Parametros!$B$6+N730*Parametros!$B$7+O730*Parametros!$B$8)/SUM(Parametros!$B$4:$B$8),2)</f>
        <v>1.7</v>
      </c>
      <c r="S730" s="26">
        <f>IFERROR(INDEX(Parametros!$F$33:$F$42,MATCH(D730,Parametros!$A$33:$A$42,0)),1)</f>
        <v>1.0840000000000001</v>
      </c>
      <c r="T730" s="27">
        <f>IFERROR(INDEX(Parametros!$B$21:$B$26,MATCH(I730,Parametros!$A$21:$A$26,0)),0)</f>
        <v>0</v>
      </c>
      <c r="U730" s="28">
        <f t="shared" si="45"/>
        <v>1.84</v>
      </c>
      <c r="V730" s="9">
        <f>IF(U730&gt;=Parametros!$B$14,4,IF(U730&gt;=Parametros!$B$13,3,IF(U730&gt;=Parametros!$B$12,2,1)))</f>
        <v>1</v>
      </c>
      <c r="W730" s="5">
        <f>MAX(V730,IF(K730=5,Parametros!$B$17,0),IF(P730="Sim",Parametros!$B$18,0))</f>
        <v>1</v>
      </c>
      <c r="X730" s="5" t="str">
        <f t="shared" si="46"/>
        <v>Baixa</v>
      </c>
      <c r="Y730" s="29">
        <f t="shared" si="47"/>
        <v>1018.09927</v>
      </c>
      <c r="Z730" s="4" t="s">
        <v>659</v>
      </c>
    </row>
    <row r="731" spans="1:26" ht="28.05" customHeight="1" x14ac:dyDescent="0.3">
      <c r="A731" s="5">
        <f t="shared" si="44"/>
        <v>727</v>
      </c>
      <c r="B731" s="23" t="s">
        <v>1655</v>
      </c>
      <c r="C731" s="17" t="s">
        <v>1619</v>
      </c>
      <c r="D731" s="4" t="s">
        <v>56</v>
      </c>
      <c r="E731" s="4" t="s">
        <v>83</v>
      </c>
      <c r="F731" s="4" t="s">
        <v>83</v>
      </c>
      <c r="G731" s="4" t="s">
        <v>134</v>
      </c>
      <c r="H731" s="4" t="s">
        <v>108</v>
      </c>
      <c r="I731" s="24" t="s">
        <v>359</v>
      </c>
      <c r="J731" s="15">
        <v>2</v>
      </c>
      <c r="K731" s="15">
        <v>2</v>
      </c>
      <c r="L731" s="15">
        <v>2</v>
      </c>
      <c r="M731" s="15">
        <v>2</v>
      </c>
      <c r="N731" s="15">
        <v>2</v>
      </c>
      <c r="O731" s="15">
        <v>2</v>
      </c>
      <c r="P731" s="15" t="s">
        <v>415</v>
      </c>
      <c r="Q731" s="23" t="s">
        <v>416</v>
      </c>
      <c r="R731" s="25">
        <f>ROUND((K731*Parametros!$B$4+L731*Parametros!$B$5+M731*Parametros!$B$6+N731*Parametros!$B$7+O731*Parametros!$B$8)/SUM(Parametros!$B$4:$B$8),2)</f>
        <v>2</v>
      </c>
      <c r="S731" s="26">
        <f>IFERROR(INDEX(Parametros!$F$33:$F$42,MATCH(D731,Parametros!$A$33:$A$42,0)),1)</f>
        <v>1.0169999999999999</v>
      </c>
      <c r="T731" s="27">
        <f>IFERROR(INDEX(Parametros!$B$21:$B$26,MATCH(I731,Parametros!$A$21:$A$26,0)),0)</f>
        <v>-0.2</v>
      </c>
      <c r="U731" s="28">
        <f t="shared" si="45"/>
        <v>1.83</v>
      </c>
      <c r="V731" s="9">
        <f>IF(U731&gt;=Parametros!$B$14,4,IF(U731&gt;=Parametros!$B$13,3,IF(U731&gt;=Parametros!$B$12,2,1)))</f>
        <v>1</v>
      </c>
      <c r="W731" s="5">
        <f>MAX(V731,IF(K731=5,Parametros!$B$17,0),IF(P731="Sim",Parametros!$B$18,0))</f>
        <v>1</v>
      </c>
      <c r="X731" s="5" t="str">
        <f t="shared" si="46"/>
        <v>Baixa</v>
      </c>
      <c r="Y731" s="29">
        <f t="shared" si="47"/>
        <v>1018.0992689999999</v>
      </c>
      <c r="Z731" s="4" t="s">
        <v>1410</v>
      </c>
    </row>
    <row r="732" spans="1:26" ht="28.05" customHeight="1" x14ac:dyDescent="0.3">
      <c r="A732" s="5">
        <f t="shared" si="44"/>
        <v>728</v>
      </c>
      <c r="B732" s="23" t="s">
        <v>1656</v>
      </c>
      <c r="C732" s="17" t="s">
        <v>1621</v>
      </c>
      <c r="D732" s="4" t="s">
        <v>56</v>
      </c>
      <c r="E732" s="4" t="s">
        <v>64</v>
      </c>
      <c r="F732" s="4" t="s">
        <v>64</v>
      </c>
      <c r="G732" s="4" t="s">
        <v>134</v>
      </c>
      <c r="H732" s="4" t="s">
        <v>108</v>
      </c>
      <c r="I732" s="24" t="s">
        <v>359</v>
      </c>
      <c r="J732" s="15">
        <v>2</v>
      </c>
      <c r="K732" s="15">
        <v>2</v>
      </c>
      <c r="L732" s="15">
        <v>2</v>
      </c>
      <c r="M732" s="15">
        <v>2</v>
      </c>
      <c r="N732" s="15">
        <v>2</v>
      </c>
      <c r="O732" s="15">
        <v>2</v>
      </c>
      <c r="P732" s="15" t="s">
        <v>415</v>
      </c>
      <c r="Q732" s="23" t="s">
        <v>416</v>
      </c>
      <c r="R732" s="25">
        <f>ROUND((K732*Parametros!$B$4+L732*Parametros!$B$5+M732*Parametros!$B$6+N732*Parametros!$B$7+O732*Parametros!$B$8)/SUM(Parametros!$B$4:$B$8),2)</f>
        <v>2</v>
      </c>
      <c r="S732" s="26">
        <f>IFERROR(INDEX(Parametros!$F$33:$F$42,MATCH(D732,Parametros!$A$33:$A$42,0)),1)</f>
        <v>1.0169999999999999</v>
      </c>
      <c r="T732" s="27">
        <f>IFERROR(INDEX(Parametros!$B$21:$B$26,MATCH(I732,Parametros!$A$21:$A$26,0)),0)</f>
        <v>-0.2</v>
      </c>
      <c r="U732" s="28">
        <f t="shared" si="45"/>
        <v>1.83</v>
      </c>
      <c r="V732" s="9">
        <f>IF(U732&gt;=Parametros!$B$14,4,IF(U732&gt;=Parametros!$B$13,3,IF(U732&gt;=Parametros!$B$12,2,1)))</f>
        <v>1</v>
      </c>
      <c r="W732" s="5">
        <f>MAX(V732,IF(K732=5,Parametros!$B$17,0),IF(P732="Sim",Parametros!$B$18,0))</f>
        <v>1</v>
      </c>
      <c r="X732" s="5" t="str">
        <f t="shared" si="46"/>
        <v>Baixa</v>
      </c>
      <c r="Y732" s="29">
        <f t="shared" si="47"/>
        <v>1018.0992679999999</v>
      </c>
      <c r="Z732" s="4" t="s">
        <v>1410</v>
      </c>
    </row>
    <row r="733" spans="1:26" ht="28.05" customHeight="1" x14ac:dyDescent="0.3">
      <c r="A733" s="5">
        <f t="shared" si="44"/>
        <v>729</v>
      </c>
      <c r="B733" s="23" t="s">
        <v>1657</v>
      </c>
      <c r="C733" s="17" t="s">
        <v>1623</v>
      </c>
      <c r="D733" s="4" t="s">
        <v>56</v>
      </c>
      <c r="E733" s="4" t="s">
        <v>64</v>
      </c>
      <c r="F733" s="4" t="s">
        <v>64</v>
      </c>
      <c r="G733" s="4" t="s">
        <v>134</v>
      </c>
      <c r="H733" s="4" t="s">
        <v>108</v>
      </c>
      <c r="I733" s="24" t="s">
        <v>359</v>
      </c>
      <c r="J733" s="15">
        <v>2</v>
      </c>
      <c r="K733" s="15">
        <v>2</v>
      </c>
      <c r="L733" s="15">
        <v>2</v>
      </c>
      <c r="M733" s="15">
        <v>2</v>
      </c>
      <c r="N733" s="15">
        <v>2</v>
      </c>
      <c r="O733" s="15">
        <v>2</v>
      </c>
      <c r="P733" s="15" t="s">
        <v>415</v>
      </c>
      <c r="Q733" s="23" t="s">
        <v>416</v>
      </c>
      <c r="R733" s="25">
        <f>ROUND((K733*Parametros!$B$4+L733*Parametros!$B$5+M733*Parametros!$B$6+N733*Parametros!$B$7+O733*Parametros!$B$8)/SUM(Parametros!$B$4:$B$8),2)</f>
        <v>2</v>
      </c>
      <c r="S733" s="26">
        <f>IFERROR(INDEX(Parametros!$F$33:$F$42,MATCH(D733,Parametros!$A$33:$A$42,0)),1)</f>
        <v>1.0169999999999999</v>
      </c>
      <c r="T733" s="27">
        <f>IFERROR(INDEX(Parametros!$B$21:$B$26,MATCH(I733,Parametros!$A$21:$A$26,0)),0)</f>
        <v>-0.2</v>
      </c>
      <c r="U733" s="28">
        <f t="shared" si="45"/>
        <v>1.83</v>
      </c>
      <c r="V733" s="9">
        <f>IF(U733&gt;=Parametros!$B$14,4,IF(U733&gt;=Parametros!$B$13,3,IF(U733&gt;=Parametros!$B$12,2,1)))</f>
        <v>1</v>
      </c>
      <c r="W733" s="5">
        <f>MAX(V733,IF(K733=5,Parametros!$B$17,0),IF(P733="Sim",Parametros!$B$18,0))</f>
        <v>1</v>
      </c>
      <c r="X733" s="5" t="str">
        <f t="shared" si="46"/>
        <v>Baixa</v>
      </c>
      <c r="Y733" s="29">
        <f t="shared" si="47"/>
        <v>1018.0992669999999</v>
      </c>
      <c r="Z733" s="4" t="s">
        <v>1410</v>
      </c>
    </row>
    <row r="734" spans="1:26" ht="28.05" customHeight="1" x14ac:dyDescent="0.3">
      <c r="A734" s="5">
        <f t="shared" si="44"/>
        <v>730</v>
      </c>
      <c r="B734" s="23" t="s">
        <v>1658</v>
      </c>
      <c r="C734" s="17" t="s">
        <v>1659</v>
      </c>
      <c r="D734" s="4" t="s">
        <v>51</v>
      </c>
      <c r="E734" s="4" t="s">
        <v>194</v>
      </c>
      <c r="F734" s="4" t="s">
        <v>194</v>
      </c>
      <c r="G734" s="4" t="s">
        <v>171</v>
      </c>
      <c r="H734" s="4" t="s">
        <v>172</v>
      </c>
      <c r="I734" s="24" t="s">
        <v>954</v>
      </c>
      <c r="J734" s="15">
        <v>2</v>
      </c>
      <c r="K734" s="15">
        <v>2</v>
      </c>
      <c r="L734" s="15">
        <v>3</v>
      </c>
      <c r="M734" s="15">
        <v>1</v>
      </c>
      <c r="N734" s="15">
        <v>2</v>
      </c>
      <c r="O734" s="15">
        <v>2</v>
      </c>
      <c r="P734" s="15" t="s">
        <v>415</v>
      </c>
      <c r="Q734" s="23" t="s">
        <v>838</v>
      </c>
      <c r="R734" s="25">
        <f>ROUND((K734*Parametros!$B$4+L734*Parametros!$B$5+M734*Parametros!$B$6+N734*Parametros!$B$7+O734*Parametros!$B$8)/SUM(Parametros!$B$4:$B$8),2)</f>
        <v>2</v>
      </c>
      <c r="S734" s="26">
        <f>IFERROR(INDEX(Parametros!$F$33:$F$42,MATCH(D734,Parametros!$A$33:$A$42,0)),1)</f>
        <v>1.0669999999999999</v>
      </c>
      <c r="T734" s="27">
        <f>IFERROR(INDEX(Parametros!$B$21:$B$26,MATCH(I734,Parametros!$A$21:$A$26,0)),0)</f>
        <v>-0.3</v>
      </c>
      <c r="U734" s="28">
        <f t="shared" si="45"/>
        <v>1.83</v>
      </c>
      <c r="V734" s="9">
        <f>IF(U734&gt;=Parametros!$B$14,4,IF(U734&gt;=Parametros!$B$13,3,IF(U734&gt;=Parametros!$B$12,2,1)))</f>
        <v>1</v>
      </c>
      <c r="W734" s="5">
        <f>MAX(V734,IF(K734=5,Parametros!$B$17,0),IF(P734="Sim",Parametros!$B$18,0))</f>
        <v>1</v>
      </c>
      <c r="X734" s="5" t="str">
        <f t="shared" si="46"/>
        <v>Baixa</v>
      </c>
      <c r="Y734" s="29">
        <f t="shared" si="47"/>
        <v>1018.0992659999999</v>
      </c>
      <c r="Z734" s="4" t="s">
        <v>1213</v>
      </c>
    </row>
    <row r="735" spans="1:26" ht="28.05" customHeight="1" x14ac:dyDescent="0.3">
      <c r="A735" s="5">
        <f t="shared" si="44"/>
        <v>731</v>
      </c>
      <c r="B735" s="23" t="s">
        <v>1660</v>
      </c>
      <c r="C735" s="17" t="s">
        <v>1661</v>
      </c>
      <c r="D735" s="4" t="s">
        <v>51</v>
      </c>
      <c r="E735" s="4" t="s">
        <v>81</v>
      </c>
      <c r="F735" s="4" t="s">
        <v>81</v>
      </c>
      <c r="G735" s="4" t="s">
        <v>119</v>
      </c>
      <c r="H735" s="4" t="s">
        <v>108</v>
      </c>
      <c r="I735" s="24" t="s">
        <v>954</v>
      </c>
      <c r="J735" s="15">
        <v>2</v>
      </c>
      <c r="K735" s="15">
        <v>2</v>
      </c>
      <c r="L735" s="15">
        <v>3</v>
      </c>
      <c r="M735" s="15">
        <v>1</v>
      </c>
      <c r="N735" s="15">
        <v>2</v>
      </c>
      <c r="O735" s="15">
        <v>2</v>
      </c>
      <c r="P735" s="15" t="s">
        <v>415</v>
      </c>
      <c r="Q735" s="23" t="s">
        <v>838</v>
      </c>
      <c r="R735" s="25">
        <f>ROUND((K735*Parametros!$B$4+L735*Parametros!$B$5+M735*Parametros!$B$6+N735*Parametros!$B$7+O735*Parametros!$B$8)/SUM(Parametros!$B$4:$B$8),2)</f>
        <v>2</v>
      </c>
      <c r="S735" s="26">
        <f>IFERROR(INDEX(Parametros!$F$33:$F$42,MATCH(D735,Parametros!$A$33:$A$42,0)),1)</f>
        <v>1.0669999999999999</v>
      </c>
      <c r="T735" s="27">
        <f>IFERROR(INDEX(Parametros!$B$21:$B$26,MATCH(I735,Parametros!$A$21:$A$26,0)),0)</f>
        <v>-0.3</v>
      </c>
      <c r="U735" s="28">
        <f t="shared" si="45"/>
        <v>1.83</v>
      </c>
      <c r="V735" s="9">
        <f>IF(U735&gt;=Parametros!$B$14,4,IF(U735&gt;=Parametros!$B$13,3,IF(U735&gt;=Parametros!$B$12,2,1)))</f>
        <v>1</v>
      </c>
      <c r="W735" s="5">
        <f>MAX(V735,IF(K735=5,Parametros!$B$17,0),IF(P735="Sim",Parametros!$B$18,0))</f>
        <v>1</v>
      </c>
      <c r="X735" s="5" t="str">
        <f t="shared" si="46"/>
        <v>Baixa</v>
      </c>
      <c r="Y735" s="29">
        <f t="shared" si="47"/>
        <v>1018.0992649999999</v>
      </c>
      <c r="Z735" s="4" t="s">
        <v>1213</v>
      </c>
    </row>
    <row r="736" spans="1:26" ht="28.05" customHeight="1" x14ac:dyDescent="0.3">
      <c r="A736" s="5">
        <f t="shared" si="44"/>
        <v>732</v>
      </c>
      <c r="B736" s="23" t="s">
        <v>1662</v>
      </c>
      <c r="C736" s="17" t="s">
        <v>1663</v>
      </c>
      <c r="D736" s="4" t="s">
        <v>51</v>
      </c>
      <c r="E736" s="4" t="s">
        <v>69</v>
      </c>
      <c r="F736" s="4" t="s">
        <v>69</v>
      </c>
      <c r="G736" s="4" t="s">
        <v>171</v>
      </c>
      <c r="H736" s="4" t="s">
        <v>172</v>
      </c>
      <c r="I736" s="24" t="s">
        <v>954</v>
      </c>
      <c r="J736" s="15">
        <v>2</v>
      </c>
      <c r="K736" s="15">
        <v>2</v>
      </c>
      <c r="L736" s="15">
        <v>3</v>
      </c>
      <c r="M736" s="15">
        <v>1</v>
      </c>
      <c r="N736" s="15">
        <v>2</v>
      </c>
      <c r="O736" s="15">
        <v>2</v>
      </c>
      <c r="P736" s="15" t="s">
        <v>415</v>
      </c>
      <c r="Q736" s="23" t="s">
        <v>838</v>
      </c>
      <c r="R736" s="25">
        <f>ROUND((K736*Parametros!$B$4+L736*Parametros!$B$5+M736*Parametros!$B$6+N736*Parametros!$B$7+O736*Parametros!$B$8)/SUM(Parametros!$B$4:$B$8),2)</f>
        <v>2</v>
      </c>
      <c r="S736" s="26">
        <f>IFERROR(INDEX(Parametros!$F$33:$F$42,MATCH(D736,Parametros!$A$33:$A$42,0)),1)</f>
        <v>1.0669999999999999</v>
      </c>
      <c r="T736" s="27">
        <f>IFERROR(INDEX(Parametros!$B$21:$B$26,MATCH(I736,Parametros!$A$21:$A$26,0)),0)</f>
        <v>-0.3</v>
      </c>
      <c r="U736" s="28">
        <f t="shared" si="45"/>
        <v>1.83</v>
      </c>
      <c r="V736" s="9">
        <f>IF(U736&gt;=Parametros!$B$14,4,IF(U736&gt;=Parametros!$B$13,3,IF(U736&gt;=Parametros!$B$12,2,1)))</f>
        <v>1</v>
      </c>
      <c r="W736" s="5">
        <f>MAX(V736,IF(K736=5,Parametros!$B$17,0),IF(P736="Sim",Parametros!$B$18,0))</f>
        <v>1</v>
      </c>
      <c r="X736" s="5" t="str">
        <f t="shared" si="46"/>
        <v>Baixa</v>
      </c>
      <c r="Y736" s="29">
        <f t="shared" si="47"/>
        <v>1018.0992639999999</v>
      </c>
      <c r="Z736" s="4" t="s">
        <v>1213</v>
      </c>
    </row>
    <row r="737" spans="1:26" ht="28.05" customHeight="1" x14ac:dyDescent="0.3">
      <c r="A737" s="5">
        <f t="shared" si="44"/>
        <v>733</v>
      </c>
      <c r="B737" s="23" t="s">
        <v>1664</v>
      </c>
      <c r="C737" s="17" t="s">
        <v>1661</v>
      </c>
      <c r="D737" s="4" t="s">
        <v>51</v>
      </c>
      <c r="E737" s="4" t="s">
        <v>85</v>
      </c>
      <c r="F737" s="4" t="s">
        <v>85</v>
      </c>
      <c r="G737" s="4" t="s">
        <v>119</v>
      </c>
      <c r="H737" s="4" t="s">
        <v>108</v>
      </c>
      <c r="I737" s="24" t="s">
        <v>954</v>
      </c>
      <c r="J737" s="15">
        <v>2</v>
      </c>
      <c r="K737" s="15">
        <v>2</v>
      </c>
      <c r="L737" s="15">
        <v>3</v>
      </c>
      <c r="M737" s="15">
        <v>1</v>
      </c>
      <c r="N737" s="15">
        <v>2</v>
      </c>
      <c r="O737" s="15">
        <v>2</v>
      </c>
      <c r="P737" s="15" t="s">
        <v>415</v>
      </c>
      <c r="Q737" s="23" t="s">
        <v>838</v>
      </c>
      <c r="R737" s="25">
        <f>ROUND((K737*Parametros!$B$4+L737*Parametros!$B$5+M737*Parametros!$B$6+N737*Parametros!$B$7+O737*Parametros!$B$8)/SUM(Parametros!$B$4:$B$8),2)</f>
        <v>2</v>
      </c>
      <c r="S737" s="26">
        <f>IFERROR(INDEX(Parametros!$F$33:$F$42,MATCH(D737,Parametros!$A$33:$A$42,0)),1)</f>
        <v>1.0669999999999999</v>
      </c>
      <c r="T737" s="27">
        <f>IFERROR(INDEX(Parametros!$B$21:$B$26,MATCH(I737,Parametros!$A$21:$A$26,0)),0)</f>
        <v>-0.3</v>
      </c>
      <c r="U737" s="28">
        <f t="shared" si="45"/>
        <v>1.83</v>
      </c>
      <c r="V737" s="9">
        <f>IF(U737&gt;=Parametros!$B$14,4,IF(U737&gt;=Parametros!$B$13,3,IF(U737&gt;=Parametros!$B$12,2,1)))</f>
        <v>1</v>
      </c>
      <c r="W737" s="5">
        <f>MAX(V737,IF(K737=5,Parametros!$B$17,0),IF(P737="Sim",Parametros!$B$18,0))</f>
        <v>1</v>
      </c>
      <c r="X737" s="5" t="str">
        <f t="shared" si="46"/>
        <v>Baixa</v>
      </c>
      <c r="Y737" s="29">
        <f t="shared" si="47"/>
        <v>1018.099263</v>
      </c>
      <c r="Z737" s="4" t="s">
        <v>1213</v>
      </c>
    </row>
    <row r="738" spans="1:26" ht="28.05" customHeight="1" x14ac:dyDescent="0.3">
      <c r="A738" s="5">
        <f t="shared" si="44"/>
        <v>734</v>
      </c>
      <c r="B738" s="23" t="s">
        <v>1665</v>
      </c>
      <c r="C738" s="17" t="s">
        <v>1666</v>
      </c>
      <c r="D738" s="4" t="s">
        <v>51</v>
      </c>
      <c r="E738" s="4" t="s">
        <v>82</v>
      </c>
      <c r="F738" s="4" t="s">
        <v>82</v>
      </c>
      <c r="G738" s="4" t="s">
        <v>171</v>
      </c>
      <c r="H738" s="4" t="s">
        <v>172</v>
      </c>
      <c r="I738" s="24" t="s">
        <v>954</v>
      </c>
      <c r="J738" s="15">
        <v>2</v>
      </c>
      <c r="K738" s="15">
        <v>2</v>
      </c>
      <c r="L738" s="15">
        <v>3</v>
      </c>
      <c r="M738" s="15">
        <v>1</v>
      </c>
      <c r="N738" s="15">
        <v>2</v>
      </c>
      <c r="O738" s="15">
        <v>2</v>
      </c>
      <c r="P738" s="15" t="s">
        <v>415</v>
      </c>
      <c r="Q738" s="23" t="s">
        <v>838</v>
      </c>
      <c r="R738" s="25">
        <f>ROUND((K738*Parametros!$B$4+L738*Parametros!$B$5+M738*Parametros!$B$6+N738*Parametros!$B$7+O738*Parametros!$B$8)/SUM(Parametros!$B$4:$B$8),2)</f>
        <v>2</v>
      </c>
      <c r="S738" s="26">
        <f>IFERROR(INDEX(Parametros!$F$33:$F$42,MATCH(D738,Parametros!$A$33:$A$42,0)),1)</f>
        <v>1.0669999999999999</v>
      </c>
      <c r="T738" s="27">
        <f>IFERROR(INDEX(Parametros!$B$21:$B$26,MATCH(I738,Parametros!$A$21:$A$26,0)),0)</f>
        <v>-0.3</v>
      </c>
      <c r="U738" s="28">
        <f t="shared" si="45"/>
        <v>1.83</v>
      </c>
      <c r="V738" s="9">
        <f>IF(U738&gt;=Parametros!$B$14,4,IF(U738&gt;=Parametros!$B$13,3,IF(U738&gt;=Parametros!$B$12,2,1)))</f>
        <v>1</v>
      </c>
      <c r="W738" s="5">
        <f>MAX(V738,IF(K738=5,Parametros!$B$17,0),IF(P738="Sim",Parametros!$B$18,0))</f>
        <v>1</v>
      </c>
      <c r="X738" s="5" t="str">
        <f t="shared" si="46"/>
        <v>Baixa</v>
      </c>
      <c r="Y738" s="29">
        <f t="shared" si="47"/>
        <v>1018.099262</v>
      </c>
      <c r="Z738" s="4" t="s">
        <v>1213</v>
      </c>
    </row>
    <row r="739" spans="1:26" ht="28.05" customHeight="1" x14ac:dyDescent="0.3">
      <c r="A739" s="5">
        <f t="shared" si="44"/>
        <v>735</v>
      </c>
      <c r="B739" s="23" t="s">
        <v>1667</v>
      </c>
      <c r="C739" s="17" t="s">
        <v>1668</v>
      </c>
      <c r="D739" s="4" t="s">
        <v>51</v>
      </c>
      <c r="E739" s="4" t="s">
        <v>194</v>
      </c>
      <c r="F739" s="4" t="s">
        <v>194</v>
      </c>
      <c r="G739" s="4" t="s">
        <v>171</v>
      </c>
      <c r="H739" s="4" t="s">
        <v>172</v>
      </c>
      <c r="I739" s="24" t="s">
        <v>954</v>
      </c>
      <c r="J739" s="15">
        <v>2</v>
      </c>
      <c r="K739" s="15">
        <v>2</v>
      </c>
      <c r="L739" s="15">
        <v>3</v>
      </c>
      <c r="M739" s="15">
        <v>1</v>
      </c>
      <c r="N739" s="15">
        <v>2</v>
      </c>
      <c r="O739" s="15">
        <v>2</v>
      </c>
      <c r="P739" s="15" t="s">
        <v>415</v>
      </c>
      <c r="Q739" s="23" t="s">
        <v>838</v>
      </c>
      <c r="R739" s="25">
        <f>ROUND((K739*Parametros!$B$4+L739*Parametros!$B$5+M739*Parametros!$B$6+N739*Parametros!$B$7+O739*Parametros!$B$8)/SUM(Parametros!$B$4:$B$8),2)</f>
        <v>2</v>
      </c>
      <c r="S739" s="26">
        <f>IFERROR(INDEX(Parametros!$F$33:$F$42,MATCH(D739,Parametros!$A$33:$A$42,0)),1)</f>
        <v>1.0669999999999999</v>
      </c>
      <c r="T739" s="27">
        <f>IFERROR(INDEX(Parametros!$B$21:$B$26,MATCH(I739,Parametros!$A$21:$A$26,0)),0)</f>
        <v>-0.3</v>
      </c>
      <c r="U739" s="28">
        <f t="shared" si="45"/>
        <v>1.83</v>
      </c>
      <c r="V739" s="9">
        <f>IF(U739&gt;=Parametros!$B$14,4,IF(U739&gt;=Parametros!$B$13,3,IF(U739&gt;=Parametros!$B$12,2,1)))</f>
        <v>1</v>
      </c>
      <c r="W739" s="5">
        <f>MAX(V739,IF(K739=5,Parametros!$B$17,0),IF(P739="Sim",Parametros!$B$18,0))</f>
        <v>1</v>
      </c>
      <c r="X739" s="5" t="str">
        <f t="shared" si="46"/>
        <v>Baixa</v>
      </c>
      <c r="Y739" s="29">
        <f t="shared" si="47"/>
        <v>1018.099261</v>
      </c>
      <c r="Z739" s="4" t="s">
        <v>1213</v>
      </c>
    </row>
    <row r="740" spans="1:26" ht="28.05" customHeight="1" x14ac:dyDescent="0.3">
      <c r="A740" s="5">
        <f t="shared" si="44"/>
        <v>736</v>
      </c>
      <c r="B740" s="23" t="s">
        <v>1669</v>
      </c>
      <c r="C740" s="17" t="s">
        <v>1670</v>
      </c>
      <c r="D740" s="4" t="s">
        <v>51</v>
      </c>
      <c r="E740" s="4" t="s">
        <v>194</v>
      </c>
      <c r="F740" s="4" t="s">
        <v>194</v>
      </c>
      <c r="G740" s="4" t="s">
        <v>171</v>
      </c>
      <c r="H740" s="4" t="s">
        <v>172</v>
      </c>
      <c r="I740" s="24" t="s">
        <v>954</v>
      </c>
      <c r="J740" s="15">
        <v>2</v>
      </c>
      <c r="K740" s="15">
        <v>2</v>
      </c>
      <c r="L740" s="15">
        <v>3</v>
      </c>
      <c r="M740" s="15">
        <v>1</v>
      </c>
      <c r="N740" s="15">
        <v>2</v>
      </c>
      <c r="O740" s="15">
        <v>2</v>
      </c>
      <c r="P740" s="15" t="s">
        <v>415</v>
      </c>
      <c r="Q740" s="23" t="s">
        <v>838</v>
      </c>
      <c r="R740" s="25">
        <f>ROUND((K740*Parametros!$B$4+L740*Parametros!$B$5+M740*Parametros!$B$6+N740*Parametros!$B$7+O740*Parametros!$B$8)/SUM(Parametros!$B$4:$B$8),2)</f>
        <v>2</v>
      </c>
      <c r="S740" s="26">
        <f>IFERROR(INDEX(Parametros!$F$33:$F$42,MATCH(D740,Parametros!$A$33:$A$42,0)),1)</f>
        <v>1.0669999999999999</v>
      </c>
      <c r="T740" s="27">
        <f>IFERROR(INDEX(Parametros!$B$21:$B$26,MATCH(I740,Parametros!$A$21:$A$26,0)),0)</f>
        <v>-0.3</v>
      </c>
      <c r="U740" s="28">
        <f t="shared" si="45"/>
        <v>1.83</v>
      </c>
      <c r="V740" s="9">
        <f>IF(U740&gt;=Parametros!$B$14,4,IF(U740&gt;=Parametros!$B$13,3,IF(U740&gt;=Parametros!$B$12,2,1)))</f>
        <v>1</v>
      </c>
      <c r="W740" s="5">
        <f>MAX(V740,IF(K740=5,Parametros!$B$17,0),IF(P740="Sim",Parametros!$B$18,0))</f>
        <v>1</v>
      </c>
      <c r="X740" s="5" t="str">
        <f t="shared" si="46"/>
        <v>Baixa</v>
      </c>
      <c r="Y740" s="29">
        <f t="shared" si="47"/>
        <v>1018.09926</v>
      </c>
      <c r="Z740" s="4" t="s">
        <v>1213</v>
      </c>
    </row>
    <row r="741" spans="1:26" ht="28.05" customHeight="1" x14ac:dyDescent="0.3">
      <c r="A741" s="5">
        <f t="shared" si="44"/>
        <v>737</v>
      </c>
      <c r="B741" s="23" t="s">
        <v>1671</v>
      </c>
      <c r="C741" s="17" t="s">
        <v>1672</v>
      </c>
      <c r="D741" s="4" t="s">
        <v>56</v>
      </c>
      <c r="E741" s="4" t="s">
        <v>64</v>
      </c>
      <c r="F741" s="4" t="s">
        <v>64</v>
      </c>
      <c r="G741" s="4" t="s">
        <v>134</v>
      </c>
      <c r="H741" s="4" t="s">
        <v>108</v>
      </c>
      <c r="I741" s="24" t="s">
        <v>131</v>
      </c>
      <c r="J741" s="15">
        <v>3</v>
      </c>
      <c r="K741" s="15">
        <v>2</v>
      </c>
      <c r="L741" s="15">
        <v>2</v>
      </c>
      <c r="M741" s="15">
        <v>1</v>
      </c>
      <c r="N741" s="15">
        <v>2</v>
      </c>
      <c r="O741" s="15">
        <v>2</v>
      </c>
      <c r="P741" s="15" t="s">
        <v>415</v>
      </c>
      <c r="Q741" s="23" t="s">
        <v>416</v>
      </c>
      <c r="R741" s="25">
        <f>ROUND((K741*Parametros!$B$4+L741*Parametros!$B$5+M741*Parametros!$B$6+N741*Parametros!$B$7+O741*Parametros!$B$8)/SUM(Parametros!$B$4:$B$8),2)</f>
        <v>1.8</v>
      </c>
      <c r="S741" s="26">
        <f>IFERROR(INDEX(Parametros!$F$33:$F$42,MATCH(D741,Parametros!$A$33:$A$42,0)),1)</f>
        <v>1.0169999999999999</v>
      </c>
      <c r="T741" s="27">
        <f>IFERROR(INDEX(Parametros!$B$21:$B$26,MATCH(I741,Parametros!$A$21:$A$26,0)),0)</f>
        <v>0</v>
      </c>
      <c r="U741" s="28">
        <f t="shared" si="45"/>
        <v>1.83</v>
      </c>
      <c r="V741" s="9">
        <f>IF(U741&gt;=Parametros!$B$14,4,IF(U741&gt;=Parametros!$B$13,3,IF(U741&gt;=Parametros!$B$12,2,1)))</f>
        <v>1</v>
      </c>
      <c r="W741" s="5">
        <f>MAX(V741,IF(K741=5,Parametros!$B$17,0),IF(P741="Sim",Parametros!$B$18,0))</f>
        <v>1</v>
      </c>
      <c r="X741" s="5" t="str">
        <f t="shared" si="46"/>
        <v>Baixa</v>
      </c>
      <c r="Y741" s="29">
        <f t="shared" si="47"/>
        <v>1017.9992590000001</v>
      </c>
      <c r="Z741" s="4" t="s">
        <v>659</v>
      </c>
    </row>
    <row r="742" spans="1:26" ht="28.05" customHeight="1" x14ac:dyDescent="0.3">
      <c r="A742" s="5">
        <f t="shared" si="44"/>
        <v>738</v>
      </c>
      <c r="B742" s="23" t="s">
        <v>1673</v>
      </c>
      <c r="C742" s="17" t="s">
        <v>1674</v>
      </c>
      <c r="D742" s="4" t="s">
        <v>53</v>
      </c>
      <c r="E742" s="4" t="s">
        <v>76</v>
      </c>
      <c r="F742" s="4" t="s">
        <v>76</v>
      </c>
      <c r="G742" s="4" t="s">
        <v>112</v>
      </c>
      <c r="H742" s="4" t="s">
        <v>108</v>
      </c>
      <c r="I742" s="24" t="s">
        <v>954</v>
      </c>
      <c r="J742" s="15">
        <v>2</v>
      </c>
      <c r="K742" s="15">
        <v>2</v>
      </c>
      <c r="L742" s="15">
        <v>3</v>
      </c>
      <c r="M742" s="15">
        <v>1</v>
      </c>
      <c r="N742" s="15">
        <v>2</v>
      </c>
      <c r="O742" s="15">
        <v>2</v>
      </c>
      <c r="P742" s="15" t="s">
        <v>415</v>
      </c>
      <c r="Q742" s="23" t="s">
        <v>416</v>
      </c>
      <c r="R742" s="25">
        <f>ROUND((K742*Parametros!$B$4+L742*Parametros!$B$5+M742*Parametros!$B$6+N742*Parametros!$B$7+O742*Parametros!$B$8)/SUM(Parametros!$B$4:$B$8),2)</f>
        <v>2</v>
      </c>
      <c r="S742" s="26">
        <f>IFERROR(INDEX(Parametros!$F$33:$F$42,MATCH(D742,Parametros!$A$33:$A$42,0)),1)</f>
        <v>1.05</v>
      </c>
      <c r="T742" s="27">
        <f>IFERROR(INDEX(Parametros!$B$21:$B$26,MATCH(I742,Parametros!$A$21:$A$26,0)),0)</f>
        <v>-0.3</v>
      </c>
      <c r="U742" s="28">
        <f t="shared" si="45"/>
        <v>1.8</v>
      </c>
      <c r="V742" s="9">
        <f>IF(U742&gt;=Parametros!$B$14,4,IF(U742&gt;=Parametros!$B$13,3,IF(U742&gt;=Parametros!$B$12,2,1)))</f>
        <v>1</v>
      </c>
      <c r="W742" s="5">
        <f>MAX(V742,IF(K742=5,Parametros!$B$17,0),IF(P742="Sim",Parametros!$B$18,0))</f>
        <v>1</v>
      </c>
      <c r="X742" s="5" t="str">
        <f t="shared" si="46"/>
        <v>Baixa</v>
      </c>
      <c r="Y742" s="29">
        <f t="shared" si="47"/>
        <v>1017.799258</v>
      </c>
      <c r="Z742" s="4" t="s">
        <v>1213</v>
      </c>
    </row>
    <row r="743" spans="1:26" ht="28.05" customHeight="1" x14ac:dyDescent="0.3">
      <c r="A743" s="5">
        <f t="shared" si="44"/>
        <v>739</v>
      </c>
      <c r="B743" s="23" t="s">
        <v>1675</v>
      </c>
      <c r="C743" s="17" t="s">
        <v>1676</v>
      </c>
      <c r="D743" s="4" t="s">
        <v>53</v>
      </c>
      <c r="E743" s="4" t="s">
        <v>68</v>
      </c>
      <c r="F743" s="4" t="s">
        <v>68</v>
      </c>
      <c r="G743" s="4" t="s">
        <v>171</v>
      </c>
      <c r="H743" s="4" t="s">
        <v>172</v>
      </c>
      <c r="I743" s="24" t="s">
        <v>954</v>
      </c>
      <c r="J743" s="15">
        <v>2</v>
      </c>
      <c r="K743" s="15">
        <v>2</v>
      </c>
      <c r="L743" s="15">
        <v>3</v>
      </c>
      <c r="M743" s="15">
        <v>1</v>
      </c>
      <c r="N743" s="15">
        <v>2</v>
      </c>
      <c r="O743" s="15">
        <v>2</v>
      </c>
      <c r="P743" s="15" t="s">
        <v>415</v>
      </c>
      <c r="Q743" s="23" t="s">
        <v>416</v>
      </c>
      <c r="R743" s="25">
        <f>ROUND((K743*Parametros!$B$4+L743*Parametros!$B$5+M743*Parametros!$B$6+N743*Parametros!$B$7+O743*Parametros!$B$8)/SUM(Parametros!$B$4:$B$8),2)</f>
        <v>2</v>
      </c>
      <c r="S743" s="26">
        <f>IFERROR(INDEX(Parametros!$F$33:$F$42,MATCH(D743,Parametros!$A$33:$A$42,0)),1)</f>
        <v>1.05</v>
      </c>
      <c r="T743" s="27">
        <f>IFERROR(INDEX(Parametros!$B$21:$B$26,MATCH(I743,Parametros!$A$21:$A$26,0)),0)</f>
        <v>-0.3</v>
      </c>
      <c r="U743" s="28">
        <f t="shared" si="45"/>
        <v>1.8</v>
      </c>
      <c r="V743" s="9">
        <f>IF(U743&gt;=Parametros!$B$14,4,IF(U743&gt;=Parametros!$B$13,3,IF(U743&gt;=Parametros!$B$12,2,1)))</f>
        <v>1</v>
      </c>
      <c r="W743" s="5">
        <f>MAX(V743,IF(K743=5,Parametros!$B$17,0),IF(P743="Sim",Parametros!$B$18,0))</f>
        <v>1</v>
      </c>
      <c r="X743" s="5" t="str">
        <f t="shared" si="46"/>
        <v>Baixa</v>
      </c>
      <c r="Y743" s="29">
        <f t="shared" si="47"/>
        <v>1017.7992569999999</v>
      </c>
      <c r="Z743" s="4" t="s">
        <v>1213</v>
      </c>
    </row>
    <row r="744" spans="1:26" ht="28.05" customHeight="1" x14ac:dyDescent="0.3">
      <c r="A744" s="5">
        <f t="shared" si="44"/>
        <v>740</v>
      </c>
      <c r="B744" s="23" t="s">
        <v>1677</v>
      </c>
      <c r="C744" s="17" t="s">
        <v>1678</v>
      </c>
      <c r="D744" s="4" t="s">
        <v>53</v>
      </c>
      <c r="E744" s="4" t="s">
        <v>68</v>
      </c>
      <c r="F744" s="4" t="s">
        <v>68</v>
      </c>
      <c r="G744" s="4" t="s">
        <v>171</v>
      </c>
      <c r="H744" s="4" t="s">
        <v>172</v>
      </c>
      <c r="I744" s="24" t="s">
        <v>954</v>
      </c>
      <c r="J744" s="15">
        <v>2</v>
      </c>
      <c r="K744" s="15">
        <v>2</v>
      </c>
      <c r="L744" s="15">
        <v>3</v>
      </c>
      <c r="M744" s="15">
        <v>1</v>
      </c>
      <c r="N744" s="15">
        <v>2</v>
      </c>
      <c r="O744" s="15">
        <v>2</v>
      </c>
      <c r="P744" s="15" t="s">
        <v>415</v>
      </c>
      <c r="Q744" s="23" t="s">
        <v>416</v>
      </c>
      <c r="R744" s="25">
        <f>ROUND((K744*Parametros!$B$4+L744*Parametros!$B$5+M744*Parametros!$B$6+N744*Parametros!$B$7+O744*Parametros!$B$8)/SUM(Parametros!$B$4:$B$8),2)</f>
        <v>2</v>
      </c>
      <c r="S744" s="26">
        <f>IFERROR(INDEX(Parametros!$F$33:$F$42,MATCH(D744,Parametros!$A$33:$A$42,0)),1)</f>
        <v>1.05</v>
      </c>
      <c r="T744" s="27">
        <f>IFERROR(INDEX(Parametros!$B$21:$B$26,MATCH(I744,Parametros!$A$21:$A$26,0)),0)</f>
        <v>-0.3</v>
      </c>
      <c r="U744" s="28">
        <f t="shared" si="45"/>
        <v>1.8</v>
      </c>
      <c r="V744" s="9">
        <f>IF(U744&gt;=Parametros!$B$14,4,IF(U744&gt;=Parametros!$B$13,3,IF(U744&gt;=Parametros!$B$12,2,1)))</f>
        <v>1</v>
      </c>
      <c r="W744" s="5">
        <f>MAX(V744,IF(K744=5,Parametros!$B$17,0),IF(P744="Sim",Parametros!$B$18,0))</f>
        <v>1</v>
      </c>
      <c r="X744" s="5" t="str">
        <f t="shared" si="46"/>
        <v>Baixa</v>
      </c>
      <c r="Y744" s="29">
        <f t="shared" si="47"/>
        <v>1017.7992559999999</v>
      </c>
      <c r="Z744" s="4" t="s">
        <v>1213</v>
      </c>
    </row>
    <row r="745" spans="1:26" ht="28.05" customHeight="1" x14ac:dyDescent="0.3">
      <c r="A745" s="5">
        <f t="shared" si="44"/>
        <v>741</v>
      </c>
      <c r="B745" s="23" t="s">
        <v>1679</v>
      </c>
      <c r="C745" s="17" t="s">
        <v>1680</v>
      </c>
      <c r="D745" s="4" t="s">
        <v>53</v>
      </c>
      <c r="E745" s="4" t="s">
        <v>76</v>
      </c>
      <c r="F745" s="4" t="s">
        <v>76</v>
      </c>
      <c r="G745" s="4" t="s">
        <v>171</v>
      </c>
      <c r="H745" s="4" t="s">
        <v>172</v>
      </c>
      <c r="I745" s="24" t="s">
        <v>954</v>
      </c>
      <c r="J745" s="15">
        <v>2</v>
      </c>
      <c r="K745" s="15">
        <v>2</v>
      </c>
      <c r="L745" s="15">
        <v>3</v>
      </c>
      <c r="M745" s="15">
        <v>1</v>
      </c>
      <c r="N745" s="15">
        <v>2</v>
      </c>
      <c r="O745" s="15">
        <v>2</v>
      </c>
      <c r="P745" s="15" t="s">
        <v>415</v>
      </c>
      <c r="Q745" s="23" t="s">
        <v>416</v>
      </c>
      <c r="R745" s="25">
        <f>ROUND((K745*Parametros!$B$4+L745*Parametros!$B$5+M745*Parametros!$B$6+N745*Parametros!$B$7+O745*Parametros!$B$8)/SUM(Parametros!$B$4:$B$8),2)</f>
        <v>2</v>
      </c>
      <c r="S745" s="26">
        <f>IFERROR(INDEX(Parametros!$F$33:$F$42,MATCH(D745,Parametros!$A$33:$A$42,0)),1)</f>
        <v>1.05</v>
      </c>
      <c r="T745" s="27">
        <f>IFERROR(INDEX(Parametros!$B$21:$B$26,MATCH(I745,Parametros!$A$21:$A$26,0)),0)</f>
        <v>-0.3</v>
      </c>
      <c r="U745" s="28">
        <f t="shared" si="45"/>
        <v>1.8</v>
      </c>
      <c r="V745" s="9">
        <f>IF(U745&gt;=Parametros!$B$14,4,IF(U745&gt;=Parametros!$B$13,3,IF(U745&gt;=Parametros!$B$12,2,1)))</f>
        <v>1</v>
      </c>
      <c r="W745" s="5">
        <f>MAX(V745,IF(K745=5,Parametros!$B$17,0),IF(P745="Sim",Parametros!$B$18,0))</f>
        <v>1</v>
      </c>
      <c r="X745" s="5" t="str">
        <f t="shared" si="46"/>
        <v>Baixa</v>
      </c>
      <c r="Y745" s="29">
        <f t="shared" si="47"/>
        <v>1017.7992549999999</v>
      </c>
      <c r="Z745" s="4" t="s">
        <v>1213</v>
      </c>
    </row>
    <row r="746" spans="1:26" ht="28.05" customHeight="1" x14ac:dyDescent="0.3">
      <c r="A746" s="5">
        <f t="shared" si="44"/>
        <v>742</v>
      </c>
      <c r="B746" s="23" t="s">
        <v>1681</v>
      </c>
      <c r="C746" s="17" t="s">
        <v>1682</v>
      </c>
      <c r="D746" s="4" t="s">
        <v>53</v>
      </c>
      <c r="E746" s="4" t="s">
        <v>76</v>
      </c>
      <c r="F746" s="4" t="s">
        <v>76</v>
      </c>
      <c r="G746" s="4" t="s">
        <v>112</v>
      </c>
      <c r="H746" s="4" t="s">
        <v>108</v>
      </c>
      <c r="I746" s="24" t="s">
        <v>954</v>
      </c>
      <c r="J746" s="15">
        <v>2</v>
      </c>
      <c r="K746" s="15">
        <v>2</v>
      </c>
      <c r="L746" s="15">
        <v>3</v>
      </c>
      <c r="M746" s="15">
        <v>1</v>
      </c>
      <c r="N746" s="15">
        <v>2</v>
      </c>
      <c r="O746" s="15">
        <v>2</v>
      </c>
      <c r="P746" s="15" t="s">
        <v>415</v>
      </c>
      <c r="Q746" s="23" t="s">
        <v>416</v>
      </c>
      <c r="R746" s="25">
        <f>ROUND((K746*Parametros!$B$4+L746*Parametros!$B$5+M746*Parametros!$B$6+N746*Parametros!$B$7+O746*Parametros!$B$8)/SUM(Parametros!$B$4:$B$8),2)</f>
        <v>2</v>
      </c>
      <c r="S746" s="26">
        <f>IFERROR(INDEX(Parametros!$F$33:$F$42,MATCH(D746,Parametros!$A$33:$A$42,0)),1)</f>
        <v>1.05</v>
      </c>
      <c r="T746" s="27">
        <f>IFERROR(INDEX(Parametros!$B$21:$B$26,MATCH(I746,Parametros!$A$21:$A$26,0)),0)</f>
        <v>-0.3</v>
      </c>
      <c r="U746" s="28">
        <f t="shared" si="45"/>
        <v>1.8</v>
      </c>
      <c r="V746" s="9">
        <f>IF(U746&gt;=Parametros!$B$14,4,IF(U746&gt;=Parametros!$B$13,3,IF(U746&gt;=Parametros!$B$12,2,1)))</f>
        <v>1</v>
      </c>
      <c r="W746" s="5">
        <f>MAX(V746,IF(K746=5,Parametros!$B$17,0),IF(P746="Sim",Parametros!$B$18,0))</f>
        <v>1</v>
      </c>
      <c r="X746" s="5" t="str">
        <f t="shared" si="46"/>
        <v>Baixa</v>
      </c>
      <c r="Y746" s="29">
        <f t="shared" si="47"/>
        <v>1017.7992539999999</v>
      </c>
      <c r="Z746" s="4" t="s">
        <v>1213</v>
      </c>
    </row>
    <row r="747" spans="1:26" ht="28.05" customHeight="1" x14ac:dyDescent="0.3">
      <c r="A747" s="5">
        <f t="shared" si="44"/>
        <v>743</v>
      </c>
      <c r="B747" s="23" t="s">
        <v>1683</v>
      </c>
      <c r="C747" s="17" t="s">
        <v>1684</v>
      </c>
      <c r="D747" s="4" t="s">
        <v>53</v>
      </c>
      <c r="E747" s="4" t="s">
        <v>68</v>
      </c>
      <c r="F747" s="4" t="s">
        <v>68</v>
      </c>
      <c r="G747" s="4" t="s">
        <v>112</v>
      </c>
      <c r="H747" s="4" t="s">
        <v>108</v>
      </c>
      <c r="I747" s="24" t="s">
        <v>954</v>
      </c>
      <c r="J747" s="15">
        <v>2</v>
      </c>
      <c r="K747" s="15">
        <v>2</v>
      </c>
      <c r="L747" s="15">
        <v>3</v>
      </c>
      <c r="M747" s="15">
        <v>1</v>
      </c>
      <c r="N747" s="15">
        <v>2</v>
      </c>
      <c r="O747" s="15">
        <v>2</v>
      </c>
      <c r="P747" s="15" t="s">
        <v>415</v>
      </c>
      <c r="Q747" s="23" t="s">
        <v>416</v>
      </c>
      <c r="R747" s="25">
        <f>ROUND((K747*Parametros!$B$4+L747*Parametros!$B$5+M747*Parametros!$B$6+N747*Parametros!$B$7+O747*Parametros!$B$8)/SUM(Parametros!$B$4:$B$8),2)</f>
        <v>2</v>
      </c>
      <c r="S747" s="26">
        <f>IFERROR(INDEX(Parametros!$F$33:$F$42,MATCH(D747,Parametros!$A$33:$A$42,0)),1)</f>
        <v>1.05</v>
      </c>
      <c r="T747" s="27">
        <f>IFERROR(INDEX(Parametros!$B$21:$B$26,MATCH(I747,Parametros!$A$21:$A$26,0)),0)</f>
        <v>-0.3</v>
      </c>
      <c r="U747" s="28">
        <f t="shared" si="45"/>
        <v>1.8</v>
      </c>
      <c r="V747" s="9">
        <f>IF(U747&gt;=Parametros!$B$14,4,IF(U747&gt;=Parametros!$B$13,3,IF(U747&gt;=Parametros!$B$12,2,1)))</f>
        <v>1</v>
      </c>
      <c r="W747" s="5">
        <f>MAX(V747,IF(K747=5,Parametros!$B$17,0),IF(P747="Sim",Parametros!$B$18,0))</f>
        <v>1</v>
      </c>
      <c r="X747" s="5" t="str">
        <f t="shared" si="46"/>
        <v>Baixa</v>
      </c>
      <c r="Y747" s="29">
        <f t="shared" si="47"/>
        <v>1017.7992529999999</v>
      </c>
      <c r="Z747" s="4" t="s">
        <v>1213</v>
      </c>
    </row>
    <row r="748" spans="1:26" ht="28.05" customHeight="1" x14ac:dyDescent="0.3">
      <c r="A748" s="5">
        <f t="shared" si="44"/>
        <v>744</v>
      </c>
      <c r="B748" s="23" t="s">
        <v>1685</v>
      </c>
      <c r="C748" s="17" t="s">
        <v>1686</v>
      </c>
      <c r="D748" s="4" t="s">
        <v>53</v>
      </c>
      <c r="E748" s="4" t="s">
        <v>68</v>
      </c>
      <c r="F748" s="4" t="s">
        <v>68</v>
      </c>
      <c r="G748" s="4" t="s">
        <v>112</v>
      </c>
      <c r="H748" s="4" t="s">
        <v>108</v>
      </c>
      <c r="I748" s="24" t="s">
        <v>954</v>
      </c>
      <c r="J748" s="15">
        <v>2</v>
      </c>
      <c r="K748" s="15">
        <v>2</v>
      </c>
      <c r="L748" s="15">
        <v>3</v>
      </c>
      <c r="M748" s="15">
        <v>1</v>
      </c>
      <c r="N748" s="15">
        <v>2</v>
      </c>
      <c r="O748" s="15">
        <v>2</v>
      </c>
      <c r="P748" s="15" t="s">
        <v>415</v>
      </c>
      <c r="Q748" s="23" t="s">
        <v>416</v>
      </c>
      <c r="R748" s="25">
        <f>ROUND((K748*Parametros!$B$4+L748*Parametros!$B$5+M748*Parametros!$B$6+N748*Parametros!$B$7+O748*Parametros!$B$8)/SUM(Parametros!$B$4:$B$8),2)</f>
        <v>2</v>
      </c>
      <c r="S748" s="26">
        <f>IFERROR(INDEX(Parametros!$F$33:$F$42,MATCH(D748,Parametros!$A$33:$A$42,0)),1)</f>
        <v>1.05</v>
      </c>
      <c r="T748" s="27">
        <f>IFERROR(INDEX(Parametros!$B$21:$B$26,MATCH(I748,Parametros!$A$21:$A$26,0)),0)</f>
        <v>-0.3</v>
      </c>
      <c r="U748" s="28">
        <f t="shared" si="45"/>
        <v>1.8</v>
      </c>
      <c r="V748" s="9">
        <f>IF(U748&gt;=Parametros!$B$14,4,IF(U748&gt;=Parametros!$B$13,3,IF(U748&gt;=Parametros!$B$12,2,1)))</f>
        <v>1</v>
      </c>
      <c r="W748" s="5">
        <f>MAX(V748,IF(K748=5,Parametros!$B$17,0),IF(P748="Sim",Parametros!$B$18,0))</f>
        <v>1</v>
      </c>
      <c r="X748" s="5" t="str">
        <f t="shared" si="46"/>
        <v>Baixa</v>
      </c>
      <c r="Y748" s="29">
        <f t="shared" si="47"/>
        <v>1017.7992519999999</v>
      </c>
      <c r="Z748" s="4" t="s">
        <v>1213</v>
      </c>
    </row>
    <row r="749" spans="1:26" ht="28.05" customHeight="1" x14ac:dyDescent="0.3">
      <c r="A749" s="5">
        <f t="shared" si="44"/>
        <v>745</v>
      </c>
      <c r="B749" s="23" t="s">
        <v>1687</v>
      </c>
      <c r="C749" s="17" t="s">
        <v>1688</v>
      </c>
      <c r="D749" s="4" t="s">
        <v>53</v>
      </c>
      <c r="E749" s="4" t="s">
        <v>76</v>
      </c>
      <c r="F749" s="4" t="s">
        <v>76</v>
      </c>
      <c r="G749" s="4" t="s">
        <v>112</v>
      </c>
      <c r="H749" s="4" t="s">
        <v>108</v>
      </c>
      <c r="I749" s="24" t="s">
        <v>954</v>
      </c>
      <c r="J749" s="15">
        <v>2</v>
      </c>
      <c r="K749" s="15">
        <v>2</v>
      </c>
      <c r="L749" s="15">
        <v>3</v>
      </c>
      <c r="M749" s="15">
        <v>1</v>
      </c>
      <c r="N749" s="15">
        <v>2</v>
      </c>
      <c r="O749" s="15">
        <v>2</v>
      </c>
      <c r="P749" s="15" t="s">
        <v>415</v>
      </c>
      <c r="Q749" s="23" t="s">
        <v>416</v>
      </c>
      <c r="R749" s="25">
        <f>ROUND((K749*Parametros!$B$4+L749*Parametros!$B$5+M749*Parametros!$B$6+N749*Parametros!$B$7+O749*Parametros!$B$8)/SUM(Parametros!$B$4:$B$8),2)</f>
        <v>2</v>
      </c>
      <c r="S749" s="26">
        <f>IFERROR(INDEX(Parametros!$F$33:$F$42,MATCH(D749,Parametros!$A$33:$A$42,0)),1)</f>
        <v>1.05</v>
      </c>
      <c r="T749" s="27">
        <f>IFERROR(INDEX(Parametros!$B$21:$B$26,MATCH(I749,Parametros!$A$21:$A$26,0)),0)</f>
        <v>-0.3</v>
      </c>
      <c r="U749" s="28">
        <f t="shared" si="45"/>
        <v>1.8</v>
      </c>
      <c r="V749" s="9">
        <f>IF(U749&gt;=Parametros!$B$14,4,IF(U749&gt;=Parametros!$B$13,3,IF(U749&gt;=Parametros!$B$12,2,1)))</f>
        <v>1</v>
      </c>
      <c r="W749" s="5">
        <f>MAX(V749,IF(K749=5,Parametros!$B$17,0),IF(P749="Sim",Parametros!$B$18,0))</f>
        <v>1</v>
      </c>
      <c r="X749" s="5" t="str">
        <f t="shared" si="46"/>
        <v>Baixa</v>
      </c>
      <c r="Y749" s="29">
        <f t="shared" si="47"/>
        <v>1017.7992509999999</v>
      </c>
      <c r="Z749" s="4" t="s">
        <v>1213</v>
      </c>
    </row>
    <row r="750" spans="1:26" ht="28.05" customHeight="1" x14ac:dyDescent="0.3">
      <c r="A750" s="5">
        <f t="shared" si="44"/>
        <v>746</v>
      </c>
      <c r="B750" s="23" t="s">
        <v>1689</v>
      </c>
      <c r="C750" s="17" t="s">
        <v>1690</v>
      </c>
      <c r="D750" s="4" t="s">
        <v>53</v>
      </c>
      <c r="E750" s="4" t="s">
        <v>76</v>
      </c>
      <c r="F750" s="4" t="s">
        <v>76</v>
      </c>
      <c r="G750" s="4" t="s">
        <v>112</v>
      </c>
      <c r="H750" s="4" t="s">
        <v>108</v>
      </c>
      <c r="I750" s="24" t="s">
        <v>954</v>
      </c>
      <c r="J750" s="15">
        <v>2</v>
      </c>
      <c r="K750" s="15">
        <v>2</v>
      </c>
      <c r="L750" s="15">
        <v>3</v>
      </c>
      <c r="M750" s="15">
        <v>1</v>
      </c>
      <c r="N750" s="15">
        <v>2</v>
      </c>
      <c r="O750" s="15">
        <v>2</v>
      </c>
      <c r="P750" s="15" t="s">
        <v>415</v>
      </c>
      <c r="Q750" s="23" t="s">
        <v>416</v>
      </c>
      <c r="R750" s="25">
        <f>ROUND((K750*Parametros!$B$4+L750*Parametros!$B$5+M750*Parametros!$B$6+N750*Parametros!$B$7+O750*Parametros!$B$8)/SUM(Parametros!$B$4:$B$8),2)</f>
        <v>2</v>
      </c>
      <c r="S750" s="26">
        <f>IFERROR(INDEX(Parametros!$F$33:$F$42,MATCH(D750,Parametros!$A$33:$A$42,0)),1)</f>
        <v>1.05</v>
      </c>
      <c r="T750" s="27">
        <f>IFERROR(INDEX(Parametros!$B$21:$B$26,MATCH(I750,Parametros!$A$21:$A$26,0)),0)</f>
        <v>-0.3</v>
      </c>
      <c r="U750" s="28">
        <f t="shared" si="45"/>
        <v>1.8</v>
      </c>
      <c r="V750" s="9">
        <f>IF(U750&gt;=Parametros!$B$14,4,IF(U750&gt;=Parametros!$B$13,3,IF(U750&gt;=Parametros!$B$12,2,1)))</f>
        <v>1</v>
      </c>
      <c r="W750" s="5">
        <f>MAX(V750,IF(K750=5,Parametros!$B$17,0),IF(P750="Sim",Parametros!$B$18,0))</f>
        <v>1</v>
      </c>
      <c r="X750" s="5" t="str">
        <f t="shared" si="46"/>
        <v>Baixa</v>
      </c>
      <c r="Y750" s="29">
        <f t="shared" si="47"/>
        <v>1017.7992499999999</v>
      </c>
      <c r="Z750" s="4" t="s">
        <v>1213</v>
      </c>
    </row>
    <row r="751" spans="1:26" ht="28.05" customHeight="1" x14ac:dyDescent="0.3">
      <c r="A751" s="5">
        <f t="shared" si="44"/>
        <v>747</v>
      </c>
      <c r="B751" s="23" t="s">
        <v>1691</v>
      </c>
      <c r="C751" s="17" t="s">
        <v>1692</v>
      </c>
      <c r="D751" s="4" t="s">
        <v>53</v>
      </c>
      <c r="E751" s="4" t="s">
        <v>68</v>
      </c>
      <c r="F751" s="4" t="s">
        <v>68</v>
      </c>
      <c r="G751" s="4" t="s">
        <v>171</v>
      </c>
      <c r="H751" s="4" t="s">
        <v>172</v>
      </c>
      <c r="I751" s="24" t="s">
        <v>954</v>
      </c>
      <c r="J751" s="15">
        <v>2</v>
      </c>
      <c r="K751" s="15">
        <v>2</v>
      </c>
      <c r="L751" s="15">
        <v>3</v>
      </c>
      <c r="M751" s="15">
        <v>1</v>
      </c>
      <c r="N751" s="15">
        <v>2</v>
      </c>
      <c r="O751" s="15">
        <v>2</v>
      </c>
      <c r="P751" s="15" t="s">
        <v>415</v>
      </c>
      <c r="Q751" s="23" t="s">
        <v>416</v>
      </c>
      <c r="R751" s="25">
        <f>ROUND((K751*Parametros!$B$4+L751*Parametros!$B$5+M751*Parametros!$B$6+N751*Parametros!$B$7+O751*Parametros!$B$8)/SUM(Parametros!$B$4:$B$8),2)</f>
        <v>2</v>
      </c>
      <c r="S751" s="26">
        <f>IFERROR(INDEX(Parametros!$F$33:$F$42,MATCH(D751,Parametros!$A$33:$A$42,0)),1)</f>
        <v>1.05</v>
      </c>
      <c r="T751" s="27">
        <f>IFERROR(INDEX(Parametros!$B$21:$B$26,MATCH(I751,Parametros!$A$21:$A$26,0)),0)</f>
        <v>-0.3</v>
      </c>
      <c r="U751" s="28">
        <f t="shared" si="45"/>
        <v>1.8</v>
      </c>
      <c r="V751" s="9">
        <f>IF(U751&gt;=Parametros!$B$14,4,IF(U751&gt;=Parametros!$B$13,3,IF(U751&gt;=Parametros!$B$12,2,1)))</f>
        <v>1</v>
      </c>
      <c r="W751" s="5">
        <f>MAX(V751,IF(K751=5,Parametros!$B$17,0),IF(P751="Sim",Parametros!$B$18,0))</f>
        <v>1</v>
      </c>
      <c r="X751" s="5" t="str">
        <f t="shared" si="46"/>
        <v>Baixa</v>
      </c>
      <c r="Y751" s="29">
        <f t="shared" si="47"/>
        <v>1017.7992489999999</v>
      </c>
      <c r="Z751" s="4" t="s">
        <v>1213</v>
      </c>
    </row>
    <row r="752" spans="1:26" ht="28.05" customHeight="1" x14ac:dyDescent="0.3">
      <c r="A752" s="5">
        <f t="shared" si="44"/>
        <v>748</v>
      </c>
      <c r="B752" s="23" t="s">
        <v>1693</v>
      </c>
      <c r="C752" s="17" t="s">
        <v>1694</v>
      </c>
      <c r="D752" s="4" t="s">
        <v>53</v>
      </c>
      <c r="E752" s="4" t="s">
        <v>68</v>
      </c>
      <c r="F752" s="4" t="s">
        <v>68</v>
      </c>
      <c r="G752" s="4" t="s">
        <v>112</v>
      </c>
      <c r="H752" s="4" t="s">
        <v>108</v>
      </c>
      <c r="I752" s="24" t="s">
        <v>954</v>
      </c>
      <c r="J752" s="15">
        <v>2</v>
      </c>
      <c r="K752" s="15">
        <v>2</v>
      </c>
      <c r="L752" s="15">
        <v>3</v>
      </c>
      <c r="M752" s="15">
        <v>1</v>
      </c>
      <c r="N752" s="15">
        <v>2</v>
      </c>
      <c r="O752" s="15">
        <v>2</v>
      </c>
      <c r="P752" s="15" t="s">
        <v>415</v>
      </c>
      <c r="Q752" s="23" t="s">
        <v>416</v>
      </c>
      <c r="R752" s="25">
        <f>ROUND((K752*Parametros!$B$4+L752*Parametros!$B$5+M752*Parametros!$B$6+N752*Parametros!$B$7+O752*Parametros!$B$8)/SUM(Parametros!$B$4:$B$8),2)</f>
        <v>2</v>
      </c>
      <c r="S752" s="26">
        <f>IFERROR(INDEX(Parametros!$F$33:$F$42,MATCH(D752,Parametros!$A$33:$A$42,0)),1)</f>
        <v>1.05</v>
      </c>
      <c r="T752" s="27">
        <f>IFERROR(INDEX(Parametros!$B$21:$B$26,MATCH(I752,Parametros!$A$21:$A$26,0)),0)</f>
        <v>-0.3</v>
      </c>
      <c r="U752" s="28">
        <f t="shared" si="45"/>
        <v>1.8</v>
      </c>
      <c r="V752" s="9">
        <f>IF(U752&gt;=Parametros!$B$14,4,IF(U752&gt;=Parametros!$B$13,3,IF(U752&gt;=Parametros!$B$12,2,1)))</f>
        <v>1</v>
      </c>
      <c r="W752" s="5">
        <f>MAX(V752,IF(K752=5,Parametros!$B$17,0),IF(P752="Sim",Parametros!$B$18,0))</f>
        <v>1</v>
      </c>
      <c r="X752" s="5" t="str">
        <f t="shared" si="46"/>
        <v>Baixa</v>
      </c>
      <c r="Y752" s="29">
        <f t="shared" si="47"/>
        <v>1017.7992479999999</v>
      </c>
      <c r="Z752" s="4" t="s">
        <v>1213</v>
      </c>
    </row>
    <row r="753" spans="1:26" ht="28.05" customHeight="1" x14ac:dyDescent="0.3">
      <c r="A753" s="5">
        <f t="shared" si="44"/>
        <v>749</v>
      </c>
      <c r="B753" s="23" t="s">
        <v>1695</v>
      </c>
      <c r="C753" s="17" t="s">
        <v>1696</v>
      </c>
      <c r="D753" s="4" t="s">
        <v>53</v>
      </c>
      <c r="E753" s="4" t="s">
        <v>76</v>
      </c>
      <c r="F753" s="4" t="s">
        <v>76</v>
      </c>
      <c r="G753" s="4" t="s">
        <v>112</v>
      </c>
      <c r="H753" s="4" t="s">
        <v>108</v>
      </c>
      <c r="I753" s="24" t="s">
        <v>954</v>
      </c>
      <c r="J753" s="15">
        <v>2</v>
      </c>
      <c r="K753" s="15">
        <v>2</v>
      </c>
      <c r="L753" s="15">
        <v>3</v>
      </c>
      <c r="M753" s="15">
        <v>1</v>
      </c>
      <c r="N753" s="15">
        <v>2</v>
      </c>
      <c r="O753" s="15">
        <v>2</v>
      </c>
      <c r="P753" s="15" t="s">
        <v>415</v>
      </c>
      <c r="Q753" s="23" t="s">
        <v>416</v>
      </c>
      <c r="R753" s="25">
        <f>ROUND((K753*Parametros!$B$4+L753*Parametros!$B$5+M753*Parametros!$B$6+N753*Parametros!$B$7+O753*Parametros!$B$8)/SUM(Parametros!$B$4:$B$8),2)</f>
        <v>2</v>
      </c>
      <c r="S753" s="26">
        <f>IFERROR(INDEX(Parametros!$F$33:$F$42,MATCH(D753,Parametros!$A$33:$A$42,0)),1)</f>
        <v>1.05</v>
      </c>
      <c r="T753" s="27">
        <f>IFERROR(INDEX(Parametros!$B$21:$B$26,MATCH(I753,Parametros!$A$21:$A$26,0)),0)</f>
        <v>-0.3</v>
      </c>
      <c r="U753" s="28">
        <f t="shared" si="45"/>
        <v>1.8</v>
      </c>
      <c r="V753" s="9">
        <f>IF(U753&gt;=Parametros!$B$14,4,IF(U753&gt;=Parametros!$B$13,3,IF(U753&gt;=Parametros!$B$12,2,1)))</f>
        <v>1</v>
      </c>
      <c r="W753" s="5">
        <f>MAX(V753,IF(K753=5,Parametros!$B$17,0),IF(P753="Sim",Parametros!$B$18,0))</f>
        <v>1</v>
      </c>
      <c r="X753" s="5" t="str">
        <f t="shared" si="46"/>
        <v>Baixa</v>
      </c>
      <c r="Y753" s="29">
        <f t="shared" si="47"/>
        <v>1017.7992469999999</v>
      </c>
      <c r="Z753" s="4" t="s">
        <v>1213</v>
      </c>
    </row>
    <row r="754" spans="1:26" ht="28.05" customHeight="1" x14ac:dyDescent="0.3">
      <c r="A754" s="5">
        <f t="shared" si="44"/>
        <v>750</v>
      </c>
      <c r="B754" s="23" t="s">
        <v>1697</v>
      </c>
      <c r="C754" s="17" t="s">
        <v>1698</v>
      </c>
      <c r="D754" s="4" t="s">
        <v>53</v>
      </c>
      <c r="E754" s="4" t="s">
        <v>76</v>
      </c>
      <c r="F754" s="4" t="s">
        <v>76</v>
      </c>
      <c r="G754" s="4" t="s">
        <v>112</v>
      </c>
      <c r="H754" s="4" t="s">
        <v>108</v>
      </c>
      <c r="I754" s="24" t="s">
        <v>954</v>
      </c>
      <c r="J754" s="15">
        <v>2</v>
      </c>
      <c r="K754" s="15">
        <v>2</v>
      </c>
      <c r="L754" s="15">
        <v>3</v>
      </c>
      <c r="M754" s="15">
        <v>1</v>
      </c>
      <c r="N754" s="15">
        <v>2</v>
      </c>
      <c r="O754" s="15">
        <v>2</v>
      </c>
      <c r="P754" s="15" t="s">
        <v>415</v>
      </c>
      <c r="Q754" s="23" t="s">
        <v>416</v>
      </c>
      <c r="R754" s="25">
        <f>ROUND((K754*Parametros!$B$4+L754*Parametros!$B$5+M754*Parametros!$B$6+N754*Parametros!$B$7+O754*Parametros!$B$8)/SUM(Parametros!$B$4:$B$8),2)</f>
        <v>2</v>
      </c>
      <c r="S754" s="26">
        <f>IFERROR(INDEX(Parametros!$F$33:$F$42,MATCH(D754,Parametros!$A$33:$A$42,0)),1)</f>
        <v>1.05</v>
      </c>
      <c r="T754" s="27">
        <f>IFERROR(INDEX(Parametros!$B$21:$B$26,MATCH(I754,Parametros!$A$21:$A$26,0)),0)</f>
        <v>-0.3</v>
      </c>
      <c r="U754" s="28">
        <f t="shared" si="45"/>
        <v>1.8</v>
      </c>
      <c r="V754" s="9">
        <f>IF(U754&gt;=Parametros!$B$14,4,IF(U754&gt;=Parametros!$B$13,3,IF(U754&gt;=Parametros!$B$12,2,1)))</f>
        <v>1</v>
      </c>
      <c r="W754" s="5">
        <f>MAX(V754,IF(K754=5,Parametros!$B$17,0),IF(P754="Sim",Parametros!$B$18,0))</f>
        <v>1</v>
      </c>
      <c r="X754" s="5" t="str">
        <f t="shared" si="46"/>
        <v>Baixa</v>
      </c>
      <c r="Y754" s="29">
        <f t="shared" si="47"/>
        <v>1017.7992459999999</v>
      </c>
      <c r="Z754" s="4" t="s">
        <v>1213</v>
      </c>
    </row>
    <row r="755" spans="1:26" ht="28.05" customHeight="1" x14ac:dyDescent="0.3">
      <c r="A755" s="5">
        <f t="shared" si="44"/>
        <v>751</v>
      </c>
      <c r="B755" s="23" t="s">
        <v>1699</v>
      </c>
      <c r="C755" s="17" t="s">
        <v>1700</v>
      </c>
      <c r="D755" s="4" t="s">
        <v>52</v>
      </c>
      <c r="E755" s="4" t="s">
        <v>66</v>
      </c>
      <c r="F755" s="4" t="s">
        <v>66</v>
      </c>
      <c r="G755" s="4" t="s">
        <v>171</v>
      </c>
      <c r="H755" s="4" t="s">
        <v>172</v>
      </c>
      <c r="I755" s="24" t="s">
        <v>954</v>
      </c>
      <c r="J755" s="15">
        <v>2</v>
      </c>
      <c r="K755" s="15">
        <v>2</v>
      </c>
      <c r="L755" s="15">
        <v>3</v>
      </c>
      <c r="M755" s="15">
        <v>1</v>
      </c>
      <c r="N755" s="15">
        <v>2</v>
      </c>
      <c r="O755" s="15">
        <v>2</v>
      </c>
      <c r="P755" s="15" t="s">
        <v>415</v>
      </c>
      <c r="Q755" s="23" t="s">
        <v>838</v>
      </c>
      <c r="R755" s="25">
        <f>ROUND((K755*Parametros!$B$4+L755*Parametros!$B$5+M755*Parametros!$B$6+N755*Parametros!$B$7+O755*Parametros!$B$8)/SUM(Parametros!$B$4:$B$8),2)</f>
        <v>2</v>
      </c>
      <c r="S755" s="26">
        <f>IFERROR(INDEX(Parametros!$F$33:$F$42,MATCH(D755,Parametros!$A$33:$A$42,0)),1)</f>
        <v>1.05</v>
      </c>
      <c r="T755" s="27">
        <f>IFERROR(INDEX(Parametros!$B$21:$B$26,MATCH(I755,Parametros!$A$21:$A$26,0)),0)</f>
        <v>-0.3</v>
      </c>
      <c r="U755" s="28">
        <f t="shared" si="45"/>
        <v>1.8</v>
      </c>
      <c r="V755" s="9">
        <f>IF(U755&gt;=Parametros!$B$14,4,IF(U755&gt;=Parametros!$B$13,3,IF(U755&gt;=Parametros!$B$12,2,1)))</f>
        <v>1</v>
      </c>
      <c r="W755" s="5">
        <f>MAX(V755,IF(K755=5,Parametros!$B$17,0),IF(P755="Sim",Parametros!$B$18,0))</f>
        <v>1</v>
      </c>
      <c r="X755" s="5" t="str">
        <f t="shared" si="46"/>
        <v>Baixa</v>
      </c>
      <c r="Y755" s="29">
        <f t="shared" si="47"/>
        <v>1017.7992449999999</v>
      </c>
      <c r="Z755" s="4" t="s">
        <v>1213</v>
      </c>
    </row>
    <row r="756" spans="1:26" ht="28.05" customHeight="1" x14ac:dyDescent="0.3">
      <c r="A756" s="5">
        <f t="shared" si="44"/>
        <v>752</v>
      </c>
      <c r="B756" s="23" t="s">
        <v>1701</v>
      </c>
      <c r="C756" s="17" t="s">
        <v>1702</v>
      </c>
      <c r="D756" s="4" t="s">
        <v>55</v>
      </c>
      <c r="E756" s="4" t="s">
        <v>1628</v>
      </c>
      <c r="F756" s="4" t="s">
        <v>1628</v>
      </c>
      <c r="G756" s="4" t="s">
        <v>112</v>
      </c>
      <c r="H756" s="4" t="s">
        <v>108</v>
      </c>
      <c r="I756" s="24" t="s">
        <v>152</v>
      </c>
      <c r="J756" s="15">
        <v>2</v>
      </c>
      <c r="K756" s="15">
        <v>1</v>
      </c>
      <c r="L756" s="15">
        <v>2</v>
      </c>
      <c r="M756" s="15">
        <v>2</v>
      </c>
      <c r="N756" s="15">
        <v>2</v>
      </c>
      <c r="O756" s="15">
        <v>2</v>
      </c>
      <c r="P756" s="15" t="s">
        <v>415</v>
      </c>
      <c r="Q756" s="23" t="s">
        <v>416</v>
      </c>
      <c r="R756" s="25">
        <f>ROUND((K756*Parametros!$B$4+L756*Parametros!$B$5+M756*Parametros!$B$6+N756*Parametros!$B$7+O756*Parametros!$B$8)/SUM(Parametros!$B$4:$B$8),2)</f>
        <v>1.7</v>
      </c>
      <c r="S756" s="26">
        <f>IFERROR(INDEX(Parametros!$F$33:$F$42,MATCH(D756,Parametros!$A$33:$A$42,0)),1)</f>
        <v>1.034</v>
      </c>
      <c r="T756" s="27">
        <f>IFERROR(INDEX(Parametros!$B$21:$B$26,MATCH(I756,Parametros!$A$21:$A$26,0)),0)</f>
        <v>0</v>
      </c>
      <c r="U756" s="28">
        <f t="shared" si="45"/>
        <v>1.76</v>
      </c>
      <c r="V756" s="9">
        <f>IF(U756&gt;=Parametros!$B$14,4,IF(U756&gt;=Parametros!$B$13,3,IF(U756&gt;=Parametros!$B$12,2,1)))</f>
        <v>1</v>
      </c>
      <c r="W756" s="5">
        <f>MAX(V756,IF(K756=5,Parametros!$B$17,0),IF(P756="Sim",Parametros!$B$18,0))</f>
        <v>1</v>
      </c>
      <c r="X756" s="5" t="str">
        <f t="shared" si="46"/>
        <v>Baixa</v>
      </c>
      <c r="Y756" s="29">
        <f t="shared" si="47"/>
        <v>1017.399244</v>
      </c>
      <c r="Z756" s="4" t="s">
        <v>659</v>
      </c>
    </row>
    <row r="757" spans="1:26" ht="28.05" customHeight="1" x14ac:dyDescent="0.3">
      <c r="A757" s="5">
        <f t="shared" si="44"/>
        <v>753</v>
      </c>
      <c r="B757" s="23" t="s">
        <v>1703</v>
      </c>
      <c r="C757" s="17" t="s">
        <v>1704</v>
      </c>
      <c r="D757" s="4" t="s">
        <v>49</v>
      </c>
      <c r="E757" s="4" t="s">
        <v>85</v>
      </c>
      <c r="F757" s="4" t="s">
        <v>85</v>
      </c>
      <c r="G757" s="4" t="s">
        <v>171</v>
      </c>
      <c r="H757" s="4" t="s">
        <v>172</v>
      </c>
      <c r="I757" s="24" t="s">
        <v>954</v>
      </c>
      <c r="J757" s="15">
        <v>2</v>
      </c>
      <c r="K757" s="15">
        <v>2</v>
      </c>
      <c r="L757" s="15">
        <v>3</v>
      </c>
      <c r="M757" s="15">
        <v>1</v>
      </c>
      <c r="N757" s="15">
        <v>1</v>
      </c>
      <c r="O757" s="15">
        <v>2</v>
      </c>
      <c r="P757" s="15" t="s">
        <v>415</v>
      </c>
      <c r="Q757" s="23" t="s">
        <v>838</v>
      </c>
      <c r="R757" s="25">
        <f>ROUND((K757*Parametros!$B$4+L757*Parametros!$B$5+M757*Parametros!$B$6+N757*Parametros!$B$7+O757*Parametros!$B$8)/SUM(Parametros!$B$4:$B$8),2)</f>
        <v>1.85</v>
      </c>
      <c r="S757" s="26">
        <f>IFERROR(INDEX(Parametros!$F$33:$F$42,MATCH(D757,Parametros!$A$33:$A$42,0)),1)</f>
        <v>1.1000000000000001</v>
      </c>
      <c r="T757" s="27">
        <f>IFERROR(INDEX(Parametros!$B$21:$B$26,MATCH(I757,Parametros!$A$21:$A$26,0)),0)</f>
        <v>-0.3</v>
      </c>
      <c r="U757" s="28">
        <f t="shared" si="45"/>
        <v>1.74</v>
      </c>
      <c r="V757" s="9">
        <f>IF(U757&gt;=Parametros!$B$14,4,IF(U757&gt;=Parametros!$B$13,3,IF(U757&gt;=Parametros!$B$12,2,1)))</f>
        <v>1</v>
      </c>
      <c r="W757" s="5">
        <f>MAX(V757,IF(K757=5,Parametros!$B$17,0),IF(P757="Sim",Parametros!$B$18,0))</f>
        <v>1</v>
      </c>
      <c r="X757" s="5" t="str">
        <f t="shared" si="46"/>
        <v>Baixa</v>
      </c>
      <c r="Y757" s="29">
        <f t="shared" si="47"/>
        <v>1017.1992429999999</v>
      </c>
      <c r="Z757" s="4" t="s">
        <v>1213</v>
      </c>
    </row>
    <row r="758" spans="1:26" ht="28.05" customHeight="1" x14ac:dyDescent="0.3">
      <c r="A758" s="5">
        <f t="shared" si="44"/>
        <v>754</v>
      </c>
      <c r="B758" s="23" t="s">
        <v>1705</v>
      </c>
      <c r="C758" s="17" t="s">
        <v>1706</v>
      </c>
      <c r="D758" s="4" t="s">
        <v>49</v>
      </c>
      <c r="E758" s="4" t="s">
        <v>85</v>
      </c>
      <c r="F758" s="4" t="s">
        <v>85</v>
      </c>
      <c r="G758" s="4" t="s">
        <v>171</v>
      </c>
      <c r="H758" s="4" t="s">
        <v>172</v>
      </c>
      <c r="I758" s="24" t="s">
        <v>954</v>
      </c>
      <c r="J758" s="15">
        <v>2</v>
      </c>
      <c r="K758" s="15">
        <v>2</v>
      </c>
      <c r="L758" s="15">
        <v>1</v>
      </c>
      <c r="M758" s="15">
        <v>3</v>
      </c>
      <c r="N758" s="15">
        <v>1</v>
      </c>
      <c r="O758" s="15">
        <v>2</v>
      </c>
      <c r="P758" s="15" t="s">
        <v>415</v>
      </c>
      <c r="Q758" s="23" t="s">
        <v>838</v>
      </c>
      <c r="R758" s="25">
        <f>ROUND((K758*Parametros!$B$4+L758*Parametros!$B$5+M758*Parametros!$B$6+N758*Parametros!$B$7+O758*Parametros!$B$8)/SUM(Parametros!$B$4:$B$8),2)</f>
        <v>1.85</v>
      </c>
      <c r="S758" s="26">
        <f>IFERROR(INDEX(Parametros!$F$33:$F$42,MATCH(D758,Parametros!$A$33:$A$42,0)),1)</f>
        <v>1.1000000000000001</v>
      </c>
      <c r="T758" s="27">
        <f>IFERROR(INDEX(Parametros!$B$21:$B$26,MATCH(I758,Parametros!$A$21:$A$26,0)),0)</f>
        <v>-0.3</v>
      </c>
      <c r="U758" s="28">
        <f t="shared" si="45"/>
        <v>1.74</v>
      </c>
      <c r="V758" s="9">
        <f>IF(U758&gt;=Parametros!$B$14,4,IF(U758&gt;=Parametros!$B$13,3,IF(U758&gt;=Parametros!$B$12,2,1)))</f>
        <v>1</v>
      </c>
      <c r="W758" s="5">
        <f>MAX(V758,IF(K758=5,Parametros!$B$17,0),IF(P758="Sim",Parametros!$B$18,0))</f>
        <v>1</v>
      </c>
      <c r="X758" s="5" t="str">
        <f t="shared" si="46"/>
        <v>Baixa</v>
      </c>
      <c r="Y758" s="29">
        <f t="shared" si="47"/>
        <v>1017.1992419999999</v>
      </c>
      <c r="Z758" s="4" t="s">
        <v>1213</v>
      </c>
    </row>
    <row r="759" spans="1:26" ht="28.05" customHeight="1" x14ac:dyDescent="0.3">
      <c r="A759" s="5">
        <f t="shared" si="44"/>
        <v>755</v>
      </c>
      <c r="B759" s="23" t="s">
        <v>1707</v>
      </c>
      <c r="C759" s="17" t="s">
        <v>1708</v>
      </c>
      <c r="D759" s="4" t="s">
        <v>49</v>
      </c>
      <c r="E759" s="4" t="s">
        <v>85</v>
      </c>
      <c r="F759" s="4" t="s">
        <v>85</v>
      </c>
      <c r="G759" s="4" t="s">
        <v>171</v>
      </c>
      <c r="H759" s="4" t="s">
        <v>172</v>
      </c>
      <c r="I759" s="24" t="s">
        <v>954</v>
      </c>
      <c r="J759" s="15">
        <v>2</v>
      </c>
      <c r="K759" s="15">
        <v>2</v>
      </c>
      <c r="L759" s="15">
        <v>3</v>
      </c>
      <c r="M759" s="15">
        <v>1</v>
      </c>
      <c r="N759" s="15">
        <v>1</v>
      </c>
      <c r="O759" s="15">
        <v>2</v>
      </c>
      <c r="P759" s="15" t="s">
        <v>415</v>
      </c>
      <c r="Q759" s="23" t="s">
        <v>838</v>
      </c>
      <c r="R759" s="25">
        <f>ROUND((K759*Parametros!$B$4+L759*Parametros!$B$5+M759*Parametros!$B$6+N759*Parametros!$B$7+O759*Parametros!$B$8)/SUM(Parametros!$B$4:$B$8),2)</f>
        <v>1.85</v>
      </c>
      <c r="S759" s="26">
        <f>IFERROR(INDEX(Parametros!$F$33:$F$42,MATCH(D759,Parametros!$A$33:$A$42,0)),1)</f>
        <v>1.1000000000000001</v>
      </c>
      <c r="T759" s="27">
        <f>IFERROR(INDEX(Parametros!$B$21:$B$26,MATCH(I759,Parametros!$A$21:$A$26,0)),0)</f>
        <v>-0.3</v>
      </c>
      <c r="U759" s="28">
        <f t="shared" si="45"/>
        <v>1.74</v>
      </c>
      <c r="V759" s="9">
        <f>IF(U759&gt;=Parametros!$B$14,4,IF(U759&gt;=Parametros!$B$13,3,IF(U759&gt;=Parametros!$B$12,2,1)))</f>
        <v>1</v>
      </c>
      <c r="W759" s="5">
        <f>MAX(V759,IF(K759=5,Parametros!$B$17,0),IF(P759="Sim",Parametros!$B$18,0))</f>
        <v>1</v>
      </c>
      <c r="X759" s="5" t="str">
        <f t="shared" si="46"/>
        <v>Baixa</v>
      </c>
      <c r="Y759" s="29">
        <f t="shared" si="47"/>
        <v>1017.1992409999999</v>
      </c>
      <c r="Z759" s="4" t="s">
        <v>1213</v>
      </c>
    </row>
    <row r="760" spans="1:26" ht="28.05" customHeight="1" x14ac:dyDescent="0.3">
      <c r="A760" s="5">
        <f t="shared" si="44"/>
        <v>756</v>
      </c>
      <c r="B760" s="23" t="s">
        <v>1709</v>
      </c>
      <c r="C760" s="17" t="s">
        <v>1710</v>
      </c>
      <c r="D760" s="4" t="s">
        <v>49</v>
      </c>
      <c r="E760" s="4" t="s">
        <v>85</v>
      </c>
      <c r="F760" s="4" t="s">
        <v>85</v>
      </c>
      <c r="G760" s="4" t="s">
        <v>171</v>
      </c>
      <c r="H760" s="4" t="s">
        <v>172</v>
      </c>
      <c r="I760" s="24" t="s">
        <v>954</v>
      </c>
      <c r="J760" s="15">
        <v>2</v>
      </c>
      <c r="K760" s="15">
        <v>2</v>
      </c>
      <c r="L760" s="15">
        <v>1</v>
      </c>
      <c r="M760" s="15">
        <v>3</v>
      </c>
      <c r="N760" s="15">
        <v>1</v>
      </c>
      <c r="O760" s="15">
        <v>2</v>
      </c>
      <c r="P760" s="15" t="s">
        <v>415</v>
      </c>
      <c r="Q760" s="23" t="s">
        <v>838</v>
      </c>
      <c r="R760" s="25">
        <f>ROUND((K760*Parametros!$B$4+L760*Parametros!$B$5+M760*Parametros!$B$6+N760*Parametros!$B$7+O760*Parametros!$B$8)/SUM(Parametros!$B$4:$B$8),2)</f>
        <v>1.85</v>
      </c>
      <c r="S760" s="26">
        <f>IFERROR(INDEX(Parametros!$F$33:$F$42,MATCH(D760,Parametros!$A$33:$A$42,0)),1)</f>
        <v>1.1000000000000001</v>
      </c>
      <c r="T760" s="27">
        <f>IFERROR(INDEX(Parametros!$B$21:$B$26,MATCH(I760,Parametros!$A$21:$A$26,0)),0)</f>
        <v>-0.3</v>
      </c>
      <c r="U760" s="28">
        <f t="shared" si="45"/>
        <v>1.74</v>
      </c>
      <c r="V760" s="9">
        <f>IF(U760&gt;=Parametros!$B$14,4,IF(U760&gt;=Parametros!$B$13,3,IF(U760&gt;=Parametros!$B$12,2,1)))</f>
        <v>1</v>
      </c>
      <c r="W760" s="5">
        <f>MAX(V760,IF(K760=5,Parametros!$B$17,0),IF(P760="Sim",Parametros!$B$18,0))</f>
        <v>1</v>
      </c>
      <c r="X760" s="5" t="str">
        <f t="shared" si="46"/>
        <v>Baixa</v>
      </c>
      <c r="Y760" s="29">
        <f t="shared" si="47"/>
        <v>1017.1992399999999</v>
      </c>
      <c r="Z760" s="4" t="s">
        <v>1213</v>
      </c>
    </row>
    <row r="761" spans="1:26" ht="28.05" customHeight="1" x14ac:dyDescent="0.3">
      <c r="A761" s="5">
        <f t="shared" si="44"/>
        <v>757</v>
      </c>
      <c r="B761" s="23" t="s">
        <v>1711</v>
      </c>
      <c r="C761" s="17" t="s">
        <v>1712</v>
      </c>
      <c r="D761" s="4" t="s">
        <v>49</v>
      </c>
      <c r="E761" s="4" t="s">
        <v>85</v>
      </c>
      <c r="F761" s="4" t="s">
        <v>85</v>
      </c>
      <c r="G761" s="4" t="s">
        <v>171</v>
      </c>
      <c r="H761" s="4" t="s">
        <v>172</v>
      </c>
      <c r="I761" s="24" t="s">
        <v>954</v>
      </c>
      <c r="J761" s="15">
        <v>2</v>
      </c>
      <c r="K761" s="15">
        <v>2</v>
      </c>
      <c r="L761" s="15">
        <v>3</v>
      </c>
      <c r="M761" s="15">
        <v>1</v>
      </c>
      <c r="N761" s="15">
        <v>1</v>
      </c>
      <c r="O761" s="15">
        <v>2</v>
      </c>
      <c r="P761" s="15" t="s">
        <v>415</v>
      </c>
      <c r="Q761" s="23" t="s">
        <v>838</v>
      </c>
      <c r="R761" s="25">
        <f>ROUND((K761*Parametros!$B$4+L761*Parametros!$B$5+M761*Parametros!$B$6+N761*Parametros!$B$7+O761*Parametros!$B$8)/SUM(Parametros!$B$4:$B$8),2)</f>
        <v>1.85</v>
      </c>
      <c r="S761" s="26">
        <f>IFERROR(INDEX(Parametros!$F$33:$F$42,MATCH(D761,Parametros!$A$33:$A$42,0)),1)</f>
        <v>1.1000000000000001</v>
      </c>
      <c r="T761" s="27">
        <f>IFERROR(INDEX(Parametros!$B$21:$B$26,MATCH(I761,Parametros!$A$21:$A$26,0)),0)</f>
        <v>-0.3</v>
      </c>
      <c r="U761" s="28">
        <f t="shared" si="45"/>
        <v>1.74</v>
      </c>
      <c r="V761" s="9">
        <f>IF(U761&gt;=Parametros!$B$14,4,IF(U761&gt;=Parametros!$B$13,3,IF(U761&gt;=Parametros!$B$12,2,1)))</f>
        <v>1</v>
      </c>
      <c r="W761" s="5">
        <f>MAX(V761,IF(K761=5,Parametros!$B$17,0),IF(P761="Sim",Parametros!$B$18,0))</f>
        <v>1</v>
      </c>
      <c r="X761" s="5" t="str">
        <f t="shared" si="46"/>
        <v>Baixa</v>
      </c>
      <c r="Y761" s="29">
        <f t="shared" si="47"/>
        <v>1017.1992389999999</v>
      </c>
      <c r="Z761" s="4" t="s">
        <v>1213</v>
      </c>
    </row>
    <row r="762" spans="1:26" ht="28.05" customHeight="1" x14ac:dyDescent="0.3">
      <c r="A762" s="5">
        <f t="shared" si="44"/>
        <v>758</v>
      </c>
      <c r="B762" s="23" t="s">
        <v>1713</v>
      </c>
      <c r="C762" s="17" t="s">
        <v>1714</v>
      </c>
      <c r="D762" s="4" t="s">
        <v>49</v>
      </c>
      <c r="E762" s="4" t="s">
        <v>85</v>
      </c>
      <c r="F762" s="4" t="s">
        <v>85</v>
      </c>
      <c r="G762" s="4" t="s">
        <v>171</v>
      </c>
      <c r="H762" s="4" t="s">
        <v>172</v>
      </c>
      <c r="I762" s="24" t="s">
        <v>954</v>
      </c>
      <c r="J762" s="15">
        <v>2</v>
      </c>
      <c r="K762" s="15">
        <v>2</v>
      </c>
      <c r="L762" s="15">
        <v>1</v>
      </c>
      <c r="M762" s="15">
        <v>3</v>
      </c>
      <c r="N762" s="15">
        <v>1</v>
      </c>
      <c r="O762" s="15">
        <v>2</v>
      </c>
      <c r="P762" s="15" t="s">
        <v>415</v>
      </c>
      <c r="Q762" s="23" t="s">
        <v>838</v>
      </c>
      <c r="R762" s="25">
        <f>ROUND((K762*Parametros!$B$4+L762*Parametros!$B$5+M762*Parametros!$B$6+N762*Parametros!$B$7+O762*Parametros!$B$8)/SUM(Parametros!$B$4:$B$8),2)</f>
        <v>1.85</v>
      </c>
      <c r="S762" s="26">
        <f>IFERROR(INDEX(Parametros!$F$33:$F$42,MATCH(D762,Parametros!$A$33:$A$42,0)),1)</f>
        <v>1.1000000000000001</v>
      </c>
      <c r="T762" s="27">
        <f>IFERROR(INDEX(Parametros!$B$21:$B$26,MATCH(I762,Parametros!$A$21:$A$26,0)),0)</f>
        <v>-0.3</v>
      </c>
      <c r="U762" s="28">
        <f t="shared" si="45"/>
        <v>1.74</v>
      </c>
      <c r="V762" s="9">
        <f>IF(U762&gt;=Parametros!$B$14,4,IF(U762&gt;=Parametros!$B$13,3,IF(U762&gt;=Parametros!$B$12,2,1)))</f>
        <v>1</v>
      </c>
      <c r="W762" s="5">
        <f>MAX(V762,IF(K762=5,Parametros!$B$17,0),IF(P762="Sim",Parametros!$B$18,0))</f>
        <v>1</v>
      </c>
      <c r="X762" s="5" t="str">
        <f t="shared" si="46"/>
        <v>Baixa</v>
      </c>
      <c r="Y762" s="29">
        <f t="shared" si="47"/>
        <v>1017.1992379999999</v>
      </c>
      <c r="Z762" s="4" t="s">
        <v>1213</v>
      </c>
    </row>
    <row r="763" spans="1:26" ht="28.05" customHeight="1" x14ac:dyDescent="0.3">
      <c r="A763" s="5">
        <f t="shared" si="44"/>
        <v>759</v>
      </c>
      <c r="B763" s="23" t="s">
        <v>1715</v>
      </c>
      <c r="C763" s="17" t="s">
        <v>1712</v>
      </c>
      <c r="D763" s="4" t="s">
        <v>48</v>
      </c>
      <c r="E763" s="4" t="s">
        <v>85</v>
      </c>
      <c r="F763" s="4" t="s">
        <v>85</v>
      </c>
      <c r="G763" s="4" t="s">
        <v>171</v>
      </c>
      <c r="H763" s="4" t="s">
        <v>172</v>
      </c>
      <c r="I763" s="24" t="s">
        <v>954</v>
      </c>
      <c r="J763" s="15">
        <v>2</v>
      </c>
      <c r="K763" s="15">
        <v>2</v>
      </c>
      <c r="L763" s="15">
        <v>3</v>
      </c>
      <c r="M763" s="15">
        <v>1</v>
      </c>
      <c r="N763" s="15">
        <v>1</v>
      </c>
      <c r="O763" s="15">
        <v>2</v>
      </c>
      <c r="P763" s="15" t="s">
        <v>415</v>
      </c>
      <c r="Q763" s="23" t="s">
        <v>838</v>
      </c>
      <c r="R763" s="25">
        <f>ROUND((K763*Parametros!$B$4+L763*Parametros!$B$5+M763*Parametros!$B$6+N763*Parametros!$B$7+O763*Parametros!$B$8)/SUM(Parametros!$B$4:$B$8),2)</f>
        <v>1.85</v>
      </c>
      <c r="S763" s="26">
        <f>IFERROR(INDEX(Parametros!$F$33:$F$42,MATCH(D763,Parametros!$A$33:$A$42,0)),1)</f>
        <v>1.1000000000000001</v>
      </c>
      <c r="T763" s="27">
        <f>IFERROR(INDEX(Parametros!$B$21:$B$26,MATCH(I763,Parametros!$A$21:$A$26,0)),0)</f>
        <v>-0.3</v>
      </c>
      <c r="U763" s="28">
        <f t="shared" si="45"/>
        <v>1.74</v>
      </c>
      <c r="V763" s="9">
        <f>IF(U763&gt;=Parametros!$B$14,4,IF(U763&gt;=Parametros!$B$13,3,IF(U763&gt;=Parametros!$B$12,2,1)))</f>
        <v>1</v>
      </c>
      <c r="W763" s="5">
        <f>MAX(V763,IF(K763=5,Parametros!$B$17,0),IF(P763="Sim",Parametros!$B$18,0))</f>
        <v>1</v>
      </c>
      <c r="X763" s="5" t="str">
        <f t="shared" si="46"/>
        <v>Baixa</v>
      </c>
      <c r="Y763" s="29">
        <f t="shared" si="47"/>
        <v>1017.1992369999999</v>
      </c>
      <c r="Z763" s="4" t="s">
        <v>1213</v>
      </c>
    </row>
    <row r="764" spans="1:26" ht="28.05" customHeight="1" x14ac:dyDescent="0.3">
      <c r="A764" s="5">
        <f t="shared" si="44"/>
        <v>760</v>
      </c>
      <c r="B764" s="23" t="s">
        <v>1716</v>
      </c>
      <c r="C764" s="17" t="s">
        <v>1717</v>
      </c>
      <c r="D764" s="4" t="s">
        <v>48</v>
      </c>
      <c r="E764" s="4" t="s">
        <v>85</v>
      </c>
      <c r="F764" s="4" t="s">
        <v>85</v>
      </c>
      <c r="G764" s="4" t="s">
        <v>171</v>
      </c>
      <c r="H764" s="4" t="s">
        <v>172</v>
      </c>
      <c r="I764" s="24" t="s">
        <v>954</v>
      </c>
      <c r="J764" s="15">
        <v>2</v>
      </c>
      <c r="K764" s="15">
        <v>2</v>
      </c>
      <c r="L764" s="15">
        <v>1</v>
      </c>
      <c r="M764" s="15">
        <v>3</v>
      </c>
      <c r="N764" s="15">
        <v>1</v>
      </c>
      <c r="O764" s="15">
        <v>2</v>
      </c>
      <c r="P764" s="15" t="s">
        <v>415</v>
      </c>
      <c r="Q764" s="23" t="s">
        <v>838</v>
      </c>
      <c r="R764" s="25">
        <f>ROUND((K764*Parametros!$B$4+L764*Parametros!$B$5+M764*Parametros!$B$6+N764*Parametros!$B$7+O764*Parametros!$B$8)/SUM(Parametros!$B$4:$B$8),2)</f>
        <v>1.85</v>
      </c>
      <c r="S764" s="26">
        <f>IFERROR(INDEX(Parametros!$F$33:$F$42,MATCH(D764,Parametros!$A$33:$A$42,0)),1)</f>
        <v>1.1000000000000001</v>
      </c>
      <c r="T764" s="27">
        <f>IFERROR(INDEX(Parametros!$B$21:$B$26,MATCH(I764,Parametros!$A$21:$A$26,0)),0)</f>
        <v>-0.3</v>
      </c>
      <c r="U764" s="28">
        <f t="shared" si="45"/>
        <v>1.74</v>
      </c>
      <c r="V764" s="9">
        <f>IF(U764&gt;=Parametros!$B$14,4,IF(U764&gt;=Parametros!$B$13,3,IF(U764&gt;=Parametros!$B$12,2,1)))</f>
        <v>1</v>
      </c>
      <c r="W764" s="5">
        <f>MAX(V764,IF(K764=5,Parametros!$B$17,0),IF(P764="Sim",Parametros!$B$18,0))</f>
        <v>1</v>
      </c>
      <c r="X764" s="5" t="str">
        <f t="shared" si="46"/>
        <v>Baixa</v>
      </c>
      <c r="Y764" s="29">
        <f t="shared" si="47"/>
        <v>1017.1992359999999</v>
      </c>
      <c r="Z764" s="4" t="s">
        <v>1213</v>
      </c>
    </row>
    <row r="765" spans="1:26" ht="28.05" customHeight="1" x14ac:dyDescent="0.3">
      <c r="A765" s="5">
        <f t="shared" si="44"/>
        <v>761</v>
      </c>
      <c r="B765" s="23" t="s">
        <v>1718</v>
      </c>
      <c r="C765" s="17" t="s">
        <v>1719</v>
      </c>
      <c r="D765" s="4" t="s">
        <v>48</v>
      </c>
      <c r="E765" s="4" t="s">
        <v>85</v>
      </c>
      <c r="F765" s="4" t="s">
        <v>85</v>
      </c>
      <c r="G765" s="4" t="s">
        <v>171</v>
      </c>
      <c r="H765" s="4" t="s">
        <v>172</v>
      </c>
      <c r="I765" s="24" t="s">
        <v>954</v>
      </c>
      <c r="J765" s="15">
        <v>2</v>
      </c>
      <c r="K765" s="15">
        <v>2</v>
      </c>
      <c r="L765" s="15">
        <v>3</v>
      </c>
      <c r="M765" s="15">
        <v>1</v>
      </c>
      <c r="N765" s="15">
        <v>1</v>
      </c>
      <c r="O765" s="15">
        <v>2</v>
      </c>
      <c r="P765" s="15" t="s">
        <v>415</v>
      </c>
      <c r="Q765" s="23" t="s">
        <v>838</v>
      </c>
      <c r="R765" s="25">
        <f>ROUND((K765*Parametros!$B$4+L765*Parametros!$B$5+M765*Parametros!$B$6+N765*Parametros!$B$7+O765*Parametros!$B$8)/SUM(Parametros!$B$4:$B$8),2)</f>
        <v>1.85</v>
      </c>
      <c r="S765" s="26">
        <f>IFERROR(INDEX(Parametros!$F$33:$F$42,MATCH(D765,Parametros!$A$33:$A$42,0)),1)</f>
        <v>1.1000000000000001</v>
      </c>
      <c r="T765" s="27">
        <f>IFERROR(INDEX(Parametros!$B$21:$B$26,MATCH(I765,Parametros!$A$21:$A$26,0)),0)</f>
        <v>-0.3</v>
      </c>
      <c r="U765" s="28">
        <f t="shared" si="45"/>
        <v>1.74</v>
      </c>
      <c r="V765" s="9">
        <f>IF(U765&gt;=Parametros!$B$14,4,IF(U765&gt;=Parametros!$B$13,3,IF(U765&gt;=Parametros!$B$12,2,1)))</f>
        <v>1</v>
      </c>
      <c r="W765" s="5">
        <f>MAX(V765,IF(K765=5,Parametros!$B$17,0),IF(P765="Sim",Parametros!$B$18,0))</f>
        <v>1</v>
      </c>
      <c r="X765" s="5" t="str">
        <f t="shared" si="46"/>
        <v>Baixa</v>
      </c>
      <c r="Y765" s="29">
        <f t="shared" si="47"/>
        <v>1017.1992349999999</v>
      </c>
      <c r="Z765" s="4" t="s">
        <v>1213</v>
      </c>
    </row>
    <row r="766" spans="1:26" ht="28.05" customHeight="1" x14ac:dyDescent="0.3">
      <c r="A766" s="5">
        <f t="shared" si="44"/>
        <v>762</v>
      </c>
      <c r="B766" s="23" t="s">
        <v>1720</v>
      </c>
      <c r="C766" s="17" t="s">
        <v>1721</v>
      </c>
      <c r="D766" s="4" t="s">
        <v>48</v>
      </c>
      <c r="E766" s="4" t="s">
        <v>85</v>
      </c>
      <c r="F766" s="4" t="s">
        <v>85</v>
      </c>
      <c r="G766" s="4" t="s">
        <v>171</v>
      </c>
      <c r="H766" s="4" t="s">
        <v>172</v>
      </c>
      <c r="I766" s="24" t="s">
        <v>954</v>
      </c>
      <c r="J766" s="15">
        <v>2</v>
      </c>
      <c r="K766" s="15">
        <v>2</v>
      </c>
      <c r="L766" s="15">
        <v>1</v>
      </c>
      <c r="M766" s="15">
        <v>3</v>
      </c>
      <c r="N766" s="15">
        <v>1</v>
      </c>
      <c r="O766" s="15">
        <v>2</v>
      </c>
      <c r="P766" s="15" t="s">
        <v>415</v>
      </c>
      <c r="Q766" s="23" t="s">
        <v>838</v>
      </c>
      <c r="R766" s="25">
        <f>ROUND((K766*Parametros!$B$4+L766*Parametros!$B$5+M766*Parametros!$B$6+N766*Parametros!$B$7+O766*Parametros!$B$8)/SUM(Parametros!$B$4:$B$8),2)</f>
        <v>1.85</v>
      </c>
      <c r="S766" s="26">
        <f>IFERROR(INDEX(Parametros!$F$33:$F$42,MATCH(D766,Parametros!$A$33:$A$42,0)),1)</f>
        <v>1.1000000000000001</v>
      </c>
      <c r="T766" s="27">
        <f>IFERROR(INDEX(Parametros!$B$21:$B$26,MATCH(I766,Parametros!$A$21:$A$26,0)),0)</f>
        <v>-0.3</v>
      </c>
      <c r="U766" s="28">
        <f t="shared" si="45"/>
        <v>1.74</v>
      </c>
      <c r="V766" s="9">
        <f>IF(U766&gt;=Parametros!$B$14,4,IF(U766&gt;=Parametros!$B$13,3,IF(U766&gt;=Parametros!$B$12,2,1)))</f>
        <v>1</v>
      </c>
      <c r="W766" s="5">
        <f>MAX(V766,IF(K766=5,Parametros!$B$17,0),IF(P766="Sim",Parametros!$B$18,0))</f>
        <v>1</v>
      </c>
      <c r="X766" s="5" t="str">
        <f t="shared" si="46"/>
        <v>Baixa</v>
      </c>
      <c r="Y766" s="29">
        <f t="shared" si="47"/>
        <v>1017.1992339999999</v>
      </c>
      <c r="Z766" s="4" t="s">
        <v>1213</v>
      </c>
    </row>
    <row r="767" spans="1:26" ht="28.05" customHeight="1" x14ac:dyDescent="0.3">
      <c r="A767" s="5">
        <f t="shared" si="44"/>
        <v>763</v>
      </c>
      <c r="B767" s="23" t="s">
        <v>1722</v>
      </c>
      <c r="C767" s="17" t="s">
        <v>1723</v>
      </c>
      <c r="D767" s="4" t="s">
        <v>48</v>
      </c>
      <c r="E767" s="4" t="s">
        <v>85</v>
      </c>
      <c r="F767" s="4" t="s">
        <v>85</v>
      </c>
      <c r="G767" s="4" t="s">
        <v>171</v>
      </c>
      <c r="H767" s="4" t="s">
        <v>172</v>
      </c>
      <c r="I767" s="24" t="s">
        <v>954</v>
      </c>
      <c r="J767" s="15">
        <v>2</v>
      </c>
      <c r="K767" s="15">
        <v>2</v>
      </c>
      <c r="L767" s="15">
        <v>3</v>
      </c>
      <c r="M767" s="15">
        <v>1</v>
      </c>
      <c r="N767" s="15">
        <v>1</v>
      </c>
      <c r="O767" s="15">
        <v>2</v>
      </c>
      <c r="P767" s="15" t="s">
        <v>415</v>
      </c>
      <c r="Q767" s="23" t="s">
        <v>838</v>
      </c>
      <c r="R767" s="25">
        <f>ROUND((K767*Parametros!$B$4+L767*Parametros!$B$5+M767*Parametros!$B$6+N767*Parametros!$B$7+O767*Parametros!$B$8)/SUM(Parametros!$B$4:$B$8),2)</f>
        <v>1.85</v>
      </c>
      <c r="S767" s="26">
        <f>IFERROR(INDEX(Parametros!$F$33:$F$42,MATCH(D767,Parametros!$A$33:$A$42,0)),1)</f>
        <v>1.1000000000000001</v>
      </c>
      <c r="T767" s="27">
        <f>IFERROR(INDEX(Parametros!$B$21:$B$26,MATCH(I767,Parametros!$A$21:$A$26,0)),0)</f>
        <v>-0.3</v>
      </c>
      <c r="U767" s="28">
        <f t="shared" si="45"/>
        <v>1.74</v>
      </c>
      <c r="V767" s="9">
        <f>IF(U767&gt;=Parametros!$B$14,4,IF(U767&gt;=Parametros!$B$13,3,IF(U767&gt;=Parametros!$B$12,2,1)))</f>
        <v>1</v>
      </c>
      <c r="W767" s="5">
        <f>MAX(V767,IF(K767=5,Parametros!$B$17,0),IF(P767="Sim",Parametros!$B$18,0))</f>
        <v>1</v>
      </c>
      <c r="X767" s="5" t="str">
        <f t="shared" si="46"/>
        <v>Baixa</v>
      </c>
      <c r="Y767" s="29">
        <f t="shared" si="47"/>
        <v>1017.1992329999999</v>
      </c>
      <c r="Z767" s="4" t="s">
        <v>1213</v>
      </c>
    </row>
    <row r="768" spans="1:26" ht="28.05" customHeight="1" x14ac:dyDescent="0.3">
      <c r="A768" s="5">
        <f t="shared" si="44"/>
        <v>764</v>
      </c>
      <c r="B768" s="23" t="s">
        <v>1724</v>
      </c>
      <c r="C768" s="17" t="s">
        <v>1725</v>
      </c>
      <c r="D768" s="4" t="s">
        <v>48</v>
      </c>
      <c r="E768" s="4" t="s">
        <v>85</v>
      </c>
      <c r="F768" s="4" t="s">
        <v>85</v>
      </c>
      <c r="G768" s="4" t="s">
        <v>171</v>
      </c>
      <c r="H768" s="4" t="s">
        <v>172</v>
      </c>
      <c r="I768" s="24" t="s">
        <v>954</v>
      </c>
      <c r="J768" s="15">
        <v>2</v>
      </c>
      <c r="K768" s="15">
        <v>2</v>
      </c>
      <c r="L768" s="15">
        <v>1</v>
      </c>
      <c r="M768" s="15">
        <v>3</v>
      </c>
      <c r="N768" s="15">
        <v>1</v>
      </c>
      <c r="O768" s="15">
        <v>2</v>
      </c>
      <c r="P768" s="15" t="s">
        <v>415</v>
      </c>
      <c r="Q768" s="23" t="s">
        <v>838</v>
      </c>
      <c r="R768" s="25">
        <f>ROUND((K768*Parametros!$B$4+L768*Parametros!$B$5+M768*Parametros!$B$6+N768*Parametros!$B$7+O768*Parametros!$B$8)/SUM(Parametros!$B$4:$B$8),2)</f>
        <v>1.85</v>
      </c>
      <c r="S768" s="26">
        <f>IFERROR(INDEX(Parametros!$F$33:$F$42,MATCH(D768,Parametros!$A$33:$A$42,0)),1)</f>
        <v>1.1000000000000001</v>
      </c>
      <c r="T768" s="27">
        <f>IFERROR(INDEX(Parametros!$B$21:$B$26,MATCH(I768,Parametros!$A$21:$A$26,0)),0)</f>
        <v>-0.3</v>
      </c>
      <c r="U768" s="28">
        <f t="shared" si="45"/>
        <v>1.74</v>
      </c>
      <c r="V768" s="9">
        <f>IF(U768&gt;=Parametros!$B$14,4,IF(U768&gt;=Parametros!$B$13,3,IF(U768&gt;=Parametros!$B$12,2,1)))</f>
        <v>1</v>
      </c>
      <c r="W768" s="5">
        <f>MAX(V768,IF(K768=5,Parametros!$B$17,0),IF(P768="Sim",Parametros!$B$18,0))</f>
        <v>1</v>
      </c>
      <c r="X768" s="5" t="str">
        <f t="shared" si="46"/>
        <v>Baixa</v>
      </c>
      <c r="Y768" s="29">
        <f t="shared" si="47"/>
        <v>1017.1992319999999</v>
      </c>
      <c r="Z768" s="4" t="s">
        <v>1213</v>
      </c>
    </row>
    <row r="769" spans="1:26" ht="28.05" customHeight="1" x14ac:dyDescent="0.3">
      <c r="A769" s="5">
        <f t="shared" si="44"/>
        <v>765</v>
      </c>
      <c r="B769" s="23" t="s">
        <v>1726</v>
      </c>
      <c r="C769" s="17" t="s">
        <v>1727</v>
      </c>
      <c r="D769" s="4" t="s">
        <v>52</v>
      </c>
      <c r="E769" s="4" t="s">
        <v>64</v>
      </c>
      <c r="F769" s="4" t="s">
        <v>64</v>
      </c>
      <c r="G769" s="4" t="s">
        <v>171</v>
      </c>
      <c r="H769" s="4" t="s">
        <v>172</v>
      </c>
      <c r="I769" s="24" t="s">
        <v>359</v>
      </c>
      <c r="J769" s="15">
        <v>2</v>
      </c>
      <c r="K769" s="15">
        <v>2</v>
      </c>
      <c r="L769" s="15">
        <v>1</v>
      </c>
      <c r="M769" s="15">
        <v>3</v>
      </c>
      <c r="N769" s="15">
        <v>1</v>
      </c>
      <c r="O769" s="15">
        <v>2</v>
      </c>
      <c r="P769" s="15" t="s">
        <v>415</v>
      </c>
      <c r="Q769" s="23" t="s">
        <v>838</v>
      </c>
      <c r="R769" s="25">
        <f>ROUND((K769*Parametros!$B$4+L769*Parametros!$B$5+M769*Parametros!$B$6+N769*Parametros!$B$7+O769*Parametros!$B$8)/SUM(Parametros!$B$4:$B$8),2)</f>
        <v>1.85</v>
      </c>
      <c r="S769" s="26">
        <f>IFERROR(INDEX(Parametros!$F$33:$F$42,MATCH(D769,Parametros!$A$33:$A$42,0)),1)</f>
        <v>1.05</v>
      </c>
      <c r="T769" s="27">
        <f>IFERROR(INDEX(Parametros!$B$21:$B$26,MATCH(I769,Parametros!$A$21:$A$26,0)),0)</f>
        <v>-0.2</v>
      </c>
      <c r="U769" s="28">
        <f t="shared" si="45"/>
        <v>1.74</v>
      </c>
      <c r="V769" s="9">
        <f>IF(U769&gt;=Parametros!$B$14,4,IF(U769&gt;=Parametros!$B$13,3,IF(U769&gt;=Parametros!$B$12,2,1)))</f>
        <v>1</v>
      </c>
      <c r="W769" s="5">
        <f>MAX(V769,IF(K769=5,Parametros!$B$17,0),IF(P769="Sim",Parametros!$B$18,0))</f>
        <v>1</v>
      </c>
      <c r="X769" s="5" t="str">
        <f t="shared" si="46"/>
        <v>Baixa</v>
      </c>
      <c r="Y769" s="29">
        <f t="shared" si="47"/>
        <v>1017.1992309999999</v>
      </c>
      <c r="Z769" s="4" t="s">
        <v>1410</v>
      </c>
    </row>
    <row r="770" spans="1:26" ht="28.05" customHeight="1" x14ac:dyDescent="0.3">
      <c r="A770" s="5">
        <f t="shared" si="44"/>
        <v>766</v>
      </c>
      <c r="B770" s="23" t="s">
        <v>1728</v>
      </c>
      <c r="C770" s="17" t="s">
        <v>1729</v>
      </c>
      <c r="D770" s="4" t="s">
        <v>52</v>
      </c>
      <c r="E770" s="4" t="s">
        <v>66</v>
      </c>
      <c r="F770" s="4" t="s">
        <v>66</v>
      </c>
      <c r="G770" s="4" t="s">
        <v>184</v>
      </c>
      <c r="H770" s="4" t="s">
        <v>185</v>
      </c>
      <c r="I770" s="24" t="s">
        <v>359</v>
      </c>
      <c r="J770" s="15">
        <v>2</v>
      </c>
      <c r="K770" s="15">
        <v>2</v>
      </c>
      <c r="L770" s="15">
        <v>1</v>
      </c>
      <c r="M770" s="15">
        <v>3</v>
      </c>
      <c r="N770" s="15">
        <v>1</v>
      </c>
      <c r="O770" s="15">
        <v>2</v>
      </c>
      <c r="P770" s="15" t="s">
        <v>415</v>
      </c>
      <c r="Q770" s="23" t="s">
        <v>838</v>
      </c>
      <c r="R770" s="25">
        <f>ROUND((K770*Parametros!$B$4+L770*Parametros!$B$5+M770*Parametros!$B$6+N770*Parametros!$B$7+O770*Parametros!$B$8)/SUM(Parametros!$B$4:$B$8),2)</f>
        <v>1.85</v>
      </c>
      <c r="S770" s="26">
        <f>IFERROR(INDEX(Parametros!$F$33:$F$42,MATCH(D770,Parametros!$A$33:$A$42,0)),1)</f>
        <v>1.05</v>
      </c>
      <c r="T770" s="27">
        <f>IFERROR(INDEX(Parametros!$B$21:$B$26,MATCH(I770,Parametros!$A$21:$A$26,0)),0)</f>
        <v>-0.2</v>
      </c>
      <c r="U770" s="28">
        <f t="shared" si="45"/>
        <v>1.74</v>
      </c>
      <c r="V770" s="9">
        <f>IF(U770&gt;=Parametros!$B$14,4,IF(U770&gt;=Parametros!$B$13,3,IF(U770&gt;=Parametros!$B$12,2,1)))</f>
        <v>1</v>
      </c>
      <c r="W770" s="5">
        <f>MAX(V770,IF(K770=5,Parametros!$B$17,0),IF(P770="Sim",Parametros!$B$18,0))</f>
        <v>1</v>
      </c>
      <c r="X770" s="5" t="str">
        <f t="shared" si="46"/>
        <v>Baixa</v>
      </c>
      <c r="Y770" s="29">
        <f t="shared" si="47"/>
        <v>1017.1992299999999</v>
      </c>
      <c r="Z770" s="4" t="s">
        <v>1410</v>
      </c>
    </row>
    <row r="771" spans="1:26" ht="28.05" customHeight="1" x14ac:dyDescent="0.3">
      <c r="A771" s="5">
        <f t="shared" si="44"/>
        <v>767</v>
      </c>
      <c r="B771" s="23" t="s">
        <v>1730</v>
      </c>
      <c r="C771" s="17" t="s">
        <v>1731</v>
      </c>
      <c r="D771" s="4" t="s">
        <v>50</v>
      </c>
      <c r="E771" s="4" t="s">
        <v>64</v>
      </c>
      <c r="F771" s="4" t="s">
        <v>64</v>
      </c>
      <c r="G771" s="4" t="s">
        <v>134</v>
      </c>
      <c r="H771" s="4" t="s">
        <v>108</v>
      </c>
      <c r="I771" s="24" t="s">
        <v>131</v>
      </c>
      <c r="J771" s="15">
        <v>2</v>
      </c>
      <c r="K771" s="15">
        <v>2</v>
      </c>
      <c r="L771" s="15">
        <v>1</v>
      </c>
      <c r="M771" s="15">
        <v>1</v>
      </c>
      <c r="N771" s="15">
        <v>1</v>
      </c>
      <c r="O771" s="15">
        <v>3</v>
      </c>
      <c r="P771" s="15" t="s">
        <v>415</v>
      </c>
      <c r="Q771" s="23" t="s">
        <v>838</v>
      </c>
      <c r="R771" s="25">
        <f>ROUND((K771*Parametros!$B$4+L771*Parametros!$B$5+M771*Parametros!$B$6+N771*Parametros!$B$7+O771*Parametros!$B$8)/SUM(Parametros!$B$4:$B$8),2)</f>
        <v>1.6</v>
      </c>
      <c r="S771" s="26">
        <f>IFERROR(INDEX(Parametros!$F$33:$F$42,MATCH(D771,Parametros!$A$33:$A$42,0)),1)</f>
        <v>1.0840000000000001</v>
      </c>
      <c r="T771" s="27">
        <f>IFERROR(INDEX(Parametros!$B$21:$B$26,MATCH(I771,Parametros!$A$21:$A$26,0)),0)</f>
        <v>0</v>
      </c>
      <c r="U771" s="28">
        <f t="shared" si="45"/>
        <v>1.73</v>
      </c>
      <c r="V771" s="9">
        <f>IF(U771&gt;=Parametros!$B$14,4,IF(U771&gt;=Parametros!$B$13,3,IF(U771&gt;=Parametros!$B$12,2,1)))</f>
        <v>1</v>
      </c>
      <c r="W771" s="5">
        <f>MAX(V771,IF(K771=5,Parametros!$B$17,0),IF(P771="Sim",Parametros!$B$18,0))</f>
        <v>1</v>
      </c>
      <c r="X771" s="5" t="str">
        <f t="shared" si="46"/>
        <v>Baixa</v>
      </c>
      <c r="Y771" s="29">
        <f t="shared" si="47"/>
        <v>1017.0992289999999</v>
      </c>
      <c r="Z771" s="4" t="s">
        <v>659</v>
      </c>
    </row>
    <row r="772" spans="1:26" ht="28.05" customHeight="1" x14ac:dyDescent="0.3">
      <c r="A772" s="5">
        <f t="shared" si="44"/>
        <v>768</v>
      </c>
      <c r="B772" s="23" t="s">
        <v>1732</v>
      </c>
      <c r="C772" s="17" t="s">
        <v>1702</v>
      </c>
      <c r="D772" s="4" t="s">
        <v>56</v>
      </c>
      <c r="E772" s="4" t="s">
        <v>1628</v>
      </c>
      <c r="F772" s="4" t="s">
        <v>1628</v>
      </c>
      <c r="G772" s="4" t="s">
        <v>112</v>
      </c>
      <c r="H772" s="4" t="s">
        <v>108</v>
      </c>
      <c r="I772" s="24" t="s">
        <v>152</v>
      </c>
      <c r="J772" s="15">
        <v>2</v>
      </c>
      <c r="K772" s="15">
        <v>1</v>
      </c>
      <c r="L772" s="15">
        <v>2</v>
      </c>
      <c r="M772" s="15">
        <v>2</v>
      </c>
      <c r="N772" s="15">
        <v>2</v>
      </c>
      <c r="O772" s="15">
        <v>2</v>
      </c>
      <c r="P772" s="15" t="s">
        <v>415</v>
      </c>
      <c r="Q772" s="23" t="s">
        <v>416</v>
      </c>
      <c r="R772" s="25">
        <f>ROUND((K772*Parametros!$B$4+L772*Parametros!$B$5+M772*Parametros!$B$6+N772*Parametros!$B$7+O772*Parametros!$B$8)/SUM(Parametros!$B$4:$B$8),2)</f>
        <v>1.7</v>
      </c>
      <c r="S772" s="26">
        <f>IFERROR(INDEX(Parametros!$F$33:$F$42,MATCH(D772,Parametros!$A$33:$A$42,0)),1)</f>
        <v>1.0169999999999999</v>
      </c>
      <c r="T772" s="27">
        <f>IFERROR(INDEX(Parametros!$B$21:$B$26,MATCH(I772,Parametros!$A$21:$A$26,0)),0)</f>
        <v>0</v>
      </c>
      <c r="U772" s="28">
        <f t="shared" si="45"/>
        <v>1.73</v>
      </c>
      <c r="V772" s="9">
        <f>IF(U772&gt;=Parametros!$B$14,4,IF(U772&gt;=Parametros!$B$13,3,IF(U772&gt;=Parametros!$B$12,2,1)))</f>
        <v>1</v>
      </c>
      <c r="W772" s="5">
        <f>MAX(V772,IF(K772=5,Parametros!$B$17,0),IF(P772="Sim",Parametros!$B$18,0))</f>
        <v>1</v>
      </c>
      <c r="X772" s="5" t="str">
        <f t="shared" si="46"/>
        <v>Baixa</v>
      </c>
      <c r="Y772" s="29">
        <f t="shared" si="47"/>
        <v>1017.0992279999999</v>
      </c>
      <c r="Z772" s="4" t="s">
        <v>659</v>
      </c>
    </row>
    <row r="773" spans="1:26" ht="28.05" customHeight="1" x14ac:dyDescent="0.3">
      <c r="A773" s="5">
        <f t="shared" ref="A773:A836" si="48">IF(Y773="","",COUNTIF($Y$5:$Y$983,"&gt;"&amp;Y773)+1)</f>
        <v>769</v>
      </c>
      <c r="B773" s="23" t="s">
        <v>1733</v>
      </c>
      <c r="C773" s="17" t="s">
        <v>1734</v>
      </c>
      <c r="D773" s="4" t="s">
        <v>50</v>
      </c>
      <c r="E773" s="4" t="s">
        <v>64</v>
      </c>
      <c r="F773" s="4" t="s">
        <v>64</v>
      </c>
      <c r="G773" s="4" t="s">
        <v>171</v>
      </c>
      <c r="H773" s="4" t="s">
        <v>172</v>
      </c>
      <c r="I773" s="24" t="s">
        <v>152</v>
      </c>
      <c r="J773" s="15">
        <v>2</v>
      </c>
      <c r="K773" s="15">
        <v>3</v>
      </c>
      <c r="L773" s="15">
        <v>1</v>
      </c>
      <c r="M773" s="15">
        <v>1</v>
      </c>
      <c r="N773" s="15">
        <v>1</v>
      </c>
      <c r="O773" s="15">
        <v>1</v>
      </c>
      <c r="P773" s="15" t="s">
        <v>415</v>
      </c>
      <c r="Q773" s="23" t="s">
        <v>838</v>
      </c>
      <c r="R773" s="25">
        <f>ROUND((K773*Parametros!$B$4+L773*Parametros!$B$5+M773*Parametros!$B$6+N773*Parametros!$B$7+O773*Parametros!$B$8)/SUM(Parametros!$B$4:$B$8),2)</f>
        <v>1.6</v>
      </c>
      <c r="S773" s="26">
        <f>IFERROR(INDEX(Parametros!$F$33:$F$42,MATCH(D773,Parametros!$A$33:$A$42,0)),1)</f>
        <v>1.0840000000000001</v>
      </c>
      <c r="T773" s="27">
        <f>IFERROR(INDEX(Parametros!$B$21:$B$26,MATCH(I773,Parametros!$A$21:$A$26,0)),0)</f>
        <v>0</v>
      </c>
      <c r="U773" s="28">
        <f t="shared" ref="U773:U836" si="49">ROUND(R773*S773+T773,2)</f>
        <v>1.73</v>
      </c>
      <c r="V773" s="9">
        <f>IF(U773&gt;=Parametros!$B$14,4,IF(U773&gt;=Parametros!$B$13,3,IF(U773&gt;=Parametros!$B$12,2,1)))</f>
        <v>1</v>
      </c>
      <c r="W773" s="5">
        <f>MAX(V773,IF(K773=5,Parametros!$B$17,0),IF(P773="Sim",Parametros!$B$18,0))</f>
        <v>1</v>
      </c>
      <c r="X773" s="5" t="str">
        <f t="shared" ref="X773:X836" si="50">CHOOSE(W773,"Baixa","Normal","Alta","Urgente")</f>
        <v>Baixa</v>
      </c>
      <c r="Y773" s="29">
        <f t="shared" ref="Y773:Y836" si="51">W773*1000+U773*10-J773/10-ROW()/1000000</f>
        <v>1017.0992269999999</v>
      </c>
      <c r="Z773" s="4" t="s">
        <v>659</v>
      </c>
    </row>
    <row r="774" spans="1:26" ht="28.05" customHeight="1" x14ac:dyDescent="0.3">
      <c r="A774" s="5">
        <f t="shared" si="48"/>
        <v>770</v>
      </c>
      <c r="B774" s="23" t="s">
        <v>1735</v>
      </c>
      <c r="C774" s="17" t="s">
        <v>1736</v>
      </c>
      <c r="D774" s="4" t="s">
        <v>50</v>
      </c>
      <c r="E774" s="4" t="s">
        <v>76</v>
      </c>
      <c r="F774" s="4" t="s">
        <v>76</v>
      </c>
      <c r="G774" s="4" t="s">
        <v>171</v>
      </c>
      <c r="H774" s="4" t="s">
        <v>172</v>
      </c>
      <c r="I774" s="24" t="s">
        <v>122</v>
      </c>
      <c r="J774" s="15">
        <v>3</v>
      </c>
      <c r="K774" s="15">
        <v>2</v>
      </c>
      <c r="L774" s="15">
        <v>1</v>
      </c>
      <c r="M774" s="15">
        <v>1</v>
      </c>
      <c r="N774" s="15">
        <v>3</v>
      </c>
      <c r="O774" s="15">
        <v>1</v>
      </c>
      <c r="P774" s="15" t="s">
        <v>415</v>
      </c>
      <c r="Q774" s="23" t="s">
        <v>838</v>
      </c>
      <c r="R774" s="25">
        <f>ROUND((K774*Parametros!$B$4+L774*Parametros!$B$5+M774*Parametros!$B$6+N774*Parametros!$B$7+O774*Parametros!$B$8)/SUM(Parametros!$B$4:$B$8),2)</f>
        <v>1.6</v>
      </c>
      <c r="S774" s="26">
        <f>IFERROR(INDEX(Parametros!$F$33:$F$42,MATCH(D774,Parametros!$A$33:$A$42,0)),1)</f>
        <v>1.0840000000000001</v>
      </c>
      <c r="T774" s="27">
        <f>IFERROR(INDEX(Parametros!$B$21:$B$26,MATCH(I774,Parametros!$A$21:$A$26,0)),0)</f>
        <v>0</v>
      </c>
      <c r="U774" s="28">
        <f t="shared" si="49"/>
        <v>1.73</v>
      </c>
      <c r="V774" s="9">
        <f>IF(U774&gt;=Parametros!$B$14,4,IF(U774&gt;=Parametros!$B$13,3,IF(U774&gt;=Parametros!$B$12,2,1)))</f>
        <v>1</v>
      </c>
      <c r="W774" s="5">
        <f>MAX(V774,IF(K774=5,Parametros!$B$17,0),IF(P774="Sim",Parametros!$B$18,0))</f>
        <v>1</v>
      </c>
      <c r="X774" s="5" t="str">
        <f t="shared" si="50"/>
        <v>Baixa</v>
      </c>
      <c r="Y774" s="29">
        <f t="shared" si="51"/>
        <v>1016.999226</v>
      </c>
      <c r="Z774" s="4" t="s">
        <v>659</v>
      </c>
    </row>
    <row r="775" spans="1:26" ht="28.05" customHeight="1" x14ac:dyDescent="0.3">
      <c r="A775" s="5">
        <f t="shared" si="48"/>
        <v>771</v>
      </c>
      <c r="B775" s="23" t="s">
        <v>1737</v>
      </c>
      <c r="C775" s="17" t="s">
        <v>1738</v>
      </c>
      <c r="D775" s="4" t="s">
        <v>50</v>
      </c>
      <c r="E775" s="4" t="s">
        <v>1739</v>
      </c>
      <c r="F775" s="4" t="s">
        <v>1739</v>
      </c>
      <c r="G775" s="4" t="s">
        <v>171</v>
      </c>
      <c r="H775" s="4" t="s">
        <v>172</v>
      </c>
      <c r="I775" s="24" t="s">
        <v>152</v>
      </c>
      <c r="J775" s="15">
        <v>3</v>
      </c>
      <c r="K775" s="15">
        <v>2</v>
      </c>
      <c r="L775" s="15">
        <v>1</v>
      </c>
      <c r="M775" s="15">
        <v>1</v>
      </c>
      <c r="N775" s="15">
        <v>2</v>
      </c>
      <c r="O775" s="15">
        <v>2</v>
      </c>
      <c r="P775" s="15" t="s">
        <v>415</v>
      </c>
      <c r="Q775" s="23" t="s">
        <v>838</v>
      </c>
      <c r="R775" s="25">
        <f>ROUND((K775*Parametros!$B$4+L775*Parametros!$B$5+M775*Parametros!$B$6+N775*Parametros!$B$7+O775*Parametros!$B$8)/SUM(Parametros!$B$4:$B$8),2)</f>
        <v>1.6</v>
      </c>
      <c r="S775" s="26">
        <f>IFERROR(INDEX(Parametros!$F$33:$F$42,MATCH(D775,Parametros!$A$33:$A$42,0)),1)</f>
        <v>1.0840000000000001</v>
      </c>
      <c r="T775" s="27">
        <f>IFERROR(INDEX(Parametros!$B$21:$B$26,MATCH(I775,Parametros!$A$21:$A$26,0)),0)</f>
        <v>0</v>
      </c>
      <c r="U775" s="28">
        <f t="shared" si="49"/>
        <v>1.73</v>
      </c>
      <c r="V775" s="9">
        <f>IF(U775&gt;=Parametros!$B$14,4,IF(U775&gt;=Parametros!$B$13,3,IF(U775&gt;=Parametros!$B$12,2,1)))</f>
        <v>1</v>
      </c>
      <c r="W775" s="5">
        <f>MAX(V775,IF(K775=5,Parametros!$B$17,0),IF(P775="Sim",Parametros!$B$18,0))</f>
        <v>1</v>
      </c>
      <c r="X775" s="5" t="str">
        <f t="shared" si="50"/>
        <v>Baixa</v>
      </c>
      <c r="Y775" s="29">
        <f t="shared" si="51"/>
        <v>1016.999225</v>
      </c>
      <c r="Z775" s="4" t="s">
        <v>659</v>
      </c>
    </row>
    <row r="776" spans="1:26" ht="28.05" customHeight="1" x14ac:dyDescent="0.3">
      <c r="A776" s="5">
        <f t="shared" si="48"/>
        <v>772</v>
      </c>
      <c r="B776" s="23" t="s">
        <v>1740</v>
      </c>
      <c r="C776" s="17" t="s">
        <v>1741</v>
      </c>
      <c r="D776" s="4" t="s">
        <v>50</v>
      </c>
      <c r="E776" s="4" t="s">
        <v>1351</v>
      </c>
      <c r="F776" s="4" t="s">
        <v>1351</v>
      </c>
      <c r="G776" s="4" t="s">
        <v>171</v>
      </c>
      <c r="H776" s="4" t="s">
        <v>172</v>
      </c>
      <c r="I776" s="24" t="s">
        <v>954</v>
      </c>
      <c r="J776" s="15">
        <v>2</v>
      </c>
      <c r="K776" s="15">
        <v>2</v>
      </c>
      <c r="L776" s="15">
        <v>3</v>
      </c>
      <c r="M776" s="15">
        <v>1</v>
      </c>
      <c r="N776" s="15">
        <v>1</v>
      </c>
      <c r="O776" s="15">
        <v>2</v>
      </c>
      <c r="P776" s="15" t="s">
        <v>415</v>
      </c>
      <c r="Q776" s="23" t="s">
        <v>838</v>
      </c>
      <c r="R776" s="25">
        <f>ROUND((K776*Parametros!$B$4+L776*Parametros!$B$5+M776*Parametros!$B$6+N776*Parametros!$B$7+O776*Parametros!$B$8)/SUM(Parametros!$B$4:$B$8),2)</f>
        <v>1.85</v>
      </c>
      <c r="S776" s="26">
        <f>IFERROR(INDEX(Parametros!$F$33:$F$42,MATCH(D776,Parametros!$A$33:$A$42,0)),1)</f>
        <v>1.0840000000000001</v>
      </c>
      <c r="T776" s="27">
        <f>IFERROR(INDEX(Parametros!$B$21:$B$26,MATCH(I776,Parametros!$A$21:$A$26,0)),0)</f>
        <v>-0.3</v>
      </c>
      <c r="U776" s="28">
        <f t="shared" si="49"/>
        <v>1.71</v>
      </c>
      <c r="V776" s="9">
        <f>IF(U776&gt;=Parametros!$B$14,4,IF(U776&gt;=Parametros!$B$13,3,IF(U776&gt;=Parametros!$B$12,2,1)))</f>
        <v>1</v>
      </c>
      <c r="W776" s="5">
        <f>MAX(V776,IF(K776=5,Parametros!$B$17,0),IF(P776="Sim",Parametros!$B$18,0))</f>
        <v>1</v>
      </c>
      <c r="X776" s="5" t="str">
        <f t="shared" si="50"/>
        <v>Baixa</v>
      </c>
      <c r="Y776" s="29">
        <f t="shared" si="51"/>
        <v>1016.899224</v>
      </c>
      <c r="Z776" s="4" t="s">
        <v>1213</v>
      </c>
    </row>
    <row r="777" spans="1:26" ht="28.05" customHeight="1" x14ac:dyDescent="0.3">
      <c r="A777" s="5">
        <f t="shared" si="48"/>
        <v>773</v>
      </c>
      <c r="B777" s="23" t="s">
        <v>1742</v>
      </c>
      <c r="C777" s="17" t="s">
        <v>1743</v>
      </c>
      <c r="D777" s="4" t="s">
        <v>50</v>
      </c>
      <c r="E777" s="4" t="s">
        <v>1351</v>
      </c>
      <c r="F777" s="4" t="s">
        <v>1351</v>
      </c>
      <c r="G777" s="4" t="s">
        <v>171</v>
      </c>
      <c r="H777" s="4" t="s">
        <v>172</v>
      </c>
      <c r="I777" s="24" t="s">
        <v>954</v>
      </c>
      <c r="J777" s="15">
        <v>2</v>
      </c>
      <c r="K777" s="15">
        <v>2</v>
      </c>
      <c r="L777" s="15">
        <v>3</v>
      </c>
      <c r="M777" s="15">
        <v>1</v>
      </c>
      <c r="N777" s="15">
        <v>1</v>
      </c>
      <c r="O777" s="15">
        <v>2</v>
      </c>
      <c r="P777" s="15" t="s">
        <v>415</v>
      </c>
      <c r="Q777" s="23" t="s">
        <v>838</v>
      </c>
      <c r="R777" s="25">
        <f>ROUND((K777*Parametros!$B$4+L777*Parametros!$B$5+M777*Parametros!$B$6+N777*Parametros!$B$7+O777*Parametros!$B$8)/SUM(Parametros!$B$4:$B$8),2)</f>
        <v>1.85</v>
      </c>
      <c r="S777" s="26">
        <f>IFERROR(INDEX(Parametros!$F$33:$F$42,MATCH(D777,Parametros!$A$33:$A$42,0)),1)</f>
        <v>1.0840000000000001</v>
      </c>
      <c r="T777" s="27">
        <f>IFERROR(INDEX(Parametros!$B$21:$B$26,MATCH(I777,Parametros!$A$21:$A$26,0)),0)</f>
        <v>-0.3</v>
      </c>
      <c r="U777" s="28">
        <f t="shared" si="49"/>
        <v>1.71</v>
      </c>
      <c r="V777" s="9">
        <f>IF(U777&gt;=Parametros!$B$14,4,IF(U777&gt;=Parametros!$B$13,3,IF(U777&gt;=Parametros!$B$12,2,1)))</f>
        <v>1</v>
      </c>
      <c r="W777" s="5">
        <f>MAX(V777,IF(K777=5,Parametros!$B$17,0),IF(P777="Sim",Parametros!$B$18,0))</f>
        <v>1</v>
      </c>
      <c r="X777" s="5" t="str">
        <f t="shared" si="50"/>
        <v>Baixa</v>
      </c>
      <c r="Y777" s="29">
        <f t="shared" si="51"/>
        <v>1016.899223</v>
      </c>
      <c r="Z777" s="4" t="s">
        <v>1213</v>
      </c>
    </row>
    <row r="778" spans="1:26" ht="28.05" customHeight="1" x14ac:dyDescent="0.3">
      <c r="A778" s="5">
        <f t="shared" si="48"/>
        <v>774</v>
      </c>
      <c r="B778" s="23" t="s">
        <v>1744</v>
      </c>
      <c r="C778" s="17" t="s">
        <v>1745</v>
      </c>
      <c r="D778" s="4" t="s">
        <v>50</v>
      </c>
      <c r="E778" s="4" t="s">
        <v>65</v>
      </c>
      <c r="F778" s="4" t="s">
        <v>65</v>
      </c>
      <c r="G778" s="4" t="s">
        <v>184</v>
      </c>
      <c r="H778" s="4" t="s">
        <v>185</v>
      </c>
      <c r="I778" s="24" t="s">
        <v>954</v>
      </c>
      <c r="J778" s="15">
        <v>2</v>
      </c>
      <c r="K778" s="15">
        <v>2</v>
      </c>
      <c r="L778" s="15">
        <v>3</v>
      </c>
      <c r="M778" s="15">
        <v>1</v>
      </c>
      <c r="N778" s="15">
        <v>1</v>
      </c>
      <c r="O778" s="15">
        <v>2</v>
      </c>
      <c r="P778" s="15" t="s">
        <v>415</v>
      </c>
      <c r="Q778" s="23" t="s">
        <v>838</v>
      </c>
      <c r="R778" s="25">
        <f>ROUND((K778*Parametros!$B$4+L778*Parametros!$B$5+M778*Parametros!$B$6+N778*Parametros!$B$7+O778*Parametros!$B$8)/SUM(Parametros!$B$4:$B$8),2)</f>
        <v>1.85</v>
      </c>
      <c r="S778" s="26">
        <f>IFERROR(INDEX(Parametros!$F$33:$F$42,MATCH(D778,Parametros!$A$33:$A$42,0)),1)</f>
        <v>1.0840000000000001</v>
      </c>
      <c r="T778" s="27">
        <f>IFERROR(INDEX(Parametros!$B$21:$B$26,MATCH(I778,Parametros!$A$21:$A$26,0)),0)</f>
        <v>-0.3</v>
      </c>
      <c r="U778" s="28">
        <f t="shared" si="49"/>
        <v>1.71</v>
      </c>
      <c r="V778" s="9">
        <f>IF(U778&gt;=Parametros!$B$14,4,IF(U778&gt;=Parametros!$B$13,3,IF(U778&gt;=Parametros!$B$12,2,1)))</f>
        <v>1</v>
      </c>
      <c r="W778" s="5">
        <f>MAX(V778,IF(K778=5,Parametros!$B$17,0),IF(P778="Sim",Parametros!$B$18,0))</f>
        <v>1</v>
      </c>
      <c r="X778" s="5" t="str">
        <f t="shared" si="50"/>
        <v>Baixa</v>
      </c>
      <c r="Y778" s="29">
        <f t="shared" si="51"/>
        <v>1016.899222</v>
      </c>
      <c r="Z778" s="4" t="s">
        <v>1213</v>
      </c>
    </row>
    <row r="779" spans="1:26" ht="28.05" customHeight="1" x14ac:dyDescent="0.3">
      <c r="A779" s="5">
        <f t="shared" si="48"/>
        <v>775</v>
      </c>
      <c r="B779" s="23" t="s">
        <v>1746</v>
      </c>
      <c r="C779" s="17" t="s">
        <v>1747</v>
      </c>
      <c r="D779" s="4" t="s">
        <v>50</v>
      </c>
      <c r="E779" s="4" t="s">
        <v>65</v>
      </c>
      <c r="F779" s="4" t="s">
        <v>65</v>
      </c>
      <c r="G779" s="4" t="s">
        <v>171</v>
      </c>
      <c r="H779" s="4" t="s">
        <v>172</v>
      </c>
      <c r="I779" s="24" t="s">
        <v>954</v>
      </c>
      <c r="J779" s="15">
        <v>2</v>
      </c>
      <c r="K779" s="15">
        <v>2</v>
      </c>
      <c r="L779" s="15">
        <v>3</v>
      </c>
      <c r="M779" s="15">
        <v>1</v>
      </c>
      <c r="N779" s="15">
        <v>1</v>
      </c>
      <c r="O779" s="15">
        <v>2</v>
      </c>
      <c r="P779" s="15" t="s">
        <v>415</v>
      </c>
      <c r="Q779" s="23" t="s">
        <v>838</v>
      </c>
      <c r="R779" s="25">
        <f>ROUND((K779*Parametros!$B$4+L779*Parametros!$B$5+M779*Parametros!$B$6+N779*Parametros!$B$7+O779*Parametros!$B$8)/SUM(Parametros!$B$4:$B$8),2)</f>
        <v>1.85</v>
      </c>
      <c r="S779" s="26">
        <f>IFERROR(INDEX(Parametros!$F$33:$F$42,MATCH(D779,Parametros!$A$33:$A$42,0)),1)</f>
        <v>1.0840000000000001</v>
      </c>
      <c r="T779" s="27">
        <f>IFERROR(INDEX(Parametros!$B$21:$B$26,MATCH(I779,Parametros!$A$21:$A$26,0)),0)</f>
        <v>-0.3</v>
      </c>
      <c r="U779" s="28">
        <f t="shared" si="49"/>
        <v>1.71</v>
      </c>
      <c r="V779" s="9">
        <f>IF(U779&gt;=Parametros!$B$14,4,IF(U779&gt;=Parametros!$B$13,3,IF(U779&gt;=Parametros!$B$12,2,1)))</f>
        <v>1</v>
      </c>
      <c r="W779" s="5">
        <f>MAX(V779,IF(K779=5,Parametros!$B$17,0),IF(P779="Sim",Parametros!$B$18,0))</f>
        <v>1</v>
      </c>
      <c r="X779" s="5" t="str">
        <f t="shared" si="50"/>
        <v>Baixa</v>
      </c>
      <c r="Y779" s="29">
        <f t="shared" si="51"/>
        <v>1016.899221</v>
      </c>
      <c r="Z779" s="4" t="s">
        <v>1213</v>
      </c>
    </row>
    <row r="780" spans="1:26" ht="28.05" customHeight="1" x14ac:dyDescent="0.3">
      <c r="A780" s="5">
        <f t="shared" si="48"/>
        <v>776</v>
      </c>
      <c r="B780" s="23" t="s">
        <v>1748</v>
      </c>
      <c r="C780" s="17" t="s">
        <v>1749</v>
      </c>
      <c r="D780" s="4" t="s">
        <v>50</v>
      </c>
      <c r="E780" s="4" t="s">
        <v>65</v>
      </c>
      <c r="F780" s="4" t="s">
        <v>65</v>
      </c>
      <c r="G780" s="4" t="s">
        <v>171</v>
      </c>
      <c r="H780" s="4" t="s">
        <v>172</v>
      </c>
      <c r="I780" s="24" t="s">
        <v>954</v>
      </c>
      <c r="J780" s="15">
        <v>2</v>
      </c>
      <c r="K780" s="15">
        <v>2</v>
      </c>
      <c r="L780" s="15">
        <v>3</v>
      </c>
      <c r="M780" s="15">
        <v>1</v>
      </c>
      <c r="N780" s="15">
        <v>1</v>
      </c>
      <c r="O780" s="15">
        <v>2</v>
      </c>
      <c r="P780" s="15" t="s">
        <v>415</v>
      </c>
      <c r="Q780" s="23" t="s">
        <v>838</v>
      </c>
      <c r="R780" s="25">
        <f>ROUND((K780*Parametros!$B$4+L780*Parametros!$B$5+M780*Parametros!$B$6+N780*Parametros!$B$7+O780*Parametros!$B$8)/SUM(Parametros!$B$4:$B$8),2)</f>
        <v>1.85</v>
      </c>
      <c r="S780" s="26">
        <f>IFERROR(INDEX(Parametros!$F$33:$F$42,MATCH(D780,Parametros!$A$33:$A$42,0)),1)</f>
        <v>1.0840000000000001</v>
      </c>
      <c r="T780" s="27">
        <f>IFERROR(INDEX(Parametros!$B$21:$B$26,MATCH(I780,Parametros!$A$21:$A$26,0)),0)</f>
        <v>-0.3</v>
      </c>
      <c r="U780" s="28">
        <f t="shared" si="49"/>
        <v>1.71</v>
      </c>
      <c r="V780" s="9">
        <f>IF(U780&gt;=Parametros!$B$14,4,IF(U780&gt;=Parametros!$B$13,3,IF(U780&gt;=Parametros!$B$12,2,1)))</f>
        <v>1</v>
      </c>
      <c r="W780" s="5">
        <f>MAX(V780,IF(K780=5,Parametros!$B$17,0),IF(P780="Sim",Parametros!$B$18,0))</f>
        <v>1</v>
      </c>
      <c r="X780" s="5" t="str">
        <f t="shared" si="50"/>
        <v>Baixa</v>
      </c>
      <c r="Y780" s="29">
        <f t="shared" si="51"/>
        <v>1016.89922</v>
      </c>
      <c r="Z780" s="4" t="s">
        <v>1213</v>
      </c>
    </row>
    <row r="781" spans="1:26" ht="28.05" customHeight="1" x14ac:dyDescent="0.3">
      <c r="A781" s="5">
        <f t="shared" si="48"/>
        <v>777</v>
      </c>
      <c r="B781" s="23" t="s">
        <v>1750</v>
      </c>
      <c r="C781" s="17" t="s">
        <v>1751</v>
      </c>
      <c r="D781" s="4" t="s">
        <v>50</v>
      </c>
      <c r="E781" s="4" t="s">
        <v>65</v>
      </c>
      <c r="F781" s="4" t="s">
        <v>65</v>
      </c>
      <c r="G781" s="4" t="s">
        <v>171</v>
      </c>
      <c r="H781" s="4" t="s">
        <v>172</v>
      </c>
      <c r="I781" s="24" t="s">
        <v>954</v>
      </c>
      <c r="J781" s="15">
        <v>2</v>
      </c>
      <c r="K781" s="15">
        <v>2</v>
      </c>
      <c r="L781" s="15">
        <v>3</v>
      </c>
      <c r="M781" s="15">
        <v>1</v>
      </c>
      <c r="N781" s="15">
        <v>1</v>
      </c>
      <c r="O781" s="15">
        <v>2</v>
      </c>
      <c r="P781" s="15" t="s">
        <v>415</v>
      </c>
      <c r="Q781" s="23" t="s">
        <v>838</v>
      </c>
      <c r="R781" s="25">
        <f>ROUND((K781*Parametros!$B$4+L781*Parametros!$B$5+M781*Parametros!$B$6+N781*Parametros!$B$7+O781*Parametros!$B$8)/SUM(Parametros!$B$4:$B$8),2)</f>
        <v>1.85</v>
      </c>
      <c r="S781" s="26">
        <f>IFERROR(INDEX(Parametros!$F$33:$F$42,MATCH(D781,Parametros!$A$33:$A$42,0)),1)</f>
        <v>1.0840000000000001</v>
      </c>
      <c r="T781" s="27">
        <f>IFERROR(INDEX(Parametros!$B$21:$B$26,MATCH(I781,Parametros!$A$21:$A$26,0)),0)</f>
        <v>-0.3</v>
      </c>
      <c r="U781" s="28">
        <f t="shared" si="49"/>
        <v>1.71</v>
      </c>
      <c r="V781" s="9">
        <f>IF(U781&gt;=Parametros!$B$14,4,IF(U781&gt;=Parametros!$B$13,3,IF(U781&gt;=Parametros!$B$12,2,1)))</f>
        <v>1</v>
      </c>
      <c r="W781" s="5">
        <f>MAX(V781,IF(K781=5,Parametros!$B$17,0),IF(P781="Sim",Parametros!$B$18,0))</f>
        <v>1</v>
      </c>
      <c r="X781" s="5" t="str">
        <f t="shared" si="50"/>
        <v>Baixa</v>
      </c>
      <c r="Y781" s="29">
        <f t="shared" si="51"/>
        <v>1016.899219</v>
      </c>
      <c r="Z781" s="4" t="s">
        <v>1213</v>
      </c>
    </row>
    <row r="782" spans="1:26" ht="28.05" customHeight="1" x14ac:dyDescent="0.3">
      <c r="A782" s="5">
        <f t="shared" si="48"/>
        <v>778</v>
      </c>
      <c r="B782" s="23" t="s">
        <v>1752</v>
      </c>
      <c r="C782" s="17" t="s">
        <v>1753</v>
      </c>
      <c r="D782" s="4" t="s">
        <v>50</v>
      </c>
      <c r="E782" s="4" t="s">
        <v>70</v>
      </c>
      <c r="F782" s="4" t="s">
        <v>70</v>
      </c>
      <c r="G782" s="4" t="s">
        <v>171</v>
      </c>
      <c r="H782" s="4" t="s">
        <v>172</v>
      </c>
      <c r="I782" s="24" t="s">
        <v>954</v>
      </c>
      <c r="J782" s="15">
        <v>2</v>
      </c>
      <c r="K782" s="15">
        <v>2</v>
      </c>
      <c r="L782" s="15">
        <v>3</v>
      </c>
      <c r="M782" s="15">
        <v>1</v>
      </c>
      <c r="N782" s="15">
        <v>1</v>
      </c>
      <c r="O782" s="15">
        <v>2</v>
      </c>
      <c r="P782" s="15" t="s">
        <v>415</v>
      </c>
      <c r="Q782" s="23" t="s">
        <v>838</v>
      </c>
      <c r="R782" s="25">
        <f>ROUND((K782*Parametros!$B$4+L782*Parametros!$B$5+M782*Parametros!$B$6+N782*Parametros!$B$7+O782*Parametros!$B$8)/SUM(Parametros!$B$4:$B$8),2)</f>
        <v>1.85</v>
      </c>
      <c r="S782" s="26">
        <f>IFERROR(INDEX(Parametros!$F$33:$F$42,MATCH(D782,Parametros!$A$33:$A$42,0)),1)</f>
        <v>1.0840000000000001</v>
      </c>
      <c r="T782" s="27">
        <f>IFERROR(INDEX(Parametros!$B$21:$B$26,MATCH(I782,Parametros!$A$21:$A$26,0)),0)</f>
        <v>-0.3</v>
      </c>
      <c r="U782" s="28">
        <f t="shared" si="49"/>
        <v>1.71</v>
      </c>
      <c r="V782" s="9">
        <f>IF(U782&gt;=Parametros!$B$14,4,IF(U782&gt;=Parametros!$B$13,3,IF(U782&gt;=Parametros!$B$12,2,1)))</f>
        <v>1</v>
      </c>
      <c r="W782" s="5">
        <f>MAX(V782,IF(K782=5,Parametros!$B$17,0),IF(P782="Sim",Parametros!$B$18,0))</f>
        <v>1</v>
      </c>
      <c r="X782" s="5" t="str">
        <f t="shared" si="50"/>
        <v>Baixa</v>
      </c>
      <c r="Y782" s="29">
        <f t="shared" si="51"/>
        <v>1016.899218</v>
      </c>
      <c r="Z782" s="4" t="s">
        <v>1213</v>
      </c>
    </row>
    <row r="783" spans="1:26" ht="28.05" customHeight="1" x14ac:dyDescent="0.3">
      <c r="A783" s="5">
        <f t="shared" si="48"/>
        <v>779</v>
      </c>
      <c r="B783" s="23" t="s">
        <v>1754</v>
      </c>
      <c r="C783" s="17" t="s">
        <v>1755</v>
      </c>
      <c r="D783" s="4" t="s">
        <v>50</v>
      </c>
      <c r="E783" s="4" t="s">
        <v>70</v>
      </c>
      <c r="F783" s="4" t="s">
        <v>70</v>
      </c>
      <c r="G783" s="4" t="s">
        <v>171</v>
      </c>
      <c r="H783" s="4" t="s">
        <v>172</v>
      </c>
      <c r="I783" s="24" t="s">
        <v>954</v>
      </c>
      <c r="J783" s="15">
        <v>2</v>
      </c>
      <c r="K783" s="15">
        <v>2</v>
      </c>
      <c r="L783" s="15">
        <v>1</v>
      </c>
      <c r="M783" s="15">
        <v>3</v>
      </c>
      <c r="N783" s="15">
        <v>1</v>
      </c>
      <c r="O783" s="15">
        <v>2</v>
      </c>
      <c r="P783" s="15" t="s">
        <v>415</v>
      </c>
      <c r="Q783" s="23" t="s">
        <v>838</v>
      </c>
      <c r="R783" s="25">
        <f>ROUND((K783*Parametros!$B$4+L783*Parametros!$B$5+M783*Parametros!$B$6+N783*Parametros!$B$7+O783*Parametros!$B$8)/SUM(Parametros!$B$4:$B$8),2)</f>
        <v>1.85</v>
      </c>
      <c r="S783" s="26">
        <f>IFERROR(INDEX(Parametros!$F$33:$F$42,MATCH(D783,Parametros!$A$33:$A$42,0)),1)</f>
        <v>1.0840000000000001</v>
      </c>
      <c r="T783" s="27">
        <f>IFERROR(INDEX(Parametros!$B$21:$B$26,MATCH(I783,Parametros!$A$21:$A$26,0)),0)</f>
        <v>-0.3</v>
      </c>
      <c r="U783" s="28">
        <f t="shared" si="49"/>
        <v>1.71</v>
      </c>
      <c r="V783" s="9">
        <f>IF(U783&gt;=Parametros!$B$14,4,IF(U783&gt;=Parametros!$B$13,3,IF(U783&gt;=Parametros!$B$12,2,1)))</f>
        <v>1</v>
      </c>
      <c r="W783" s="5">
        <f>MAX(V783,IF(K783=5,Parametros!$B$17,0),IF(P783="Sim",Parametros!$B$18,0))</f>
        <v>1</v>
      </c>
      <c r="X783" s="5" t="str">
        <f t="shared" si="50"/>
        <v>Baixa</v>
      </c>
      <c r="Y783" s="29">
        <f t="shared" si="51"/>
        <v>1016.899217</v>
      </c>
      <c r="Z783" s="4" t="s">
        <v>1213</v>
      </c>
    </row>
    <row r="784" spans="1:26" ht="28.05" customHeight="1" x14ac:dyDescent="0.3">
      <c r="A784" s="5">
        <f t="shared" si="48"/>
        <v>780</v>
      </c>
      <c r="B784" s="23" t="s">
        <v>1756</v>
      </c>
      <c r="C784" s="17" t="s">
        <v>1757</v>
      </c>
      <c r="D784" s="4" t="s">
        <v>50</v>
      </c>
      <c r="E784" s="4" t="s">
        <v>70</v>
      </c>
      <c r="F784" s="4" t="s">
        <v>70</v>
      </c>
      <c r="G784" s="4" t="s">
        <v>171</v>
      </c>
      <c r="H784" s="4" t="s">
        <v>172</v>
      </c>
      <c r="I784" s="24" t="s">
        <v>954</v>
      </c>
      <c r="J784" s="15">
        <v>2</v>
      </c>
      <c r="K784" s="15">
        <v>2</v>
      </c>
      <c r="L784" s="15">
        <v>3</v>
      </c>
      <c r="M784" s="15">
        <v>1</v>
      </c>
      <c r="N784" s="15">
        <v>1</v>
      </c>
      <c r="O784" s="15">
        <v>2</v>
      </c>
      <c r="P784" s="15" t="s">
        <v>415</v>
      </c>
      <c r="Q784" s="23" t="s">
        <v>838</v>
      </c>
      <c r="R784" s="25">
        <f>ROUND((K784*Parametros!$B$4+L784*Parametros!$B$5+M784*Parametros!$B$6+N784*Parametros!$B$7+O784*Parametros!$B$8)/SUM(Parametros!$B$4:$B$8),2)</f>
        <v>1.85</v>
      </c>
      <c r="S784" s="26">
        <f>IFERROR(INDEX(Parametros!$F$33:$F$42,MATCH(D784,Parametros!$A$33:$A$42,0)),1)</f>
        <v>1.0840000000000001</v>
      </c>
      <c r="T784" s="27">
        <f>IFERROR(INDEX(Parametros!$B$21:$B$26,MATCH(I784,Parametros!$A$21:$A$26,0)),0)</f>
        <v>-0.3</v>
      </c>
      <c r="U784" s="28">
        <f t="shared" si="49"/>
        <v>1.71</v>
      </c>
      <c r="V784" s="9">
        <f>IF(U784&gt;=Parametros!$B$14,4,IF(U784&gt;=Parametros!$B$13,3,IF(U784&gt;=Parametros!$B$12,2,1)))</f>
        <v>1</v>
      </c>
      <c r="W784" s="5">
        <f>MAX(V784,IF(K784=5,Parametros!$B$17,0),IF(P784="Sim",Parametros!$B$18,0))</f>
        <v>1</v>
      </c>
      <c r="X784" s="5" t="str">
        <f t="shared" si="50"/>
        <v>Baixa</v>
      </c>
      <c r="Y784" s="29">
        <f t="shared" si="51"/>
        <v>1016.899216</v>
      </c>
      <c r="Z784" s="4" t="s">
        <v>1213</v>
      </c>
    </row>
    <row r="785" spans="1:26" ht="28.05" customHeight="1" x14ac:dyDescent="0.3">
      <c r="A785" s="5">
        <f t="shared" si="48"/>
        <v>781</v>
      </c>
      <c r="B785" s="23" t="s">
        <v>1758</v>
      </c>
      <c r="C785" s="17" t="s">
        <v>1759</v>
      </c>
      <c r="D785" s="4" t="s">
        <v>48</v>
      </c>
      <c r="E785" s="4" t="s">
        <v>871</v>
      </c>
      <c r="F785" s="4" t="s">
        <v>871</v>
      </c>
      <c r="G785" s="4" t="s">
        <v>171</v>
      </c>
      <c r="H785" s="4" t="s">
        <v>172</v>
      </c>
      <c r="I785" s="24" t="s">
        <v>152</v>
      </c>
      <c r="J785" s="15">
        <v>3</v>
      </c>
      <c r="K785" s="15">
        <v>1</v>
      </c>
      <c r="L785" s="15">
        <v>1</v>
      </c>
      <c r="M785" s="15">
        <v>3</v>
      </c>
      <c r="N785" s="15">
        <v>1</v>
      </c>
      <c r="O785" s="15">
        <v>2</v>
      </c>
      <c r="P785" s="15" t="s">
        <v>415</v>
      </c>
      <c r="Q785" s="23" t="s">
        <v>838</v>
      </c>
      <c r="R785" s="25">
        <f>ROUND((K785*Parametros!$B$4+L785*Parametros!$B$5+M785*Parametros!$B$6+N785*Parametros!$B$7+O785*Parametros!$B$8)/SUM(Parametros!$B$4:$B$8),2)</f>
        <v>1.55</v>
      </c>
      <c r="S785" s="26">
        <f>IFERROR(INDEX(Parametros!$F$33:$F$42,MATCH(D785,Parametros!$A$33:$A$42,0)),1)</f>
        <v>1.1000000000000001</v>
      </c>
      <c r="T785" s="27">
        <f>IFERROR(INDEX(Parametros!$B$21:$B$26,MATCH(I785,Parametros!$A$21:$A$26,0)),0)</f>
        <v>0</v>
      </c>
      <c r="U785" s="28">
        <f t="shared" si="49"/>
        <v>1.71</v>
      </c>
      <c r="V785" s="9">
        <f>IF(U785&gt;=Parametros!$B$14,4,IF(U785&gt;=Parametros!$B$13,3,IF(U785&gt;=Parametros!$B$12,2,1)))</f>
        <v>1</v>
      </c>
      <c r="W785" s="5">
        <f>MAX(V785,IF(K785=5,Parametros!$B$17,0),IF(P785="Sim",Parametros!$B$18,0))</f>
        <v>1</v>
      </c>
      <c r="X785" s="5" t="str">
        <f t="shared" si="50"/>
        <v>Baixa</v>
      </c>
      <c r="Y785" s="29">
        <f t="shared" si="51"/>
        <v>1016.7992150000001</v>
      </c>
      <c r="Z785" s="4" t="s">
        <v>659</v>
      </c>
    </row>
    <row r="786" spans="1:26" ht="28.05" customHeight="1" x14ac:dyDescent="0.3">
      <c r="A786" s="5">
        <f t="shared" si="48"/>
        <v>782</v>
      </c>
      <c r="B786" s="23" t="s">
        <v>1760</v>
      </c>
      <c r="C786" s="17" t="s">
        <v>1761</v>
      </c>
      <c r="D786" s="4" t="s">
        <v>51</v>
      </c>
      <c r="E786" s="4" t="s">
        <v>170</v>
      </c>
      <c r="F786" s="4" t="s">
        <v>170</v>
      </c>
      <c r="G786" s="4" t="s">
        <v>171</v>
      </c>
      <c r="H786" s="4" t="s">
        <v>172</v>
      </c>
      <c r="I786" s="24" t="s">
        <v>152</v>
      </c>
      <c r="J786" s="15">
        <v>3</v>
      </c>
      <c r="K786" s="15">
        <v>3</v>
      </c>
      <c r="L786" s="15">
        <v>1</v>
      </c>
      <c r="M786" s="15">
        <v>1</v>
      </c>
      <c r="N786" s="15">
        <v>1</v>
      </c>
      <c r="O786" s="15">
        <v>1</v>
      </c>
      <c r="P786" s="15" t="s">
        <v>415</v>
      </c>
      <c r="Q786" s="23" t="s">
        <v>838</v>
      </c>
      <c r="R786" s="25">
        <f>ROUND((K786*Parametros!$B$4+L786*Parametros!$B$5+M786*Parametros!$B$6+N786*Parametros!$B$7+O786*Parametros!$B$8)/SUM(Parametros!$B$4:$B$8),2)</f>
        <v>1.6</v>
      </c>
      <c r="S786" s="26">
        <f>IFERROR(INDEX(Parametros!$F$33:$F$42,MATCH(D786,Parametros!$A$33:$A$42,0)),1)</f>
        <v>1.0669999999999999</v>
      </c>
      <c r="T786" s="27">
        <f>IFERROR(INDEX(Parametros!$B$21:$B$26,MATCH(I786,Parametros!$A$21:$A$26,0)),0)</f>
        <v>0</v>
      </c>
      <c r="U786" s="28">
        <f t="shared" si="49"/>
        <v>1.71</v>
      </c>
      <c r="V786" s="9">
        <f>IF(U786&gt;=Parametros!$B$14,4,IF(U786&gt;=Parametros!$B$13,3,IF(U786&gt;=Parametros!$B$12,2,1)))</f>
        <v>1</v>
      </c>
      <c r="W786" s="5">
        <f>MAX(V786,IF(K786=5,Parametros!$B$17,0),IF(P786="Sim",Parametros!$B$18,0))</f>
        <v>1</v>
      </c>
      <c r="X786" s="5" t="str">
        <f t="shared" si="50"/>
        <v>Baixa</v>
      </c>
      <c r="Y786" s="29">
        <f t="shared" si="51"/>
        <v>1016.7992140000001</v>
      </c>
      <c r="Z786" s="4" t="s">
        <v>659</v>
      </c>
    </row>
    <row r="787" spans="1:26" ht="28.05" customHeight="1" x14ac:dyDescent="0.3">
      <c r="A787" s="5">
        <f t="shared" si="48"/>
        <v>783</v>
      </c>
      <c r="B787" s="23" t="s">
        <v>1762</v>
      </c>
      <c r="C787" s="17" t="s">
        <v>1763</v>
      </c>
      <c r="D787" s="4" t="s">
        <v>51</v>
      </c>
      <c r="E787" s="4" t="s">
        <v>64</v>
      </c>
      <c r="F787" s="4" t="s">
        <v>64</v>
      </c>
      <c r="G787" s="4" t="s">
        <v>184</v>
      </c>
      <c r="H787" s="4" t="s">
        <v>185</v>
      </c>
      <c r="I787" s="24" t="s">
        <v>131</v>
      </c>
      <c r="J787" s="15">
        <v>3</v>
      </c>
      <c r="K787" s="15">
        <v>3</v>
      </c>
      <c r="L787" s="15">
        <v>1</v>
      </c>
      <c r="M787" s="15">
        <v>1</v>
      </c>
      <c r="N787" s="15">
        <v>1</v>
      </c>
      <c r="O787" s="15">
        <v>1</v>
      </c>
      <c r="P787" s="15" t="s">
        <v>415</v>
      </c>
      <c r="Q787" s="23" t="s">
        <v>838</v>
      </c>
      <c r="R787" s="25">
        <f>ROUND((K787*Parametros!$B$4+L787*Parametros!$B$5+M787*Parametros!$B$6+N787*Parametros!$B$7+O787*Parametros!$B$8)/SUM(Parametros!$B$4:$B$8),2)</f>
        <v>1.6</v>
      </c>
      <c r="S787" s="26">
        <f>IFERROR(INDEX(Parametros!$F$33:$F$42,MATCH(D787,Parametros!$A$33:$A$42,0)),1)</f>
        <v>1.0669999999999999</v>
      </c>
      <c r="T787" s="27">
        <f>IFERROR(INDEX(Parametros!$B$21:$B$26,MATCH(I787,Parametros!$A$21:$A$26,0)),0)</f>
        <v>0</v>
      </c>
      <c r="U787" s="28">
        <f t="shared" si="49"/>
        <v>1.71</v>
      </c>
      <c r="V787" s="9">
        <f>IF(U787&gt;=Parametros!$B$14,4,IF(U787&gt;=Parametros!$B$13,3,IF(U787&gt;=Parametros!$B$12,2,1)))</f>
        <v>1</v>
      </c>
      <c r="W787" s="5">
        <f>MAX(V787,IF(K787=5,Parametros!$B$17,0),IF(P787="Sim",Parametros!$B$18,0))</f>
        <v>1</v>
      </c>
      <c r="X787" s="5" t="str">
        <f t="shared" si="50"/>
        <v>Baixa</v>
      </c>
      <c r="Y787" s="29">
        <f t="shared" si="51"/>
        <v>1016.7992130000001</v>
      </c>
      <c r="Z787" s="4" t="s">
        <v>659</v>
      </c>
    </row>
    <row r="788" spans="1:26" ht="28.05" customHeight="1" x14ac:dyDescent="0.3">
      <c r="A788" s="5">
        <f t="shared" si="48"/>
        <v>784</v>
      </c>
      <c r="B788" s="23" t="s">
        <v>1764</v>
      </c>
      <c r="C788" s="17" t="s">
        <v>1765</v>
      </c>
      <c r="D788" s="4" t="s">
        <v>50</v>
      </c>
      <c r="E788" s="4" t="s">
        <v>345</v>
      </c>
      <c r="F788" s="4" t="s">
        <v>345</v>
      </c>
      <c r="G788" s="4" t="s">
        <v>171</v>
      </c>
      <c r="H788" s="4" t="s">
        <v>172</v>
      </c>
      <c r="I788" s="24" t="s">
        <v>359</v>
      </c>
      <c r="J788" s="15">
        <v>2</v>
      </c>
      <c r="K788" s="15">
        <v>1</v>
      </c>
      <c r="L788" s="15">
        <v>2</v>
      </c>
      <c r="M788" s="15">
        <v>3</v>
      </c>
      <c r="N788" s="15">
        <v>1</v>
      </c>
      <c r="O788" s="15">
        <v>2</v>
      </c>
      <c r="P788" s="15" t="s">
        <v>415</v>
      </c>
      <c r="Q788" s="23" t="s">
        <v>838</v>
      </c>
      <c r="R788" s="25">
        <f>ROUND((K788*Parametros!$B$4+L788*Parametros!$B$5+M788*Parametros!$B$6+N788*Parametros!$B$7+O788*Parametros!$B$8)/SUM(Parametros!$B$4:$B$8),2)</f>
        <v>1.75</v>
      </c>
      <c r="S788" s="26">
        <f>IFERROR(INDEX(Parametros!$F$33:$F$42,MATCH(D788,Parametros!$A$33:$A$42,0)),1)</f>
        <v>1.0840000000000001</v>
      </c>
      <c r="T788" s="27">
        <f>IFERROR(INDEX(Parametros!$B$21:$B$26,MATCH(I788,Parametros!$A$21:$A$26,0)),0)</f>
        <v>-0.2</v>
      </c>
      <c r="U788" s="28">
        <f t="shared" si="49"/>
        <v>1.7</v>
      </c>
      <c r="V788" s="9">
        <f>IF(U788&gt;=Parametros!$B$14,4,IF(U788&gt;=Parametros!$B$13,3,IF(U788&gt;=Parametros!$B$12,2,1)))</f>
        <v>1</v>
      </c>
      <c r="W788" s="5">
        <f>MAX(V788,IF(K788=5,Parametros!$B$17,0),IF(P788="Sim",Parametros!$B$18,0))</f>
        <v>1</v>
      </c>
      <c r="X788" s="5" t="str">
        <f t="shared" si="50"/>
        <v>Baixa</v>
      </c>
      <c r="Y788" s="29">
        <f t="shared" si="51"/>
        <v>1016.7992119999999</v>
      </c>
      <c r="Z788" s="4" t="s">
        <v>1410</v>
      </c>
    </row>
    <row r="789" spans="1:26" ht="28.05" customHeight="1" x14ac:dyDescent="0.3">
      <c r="A789" s="5">
        <f t="shared" si="48"/>
        <v>785</v>
      </c>
      <c r="B789" s="23" t="s">
        <v>1766</v>
      </c>
      <c r="C789" s="17" t="s">
        <v>1767</v>
      </c>
      <c r="D789" s="4" t="s">
        <v>50</v>
      </c>
      <c r="E789" s="4" t="s">
        <v>65</v>
      </c>
      <c r="F789" s="4" t="s">
        <v>65</v>
      </c>
      <c r="G789" s="4" t="s">
        <v>171</v>
      </c>
      <c r="H789" s="4" t="s">
        <v>172</v>
      </c>
      <c r="I789" s="24" t="s">
        <v>152</v>
      </c>
      <c r="J789" s="15">
        <v>2</v>
      </c>
      <c r="K789" s="15">
        <v>1</v>
      </c>
      <c r="L789" s="15">
        <v>3</v>
      </c>
      <c r="M789" s="15">
        <v>1</v>
      </c>
      <c r="N789" s="15">
        <v>1</v>
      </c>
      <c r="O789" s="15">
        <v>2</v>
      </c>
      <c r="P789" s="15" t="s">
        <v>415</v>
      </c>
      <c r="Q789" s="23" t="s">
        <v>838</v>
      </c>
      <c r="R789" s="25">
        <f>ROUND((K789*Parametros!$B$4+L789*Parametros!$B$5+M789*Parametros!$B$6+N789*Parametros!$B$7+O789*Parametros!$B$8)/SUM(Parametros!$B$4:$B$8),2)</f>
        <v>1.55</v>
      </c>
      <c r="S789" s="26">
        <f>IFERROR(INDEX(Parametros!$F$33:$F$42,MATCH(D789,Parametros!$A$33:$A$42,0)),1)</f>
        <v>1.0840000000000001</v>
      </c>
      <c r="T789" s="27">
        <f>IFERROR(INDEX(Parametros!$B$21:$B$26,MATCH(I789,Parametros!$A$21:$A$26,0)),0)</f>
        <v>0</v>
      </c>
      <c r="U789" s="28">
        <f t="shared" si="49"/>
        <v>1.68</v>
      </c>
      <c r="V789" s="9">
        <f>IF(U789&gt;=Parametros!$B$14,4,IF(U789&gt;=Parametros!$B$13,3,IF(U789&gt;=Parametros!$B$12,2,1)))</f>
        <v>1</v>
      </c>
      <c r="W789" s="5">
        <f>MAX(V789,IF(K789=5,Parametros!$B$17,0),IF(P789="Sim",Parametros!$B$18,0))</f>
        <v>1</v>
      </c>
      <c r="X789" s="5" t="str">
        <f t="shared" si="50"/>
        <v>Baixa</v>
      </c>
      <c r="Y789" s="29">
        <f t="shared" si="51"/>
        <v>1016.5992109999999</v>
      </c>
      <c r="Z789" s="4" t="s">
        <v>659</v>
      </c>
    </row>
    <row r="790" spans="1:26" ht="28.05" customHeight="1" x14ac:dyDescent="0.3">
      <c r="A790" s="5">
        <f t="shared" si="48"/>
        <v>786</v>
      </c>
      <c r="B790" s="23" t="s">
        <v>1768</v>
      </c>
      <c r="C790" s="17" t="s">
        <v>1769</v>
      </c>
      <c r="D790" s="4" t="s">
        <v>52</v>
      </c>
      <c r="E790" s="4" t="s">
        <v>66</v>
      </c>
      <c r="F790" s="4" t="s">
        <v>66</v>
      </c>
      <c r="G790" s="4" t="s">
        <v>171</v>
      </c>
      <c r="H790" s="4" t="s">
        <v>172</v>
      </c>
      <c r="I790" s="24" t="s">
        <v>152</v>
      </c>
      <c r="J790" s="15">
        <v>2</v>
      </c>
      <c r="K790" s="15">
        <v>3</v>
      </c>
      <c r="L790" s="15">
        <v>1</v>
      </c>
      <c r="M790" s="15">
        <v>1</v>
      </c>
      <c r="N790" s="15">
        <v>1</v>
      </c>
      <c r="O790" s="15">
        <v>1</v>
      </c>
      <c r="P790" s="15" t="s">
        <v>415</v>
      </c>
      <c r="Q790" s="23" t="s">
        <v>838</v>
      </c>
      <c r="R790" s="25">
        <f>ROUND((K790*Parametros!$B$4+L790*Parametros!$B$5+M790*Parametros!$B$6+N790*Parametros!$B$7+O790*Parametros!$B$8)/SUM(Parametros!$B$4:$B$8),2)</f>
        <v>1.6</v>
      </c>
      <c r="S790" s="26">
        <f>IFERROR(INDEX(Parametros!$F$33:$F$42,MATCH(D790,Parametros!$A$33:$A$42,0)),1)</f>
        <v>1.05</v>
      </c>
      <c r="T790" s="27">
        <f>IFERROR(INDEX(Parametros!$B$21:$B$26,MATCH(I790,Parametros!$A$21:$A$26,0)),0)</f>
        <v>0</v>
      </c>
      <c r="U790" s="28">
        <f t="shared" si="49"/>
        <v>1.68</v>
      </c>
      <c r="V790" s="9">
        <f>IF(U790&gt;=Parametros!$B$14,4,IF(U790&gt;=Parametros!$B$13,3,IF(U790&gt;=Parametros!$B$12,2,1)))</f>
        <v>1</v>
      </c>
      <c r="W790" s="5">
        <f>MAX(V790,IF(K790=5,Parametros!$B$17,0),IF(P790="Sim",Parametros!$B$18,0))</f>
        <v>1</v>
      </c>
      <c r="X790" s="5" t="str">
        <f t="shared" si="50"/>
        <v>Baixa</v>
      </c>
      <c r="Y790" s="29">
        <f t="shared" si="51"/>
        <v>1016.5992099999999</v>
      </c>
      <c r="Z790" s="4" t="s">
        <v>659</v>
      </c>
    </row>
    <row r="791" spans="1:26" ht="28.05" customHeight="1" x14ac:dyDescent="0.3">
      <c r="A791" s="5">
        <f t="shared" si="48"/>
        <v>787</v>
      </c>
      <c r="B791" s="23" t="s">
        <v>1770</v>
      </c>
      <c r="C791" s="17" t="s">
        <v>1771</v>
      </c>
      <c r="D791" s="4" t="s">
        <v>51</v>
      </c>
      <c r="E791" s="4" t="s">
        <v>194</v>
      </c>
      <c r="F791" s="4" t="s">
        <v>194</v>
      </c>
      <c r="G791" s="4" t="s">
        <v>171</v>
      </c>
      <c r="H791" s="4" t="s">
        <v>172</v>
      </c>
      <c r="I791" s="24" t="s">
        <v>954</v>
      </c>
      <c r="J791" s="15">
        <v>2</v>
      </c>
      <c r="K791" s="15">
        <v>2</v>
      </c>
      <c r="L791" s="15">
        <v>3</v>
      </c>
      <c r="M791" s="15">
        <v>1</v>
      </c>
      <c r="N791" s="15">
        <v>1</v>
      </c>
      <c r="O791" s="15">
        <v>2</v>
      </c>
      <c r="P791" s="15" t="s">
        <v>415</v>
      </c>
      <c r="Q791" s="23" t="s">
        <v>838</v>
      </c>
      <c r="R791" s="25">
        <f>ROUND((K791*Parametros!$B$4+L791*Parametros!$B$5+M791*Parametros!$B$6+N791*Parametros!$B$7+O791*Parametros!$B$8)/SUM(Parametros!$B$4:$B$8),2)</f>
        <v>1.85</v>
      </c>
      <c r="S791" s="26">
        <f>IFERROR(INDEX(Parametros!$F$33:$F$42,MATCH(D791,Parametros!$A$33:$A$42,0)),1)</f>
        <v>1.0669999999999999</v>
      </c>
      <c r="T791" s="27">
        <f>IFERROR(INDEX(Parametros!$B$21:$B$26,MATCH(I791,Parametros!$A$21:$A$26,0)),0)</f>
        <v>-0.3</v>
      </c>
      <c r="U791" s="28">
        <f t="shared" si="49"/>
        <v>1.67</v>
      </c>
      <c r="V791" s="9">
        <f>IF(U791&gt;=Parametros!$B$14,4,IF(U791&gt;=Parametros!$B$13,3,IF(U791&gt;=Parametros!$B$12,2,1)))</f>
        <v>1</v>
      </c>
      <c r="W791" s="5">
        <f>MAX(V791,IF(K791=5,Parametros!$B$17,0),IF(P791="Sim",Parametros!$B$18,0))</f>
        <v>1</v>
      </c>
      <c r="X791" s="5" t="str">
        <f t="shared" si="50"/>
        <v>Baixa</v>
      </c>
      <c r="Y791" s="29">
        <f t="shared" si="51"/>
        <v>1016.499209</v>
      </c>
      <c r="Z791" s="4" t="s">
        <v>1213</v>
      </c>
    </row>
    <row r="792" spans="1:26" ht="28.05" customHeight="1" x14ac:dyDescent="0.3">
      <c r="A792" s="5">
        <f t="shared" si="48"/>
        <v>788</v>
      </c>
      <c r="B792" s="23" t="s">
        <v>1772</v>
      </c>
      <c r="C792" s="17" t="s">
        <v>1773</v>
      </c>
      <c r="D792" s="4" t="s">
        <v>51</v>
      </c>
      <c r="E792" s="4" t="s">
        <v>194</v>
      </c>
      <c r="F792" s="4" t="s">
        <v>194</v>
      </c>
      <c r="G792" s="4" t="s">
        <v>171</v>
      </c>
      <c r="H792" s="4" t="s">
        <v>172</v>
      </c>
      <c r="I792" s="24" t="s">
        <v>954</v>
      </c>
      <c r="J792" s="15">
        <v>2</v>
      </c>
      <c r="K792" s="15">
        <v>2</v>
      </c>
      <c r="L792" s="15">
        <v>3</v>
      </c>
      <c r="M792" s="15">
        <v>1</v>
      </c>
      <c r="N792" s="15">
        <v>1</v>
      </c>
      <c r="O792" s="15">
        <v>2</v>
      </c>
      <c r="P792" s="15" t="s">
        <v>415</v>
      </c>
      <c r="Q792" s="23" t="s">
        <v>838</v>
      </c>
      <c r="R792" s="25">
        <f>ROUND((K792*Parametros!$B$4+L792*Parametros!$B$5+M792*Parametros!$B$6+N792*Parametros!$B$7+O792*Parametros!$B$8)/SUM(Parametros!$B$4:$B$8),2)</f>
        <v>1.85</v>
      </c>
      <c r="S792" s="26">
        <f>IFERROR(INDEX(Parametros!$F$33:$F$42,MATCH(D792,Parametros!$A$33:$A$42,0)),1)</f>
        <v>1.0669999999999999</v>
      </c>
      <c r="T792" s="27">
        <f>IFERROR(INDEX(Parametros!$B$21:$B$26,MATCH(I792,Parametros!$A$21:$A$26,0)),0)</f>
        <v>-0.3</v>
      </c>
      <c r="U792" s="28">
        <f t="shared" si="49"/>
        <v>1.67</v>
      </c>
      <c r="V792" s="9">
        <f>IF(U792&gt;=Parametros!$B$14,4,IF(U792&gt;=Parametros!$B$13,3,IF(U792&gt;=Parametros!$B$12,2,1)))</f>
        <v>1</v>
      </c>
      <c r="W792" s="5">
        <f>MAX(V792,IF(K792=5,Parametros!$B$17,0),IF(P792="Sim",Parametros!$B$18,0))</f>
        <v>1</v>
      </c>
      <c r="X792" s="5" t="str">
        <f t="shared" si="50"/>
        <v>Baixa</v>
      </c>
      <c r="Y792" s="29">
        <f t="shared" si="51"/>
        <v>1016.499208</v>
      </c>
      <c r="Z792" s="4" t="s">
        <v>1213</v>
      </c>
    </row>
    <row r="793" spans="1:26" ht="28.05" customHeight="1" x14ac:dyDescent="0.3">
      <c r="A793" s="5">
        <f t="shared" si="48"/>
        <v>789</v>
      </c>
      <c r="B793" s="23" t="s">
        <v>1774</v>
      </c>
      <c r="C793" s="17" t="s">
        <v>1775</v>
      </c>
      <c r="D793" s="4" t="s">
        <v>52</v>
      </c>
      <c r="E793" s="4" t="s">
        <v>66</v>
      </c>
      <c r="F793" s="4" t="s">
        <v>66</v>
      </c>
      <c r="G793" s="4" t="s">
        <v>184</v>
      </c>
      <c r="H793" s="4" t="s">
        <v>185</v>
      </c>
      <c r="I793" s="24" t="s">
        <v>131</v>
      </c>
      <c r="J793" s="15">
        <v>3</v>
      </c>
      <c r="K793" s="15">
        <v>2</v>
      </c>
      <c r="L793" s="15">
        <v>1</v>
      </c>
      <c r="M793" s="15">
        <v>1</v>
      </c>
      <c r="N793" s="15">
        <v>1</v>
      </c>
      <c r="O793" s="15">
        <v>3</v>
      </c>
      <c r="P793" s="15" t="s">
        <v>415</v>
      </c>
      <c r="Q793" s="23" t="s">
        <v>838</v>
      </c>
      <c r="R793" s="25">
        <f>ROUND((K793*Parametros!$B$4+L793*Parametros!$B$5+M793*Parametros!$B$6+N793*Parametros!$B$7+O793*Parametros!$B$8)/SUM(Parametros!$B$4:$B$8),2)</f>
        <v>1.6</v>
      </c>
      <c r="S793" s="26">
        <f>IFERROR(INDEX(Parametros!$F$33:$F$42,MATCH(D793,Parametros!$A$33:$A$42,0)),1)</f>
        <v>1.05</v>
      </c>
      <c r="T793" s="27">
        <f>IFERROR(INDEX(Parametros!$B$21:$B$26,MATCH(I793,Parametros!$A$21:$A$26,0)),0)</f>
        <v>0</v>
      </c>
      <c r="U793" s="28">
        <f t="shared" si="49"/>
        <v>1.68</v>
      </c>
      <c r="V793" s="9">
        <f>IF(U793&gt;=Parametros!$B$14,4,IF(U793&gt;=Parametros!$B$13,3,IF(U793&gt;=Parametros!$B$12,2,1)))</f>
        <v>1</v>
      </c>
      <c r="W793" s="5">
        <f>MAX(V793,IF(K793=5,Parametros!$B$17,0),IF(P793="Sim",Parametros!$B$18,0))</f>
        <v>1</v>
      </c>
      <c r="X793" s="5" t="str">
        <f t="shared" si="50"/>
        <v>Baixa</v>
      </c>
      <c r="Y793" s="29">
        <f t="shared" si="51"/>
        <v>1016.499207</v>
      </c>
      <c r="Z793" s="4" t="s">
        <v>659</v>
      </c>
    </row>
    <row r="794" spans="1:26" ht="28.05" customHeight="1" x14ac:dyDescent="0.3">
      <c r="A794" s="5">
        <f t="shared" si="48"/>
        <v>790</v>
      </c>
      <c r="B794" s="23" t="s">
        <v>1776</v>
      </c>
      <c r="C794" s="17" t="s">
        <v>1777</v>
      </c>
      <c r="D794" s="4" t="s">
        <v>51</v>
      </c>
      <c r="E794" s="4" t="s">
        <v>194</v>
      </c>
      <c r="F794" s="4" t="s">
        <v>194</v>
      </c>
      <c r="G794" s="4" t="s">
        <v>171</v>
      </c>
      <c r="H794" s="4" t="s">
        <v>172</v>
      </c>
      <c r="I794" s="24" t="s">
        <v>954</v>
      </c>
      <c r="J794" s="15">
        <v>2</v>
      </c>
      <c r="K794" s="15">
        <v>2</v>
      </c>
      <c r="L794" s="15">
        <v>3</v>
      </c>
      <c r="M794" s="15">
        <v>1</v>
      </c>
      <c r="N794" s="15">
        <v>1</v>
      </c>
      <c r="O794" s="15">
        <v>2</v>
      </c>
      <c r="P794" s="15" t="s">
        <v>415</v>
      </c>
      <c r="Q794" s="23" t="s">
        <v>838</v>
      </c>
      <c r="R794" s="25">
        <f>ROUND((K794*Parametros!$B$4+L794*Parametros!$B$5+M794*Parametros!$B$6+N794*Parametros!$B$7+O794*Parametros!$B$8)/SUM(Parametros!$B$4:$B$8),2)</f>
        <v>1.85</v>
      </c>
      <c r="S794" s="26">
        <f>IFERROR(INDEX(Parametros!$F$33:$F$42,MATCH(D794,Parametros!$A$33:$A$42,0)),1)</f>
        <v>1.0669999999999999</v>
      </c>
      <c r="T794" s="27">
        <f>IFERROR(INDEX(Parametros!$B$21:$B$26,MATCH(I794,Parametros!$A$21:$A$26,0)),0)</f>
        <v>-0.3</v>
      </c>
      <c r="U794" s="28">
        <f t="shared" si="49"/>
        <v>1.67</v>
      </c>
      <c r="V794" s="9">
        <f>IF(U794&gt;=Parametros!$B$14,4,IF(U794&gt;=Parametros!$B$13,3,IF(U794&gt;=Parametros!$B$12,2,1)))</f>
        <v>1</v>
      </c>
      <c r="W794" s="5">
        <f>MAX(V794,IF(K794=5,Parametros!$B$17,0),IF(P794="Sim",Parametros!$B$18,0))</f>
        <v>1</v>
      </c>
      <c r="X794" s="5" t="str">
        <f t="shared" si="50"/>
        <v>Baixa</v>
      </c>
      <c r="Y794" s="29">
        <f t="shared" si="51"/>
        <v>1016.499206</v>
      </c>
      <c r="Z794" s="4" t="s">
        <v>1213</v>
      </c>
    </row>
    <row r="795" spans="1:26" ht="28.05" customHeight="1" x14ac:dyDescent="0.3">
      <c r="A795" s="5">
        <f t="shared" si="48"/>
        <v>791</v>
      </c>
      <c r="B795" s="23" t="s">
        <v>1778</v>
      </c>
      <c r="C795" s="17" t="s">
        <v>1779</v>
      </c>
      <c r="D795" s="4" t="s">
        <v>51</v>
      </c>
      <c r="E795" s="4" t="s">
        <v>194</v>
      </c>
      <c r="F795" s="4" t="s">
        <v>194</v>
      </c>
      <c r="G795" s="4" t="s">
        <v>171</v>
      </c>
      <c r="H795" s="4" t="s">
        <v>172</v>
      </c>
      <c r="I795" s="24" t="s">
        <v>954</v>
      </c>
      <c r="J795" s="15">
        <v>2</v>
      </c>
      <c r="K795" s="15">
        <v>2</v>
      </c>
      <c r="L795" s="15">
        <v>3</v>
      </c>
      <c r="M795" s="15">
        <v>1</v>
      </c>
      <c r="N795" s="15">
        <v>1</v>
      </c>
      <c r="O795" s="15">
        <v>2</v>
      </c>
      <c r="P795" s="15" t="s">
        <v>415</v>
      </c>
      <c r="Q795" s="23" t="s">
        <v>838</v>
      </c>
      <c r="R795" s="25">
        <f>ROUND((K795*Parametros!$B$4+L795*Parametros!$B$5+M795*Parametros!$B$6+N795*Parametros!$B$7+O795*Parametros!$B$8)/SUM(Parametros!$B$4:$B$8),2)</f>
        <v>1.85</v>
      </c>
      <c r="S795" s="26">
        <f>IFERROR(INDEX(Parametros!$F$33:$F$42,MATCH(D795,Parametros!$A$33:$A$42,0)),1)</f>
        <v>1.0669999999999999</v>
      </c>
      <c r="T795" s="27">
        <f>IFERROR(INDEX(Parametros!$B$21:$B$26,MATCH(I795,Parametros!$A$21:$A$26,0)),0)</f>
        <v>-0.3</v>
      </c>
      <c r="U795" s="28">
        <f t="shared" si="49"/>
        <v>1.67</v>
      </c>
      <c r="V795" s="9">
        <f>IF(U795&gt;=Parametros!$B$14,4,IF(U795&gt;=Parametros!$B$13,3,IF(U795&gt;=Parametros!$B$12,2,1)))</f>
        <v>1</v>
      </c>
      <c r="W795" s="5">
        <f>MAX(V795,IF(K795=5,Parametros!$B$17,0),IF(P795="Sim",Parametros!$B$18,0))</f>
        <v>1</v>
      </c>
      <c r="X795" s="5" t="str">
        <f t="shared" si="50"/>
        <v>Baixa</v>
      </c>
      <c r="Y795" s="29">
        <f t="shared" si="51"/>
        <v>1016.499205</v>
      </c>
      <c r="Z795" s="4" t="s">
        <v>1213</v>
      </c>
    </row>
    <row r="796" spans="1:26" ht="28.05" customHeight="1" x14ac:dyDescent="0.3">
      <c r="A796" s="5">
        <f t="shared" si="48"/>
        <v>792</v>
      </c>
      <c r="B796" s="23" t="s">
        <v>1780</v>
      </c>
      <c r="C796" s="17" t="s">
        <v>1781</v>
      </c>
      <c r="D796" s="4" t="s">
        <v>51</v>
      </c>
      <c r="E796" s="4" t="s">
        <v>194</v>
      </c>
      <c r="F796" s="4" t="s">
        <v>194</v>
      </c>
      <c r="G796" s="4" t="s">
        <v>171</v>
      </c>
      <c r="H796" s="4" t="s">
        <v>172</v>
      </c>
      <c r="I796" s="24" t="s">
        <v>954</v>
      </c>
      <c r="J796" s="15">
        <v>2</v>
      </c>
      <c r="K796" s="15">
        <v>2</v>
      </c>
      <c r="L796" s="15">
        <v>3</v>
      </c>
      <c r="M796" s="15">
        <v>1</v>
      </c>
      <c r="N796" s="15">
        <v>1</v>
      </c>
      <c r="O796" s="15">
        <v>2</v>
      </c>
      <c r="P796" s="15" t="s">
        <v>415</v>
      </c>
      <c r="Q796" s="23" t="s">
        <v>838</v>
      </c>
      <c r="R796" s="25">
        <f>ROUND((K796*Parametros!$B$4+L796*Parametros!$B$5+M796*Parametros!$B$6+N796*Parametros!$B$7+O796*Parametros!$B$8)/SUM(Parametros!$B$4:$B$8),2)</f>
        <v>1.85</v>
      </c>
      <c r="S796" s="26">
        <f>IFERROR(INDEX(Parametros!$F$33:$F$42,MATCH(D796,Parametros!$A$33:$A$42,0)),1)</f>
        <v>1.0669999999999999</v>
      </c>
      <c r="T796" s="27">
        <f>IFERROR(INDEX(Parametros!$B$21:$B$26,MATCH(I796,Parametros!$A$21:$A$26,0)),0)</f>
        <v>-0.3</v>
      </c>
      <c r="U796" s="28">
        <f t="shared" si="49"/>
        <v>1.67</v>
      </c>
      <c r="V796" s="9">
        <f>IF(U796&gt;=Parametros!$B$14,4,IF(U796&gt;=Parametros!$B$13,3,IF(U796&gt;=Parametros!$B$12,2,1)))</f>
        <v>1</v>
      </c>
      <c r="W796" s="5">
        <f>MAX(V796,IF(K796=5,Parametros!$B$17,0),IF(P796="Sim",Parametros!$B$18,0))</f>
        <v>1</v>
      </c>
      <c r="X796" s="5" t="str">
        <f t="shared" si="50"/>
        <v>Baixa</v>
      </c>
      <c r="Y796" s="29">
        <f t="shared" si="51"/>
        <v>1016.499204</v>
      </c>
      <c r="Z796" s="4" t="s">
        <v>1213</v>
      </c>
    </row>
    <row r="797" spans="1:26" ht="28.05" customHeight="1" x14ac:dyDescent="0.3">
      <c r="A797" s="5">
        <f t="shared" si="48"/>
        <v>793</v>
      </c>
      <c r="B797" s="23" t="s">
        <v>1782</v>
      </c>
      <c r="C797" s="17" t="s">
        <v>1783</v>
      </c>
      <c r="D797" s="4" t="s">
        <v>51</v>
      </c>
      <c r="E797" s="4" t="s">
        <v>194</v>
      </c>
      <c r="F797" s="4" t="s">
        <v>194</v>
      </c>
      <c r="G797" s="4" t="s">
        <v>171</v>
      </c>
      <c r="H797" s="4" t="s">
        <v>172</v>
      </c>
      <c r="I797" s="24" t="s">
        <v>954</v>
      </c>
      <c r="J797" s="15">
        <v>2</v>
      </c>
      <c r="K797" s="15">
        <v>2</v>
      </c>
      <c r="L797" s="15">
        <v>3</v>
      </c>
      <c r="M797" s="15">
        <v>1</v>
      </c>
      <c r="N797" s="15">
        <v>1</v>
      </c>
      <c r="O797" s="15">
        <v>2</v>
      </c>
      <c r="P797" s="15" t="s">
        <v>415</v>
      </c>
      <c r="Q797" s="23" t="s">
        <v>838</v>
      </c>
      <c r="R797" s="25">
        <f>ROUND((K797*Parametros!$B$4+L797*Parametros!$B$5+M797*Parametros!$B$6+N797*Parametros!$B$7+O797*Parametros!$B$8)/SUM(Parametros!$B$4:$B$8),2)</f>
        <v>1.85</v>
      </c>
      <c r="S797" s="26">
        <f>IFERROR(INDEX(Parametros!$F$33:$F$42,MATCH(D797,Parametros!$A$33:$A$42,0)),1)</f>
        <v>1.0669999999999999</v>
      </c>
      <c r="T797" s="27">
        <f>IFERROR(INDEX(Parametros!$B$21:$B$26,MATCH(I797,Parametros!$A$21:$A$26,0)),0)</f>
        <v>-0.3</v>
      </c>
      <c r="U797" s="28">
        <f t="shared" si="49"/>
        <v>1.67</v>
      </c>
      <c r="V797" s="9">
        <f>IF(U797&gt;=Parametros!$B$14,4,IF(U797&gt;=Parametros!$B$13,3,IF(U797&gt;=Parametros!$B$12,2,1)))</f>
        <v>1</v>
      </c>
      <c r="W797" s="5">
        <f>MAX(V797,IF(K797=5,Parametros!$B$17,0),IF(P797="Sim",Parametros!$B$18,0))</f>
        <v>1</v>
      </c>
      <c r="X797" s="5" t="str">
        <f t="shared" si="50"/>
        <v>Baixa</v>
      </c>
      <c r="Y797" s="29">
        <f t="shared" si="51"/>
        <v>1016.499203</v>
      </c>
      <c r="Z797" s="4" t="s">
        <v>1213</v>
      </c>
    </row>
    <row r="798" spans="1:26" ht="28.05" customHeight="1" x14ac:dyDescent="0.3">
      <c r="A798" s="5">
        <f t="shared" si="48"/>
        <v>794</v>
      </c>
      <c r="B798" s="23" t="s">
        <v>1784</v>
      </c>
      <c r="C798" s="17" t="s">
        <v>1785</v>
      </c>
      <c r="D798" s="4" t="s">
        <v>51</v>
      </c>
      <c r="E798" s="4" t="s">
        <v>194</v>
      </c>
      <c r="F798" s="4" t="s">
        <v>194</v>
      </c>
      <c r="G798" s="4" t="s">
        <v>171</v>
      </c>
      <c r="H798" s="4" t="s">
        <v>172</v>
      </c>
      <c r="I798" s="24" t="s">
        <v>954</v>
      </c>
      <c r="J798" s="15">
        <v>2</v>
      </c>
      <c r="K798" s="15">
        <v>2</v>
      </c>
      <c r="L798" s="15">
        <v>3</v>
      </c>
      <c r="M798" s="15">
        <v>1</v>
      </c>
      <c r="N798" s="15">
        <v>1</v>
      </c>
      <c r="O798" s="15">
        <v>2</v>
      </c>
      <c r="P798" s="15" t="s">
        <v>415</v>
      </c>
      <c r="Q798" s="23" t="s">
        <v>838</v>
      </c>
      <c r="R798" s="25">
        <f>ROUND((K798*Parametros!$B$4+L798*Parametros!$B$5+M798*Parametros!$B$6+N798*Parametros!$B$7+O798*Parametros!$B$8)/SUM(Parametros!$B$4:$B$8),2)</f>
        <v>1.85</v>
      </c>
      <c r="S798" s="26">
        <f>IFERROR(INDEX(Parametros!$F$33:$F$42,MATCH(D798,Parametros!$A$33:$A$42,0)),1)</f>
        <v>1.0669999999999999</v>
      </c>
      <c r="T798" s="27">
        <f>IFERROR(INDEX(Parametros!$B$21:$B$26,MATCH(I798,Parametros!$A$21:$A$26,0)),0)</f>
        <v>-0.3</v>
      </c>
      <c r="U798" s="28">
        <f t="shared" si="49"/>
        <v>1.67</v>
      </c>
      <c r="V798" s="9">
        <f>IF(U798&gt;=Parametros!$B$14,4,IF(U798&gt;=Parametros!$B$13,3,IF(U798&gt;=Parametros!$B$12,2,1)))</f>
        <v>1</v>
      </c>
      <c r="W798" s="5">
        <f>MAX(V798,IF(K798=5,Parametros!$B$17,0),IF(P798="Sim",Parametros!$B$18,0))</f>
        <v>1</v>
      </c>
      <c r="X798" s="5" t="str">
        <f t="shared" si="50"/>
        <v>Baixa</v>
      </c>
      <c r="Y798" s="29">
        <f t="shared" si="51"/>
        <v>1016.499202</v>
      </c>
      <c r="Z798" s="4" t="s">
        <v>1213</v>
      </c>
    </row>
    <row r="799" spans="1:26" ht="28.05" customHeight="1" x14ac:dyDescent="0.3">
      <c r="A799" s="5">
        <f t="shared" si="48"/>
        <v>795</v>
      </c>
      <c r="B799" s="23" t="s">
        <v>1786</v>
      </c>
      <c r="C799" s="17" t="s">
        <v>1787</v>
      </c>
      <c r="D799" s="4" t="s">
        <v>51</v>
      </c>
      <c r="E799" s="4" t="s">
        <v>194</v>
      </c>
      <c r="F799" s="4" t="s">
        <v>194</v>
      </c>
      <c r="G799" s="4" t="s">
        <v>171</v>
      </c>
      <c r="H799" s="4" t="s">
        <v>172</v>
      </c>
      <c r="I799" s="24" t="s">
        <v>954</v>
      </c>
      <c r="J799" s="15">
        <v>2</v>
      </c>
      <c r="K799" s="15">
        <v>2</v>
      </c>
      <c r="L799" s="15">
        <v>3</v>
      </c>
      <c r="M799" s="15">
        <v>1</v>
      </c>
      <c r="N799" s="15">
        <v>1</v>
      </c>
      <c r="O799" s="15">
        <v>2</v>
      </c>
      <c r="P799" s="15" t="s">
        <v>415</v>
      </c>
      <c r="Q799" s="23" t="s">
        <v>838</v>
      </c>
      <c r="R799" s="25">
        <f>ROUND((K799*Parametros!$B$4+L799*Parametros!$B$5+M799*Parametros!$B$6+N799*Parametros!$B$7+O799*Parametros!$B$8)/SUM(Parametros!$B$4:$B$8),2)</f>
        <v>1.85</v>
      </c>
      <c r="S799" s="26">
        <f>IFERROR(INDEX(Parametros!$F$33:$F$42,MATCH(D799,Parametros!$A$33:$A$42,0)),1)</f>
        <v>1.0669999999999999</v>
      </c>
      <c r="T799" s="27">
        <f>IFERROR(INDEX(Parametros!$B$21:$B$26,MATCH(I799,Parametros!$A$21:$A$26,0)),0)</f>
        <v>-0.3</v>
      </c>
      <c r="U799" s="28">
        <f t="shared" si="49"/>
        <v>1.67</v>
      </c>
      <c r="V799" s="9">
        <f>IF(U799&gt;=Parametros!$B$14,4,IF(U799&gt;=Parametros!$B$13,3,IF(U799&gt;=Parametros!$B$12,2,1)))</f>
        <v>1</v>
      </c>
      <c r="W799" s="5">
        <f>MAX(V799,IF(K799=5,Parametros!$B$17,0),IF(P799="Sim",Parametros!$B$18,0))</f>
        <v>1</v>
      </c>
      <c r="X799" s="5" t="str">
        <f t="shared" si="50"/>
        <v>Baixa</v>
      </c>
      <c r="Y799" s="29">
        <f t="shared" si="51"/>
        <v>1016.499201</v>
      </c>
      <c r="Z799" s="4" t="s">
        <v>1213</v>
      </c>
    </row>
    <row r="800" spans="1:26" ht="28.05" customHeight="1" x14ac:dyDescent="0.3">
      <c r="A800" s="5">
        <f t="shared" si="48"/>
        <v>796</v>
      </c>
      <c r="B800" s="23" t="s">
        <v>1788</v>
      </c>
      <c r="C800" s="17" t="s">
        <v>1789</v>
      </c>
      <c r="D800" s="4" t="s">
        <v>54</v>
      </c>
      <c r="E800" s="4" t="s">
        <v>63</v>
      </c>
      <c r="F800" s="4" t="s">
        <v>63</v>
      </c>
      <c r="G800" s="4" t="s">
        <v>112</v>
      </c>
      <c r="H800" s="4" t="s">
        <v>108</v>
      </c>
      <c r="I800" s="24" t="s">
        <v>152</v>
      </c>
      <c r="J800" s="15">
        <v>1</v>
      </c>
      <c r="K800" s="15">
        <v>2</v>
      </c>
      <c r="L800" s="15">
        <v>1</v>
      </c>
      <c r="M800" s="15">
        <v>1</v>
      </c>
      <c r="N800" s="15">
        <v>3</v>
      </c>
      <c r="O800" s="15">
        <v>1</v>
      </c>
      <c r="P800" s="15" t="s">
        <v>415</v>
      </c>
      <c r="Q800" s="23" t="s">
        <v>416</v>
      </c>
      <c r="R800" s="25">
        <f>ROUND((K800*Parametros!$B$4+L800*Parametros!$B$5+M800*Parametros!$B$6+N800*Parametros!$B$7+O800*Parametros!$B$8)/SUM(Parametros!$B$4:$B$8),2)</f>
        <v>1.6</v>
      </c>
      <c r="S800" s="26">
        <f>IFERROR(INDEX(Parametros!$F$33:$F$42,MATCH(D800,Parametros!$A$33:$A$42,0)),1)</f>
        <v>1.034</v>
      </c>
      <c r="T800" s="27">
        <f>IFERROR(INDEX(Parametros!$B$21:$B$26,MATCH(I800,Parametros!$A$21:$A$26,0)),0)</f>
        <v>0</v>
      </c>
      <c r="U800" s="28">
        <f t="shared" si="49"/>
        <v>1.65</v>
      </c>
      <c r="V800" s="9">
        <f>IF(U800&gt;=Parametros!$B$14,4,IF(U800&gt;=Parametros!$B$13,3,IF(U800&gt;=Parametros!$B$12,2,1)))</f>
        <v>1</v>
      </c>
      <c r="W800" s="5">
        <f>MAX(V800,IF(K800=5,Parametros!$B$17,0),IF(P800="Sim",Parametros!$B$18,0))</f>
        <v>1</v>
      </c>
      <c r="X800" s="5" t="str">
        <f t="shared" si="50"/>
        <v>Baixa</v>
      </c>
      <c r="Y800" s="29">
        <f t="shared" si="51"/>
        <v>1016.3992</v>
      </c>
      <c r="Z800" s="4" t="s">
        <v>659</v>
      </c>
    </row>
    <row r="801" spans="1:26" ht="28.05" customHeight="1" x14ac:dyDescent="0.3">
      <c r="A801" s="5">
        <f t="shared" si="48"/>
        <v>797</v>
      </c>
      <c r="B801" s="23" t="s">
        <v>1790</v>
      </c>
      <c r="C801" s="17" t="s">
        <v>1791</v>
      </c>
      <c r="D801" s="4" t="s">
        <v>52</v>
      </c>
      <c r="E801" s="4" t="s">
        <v>66</v>
      </c>
      <c r="F801" s="4" t="s">
        <v>66</v>
      </c>
      <c r="G801" s="4" t="s">
        <v>171</v>
      </c>
      <c r="H801" s="4" t="s">
        <v>172</v>
      </c>
      <c r="I801" s="24" t="s">
        <v>954</v>
      </c>
      <c r="J801" s="15">
        <v>2</v>
      </c>
      <c r="K801" s="15">
        <v>2</v>
      </c>
      <c r="L801" s="15">
        <v>1</v>
      </c>
      <c r="M801" s="15">
        <v>3</v>
      </c>
      <c r="N801" s="15">
        <v>1</v>
      </c>
      <c r="O801" s="15">
        <v>2</v>
      </c>
      <c r="P801" s="15" t="s">
        <v>415</v>
      </c>
      <c r="Q801" s="23" t="s">
        <v>838</v>
      </c>
      <c r="R801" s="25">
        <f>ROUND((K801*Parametros!$B$4+L801*Parametros!$B$5+M801*Parametros!$B$6+N801*Parametros!$B$7+O801*Parametros!$B$8)/SUM(Parametros!$B$4:$B$8),2)</f>
        <v>1.85</v>
      </c>
      <c r="S801" s="26">
        <f>IFERROR(INDEX(Parametros!$F$33:$F$42,MATCH(D801,Parametros!$A$33:$A$42,0)),1)</f>
        <v>1.05</v>
      </c>
      <c r="T801" s="27">
        <f>IFERROR(INDEX(Parametros!$B$21:$B$26,MATCH(I801,Parametros!$A$21:$A$26,0)),0)</f>
        <v>-0.3</v>
      </c>
      <c r="U801" s="28">
        <f t="shared" si="49"/>
        <v>1.64</v>
      </c>
      <c r="V801" s="9">
        <f>IF(U801&gt;=Parametros!$B$14,4,IF(U801&gt;=Parametros!$B$13,3,IF(U801&gt;=Parametros!$B$12,2,1)))</f>
        <v>1</v>
      </c>
      <c r="W801" s="5">
        <f>MAX(V801,IF(K801=5,Parametros!$B$17,0),IF(P801="Sim",Parametros!$B$18,0))</f>
        <v>1</v>
      </c>
      <c r="X801" s="5" t="str">
        <f t="shared" si="50"/>
        <v>Baixa</v>
      </c>
      <c r="Y801" s="29">
        <f t="shared" si="51"/>
        <v>1016.1991989999999</v>
      </c>
      <c r="Z801" s="4" t="s">
        <v>1213</v>
      </c>
    </row>
    <row r="802" spans="1:26" ht="28.05" customHeight="1" x14ac:dyDescent="0.3">
      <c r="A802" s="5">
        <f t="shared" si="48"/>
        <v>798</v>
      </c>
      <c r="B802" s="23" t="s">
        <v>1792</v>
      </c>
      <c r="C802" s="17" t="s">
        <v>1793</v>
      </c>
      <c r="D802" s="4" t="s">
        <v>52</v>
      </c>
      <c r="E802" s="4" t="s">
        <v>66</v>
      </c>
      <c r="F802" s="4" t="s">
        <v>66</v>
      </c>
      <c r="G802" s="4" t="s">
        <v>107</v>
      </c>
      <c r="H802" s="4" t="s">
        <v>108</v>
      </c>
      <c r="I802" s="24" t="s">
        <v>954</v>
      </c>
      <c r="J802" s="15">
        <v>2</v>
      </c>
      <c r="K802" s="15">
        <v>2</v>
      </c>
      <c r="L802" s="15">
        <v>3</v>
      </c>
      <c r="M802" s="15">
        <v>1</v>
      </c>
      <c r="N802" s="15">
        <v>1</v>
      </c>
      <c r="O802" s="15">
        <v>2</v>
      </c>
      <c r="P802" s="15" t="s">
        <v>415</v>
      </c>
      <c r="Q802" s="23" t="s">
        <v>838</v>
      </c>
      <c r="R802" s="25">
        <f>ROUND((K802*Parametros!$B$4+L802*Parametros!$B$5+M802*Parametros!$B$6+N802*Parametros!$B$7+O802*Parametros!$B$8)/SUM(Parametros!$B$4:$B$8),2)</f>
        <v>1.85</v>
      </c>
      <c r="S802" s="26">
        <f>IFERROR(INDEX(Parametros!$F$33:$F$42,MATCH(D802,Parametros!$A$33:$A$42,0)),1)</f>
        <v>1.05</v>
      </c>
      <c r="T802" s="27">
        <f>IFERROR(INDEX(Parametros!$B$21:$B$26,MATCH(I802,Parametros!$A$21:$A$26,0)),0)</f>
        <v>-0.3</v>
      </c>
      <c r="U802" s="28">
        <f t="shared" si="49"/>
        <v>1.64</v>
      </c>
      <c r="V802" s="9">
        <f>IF(U802&gt;=Parametros!$B$14,4,IF(U802&gt;=Parametros!$B$13,3,IF(U802&gt;=Parametros!$B$12,2,1)))</f>
        <v>1</v>
      </c>
      <c r="W802" s="5">
        <f>MAX(V802,IF(K802=5,Parametros!$B$17,0),IF(P802="Sim",Parametros!$B$18,0))</f>
        <v>1</v>
      </c>
      <c r="X802" s="5" t="str">
        <f t="shared" si="50"/>
        <v>Baixa</v>
      </c>
      <c r="Y802" s="29">
        <f t="shared" si="51"/>
        <v>1016.1991979999999</v>
      </c>
      <c r="Z802" s="4" t="s">
        <v>1213</v>
      </c>
    </row>
    <row r="803" spans="1:26" ht="28.05" customHeight="1" x14ac:dyDescent="0.3">
      <c r="A803" s="5">
        <f t="shared" si="48"/>
        <v>799</v>
      </c>
      <c r="B803" s="23" t="s">
        <v>1794</v>
      </c>
      <c r="C803" s="17" t="s">
        <v>1795</v>
      </c>
      <c r="D803" s="4" t="s">
        <v>52</v>
      </c>
      <c r="E803" s="4" t="s">
        <v>66</v>
      </c>
      <c r="F803" s="4" t="s">
        <v>66</v>
      </c>
      <c r="G803" s="4" t="s">
        <v>171</v>
      </c>
      <c r="H803" s="4" t="s">
        <v>172</v>
      </c>
      <c r="I803" s="24" t="s">
        <v>954</v>
      </c>
      <c r="J803" s="15">
        <v>2</v>
      </c>
      <c r="K803" s="15">
        <v>2</v>
      </c>
      <c r="L803" s="15">
        <v>3</v>
      </c>
      <c r="M803" s="15">
        <v>1</v>
      </c>
      <c r="N803" s="15">
        <v>1</v>
      </c>
      <c r="O803" s="15">
        <v>2</v>
      </c>
      <c r="P803" s="15" t="s">
        <v>415</v>
      </c>
      <c r="Q803" s="23" t="s">
        <v>838</v>
      </c>
      <c r="R803" s="25">
        <f>ROUND((K803*Parametros!$B$4+L803*Parametros!$B$5+M803*Parametros!$B$6+N803*Parametros!$B$7+O803*Parametros!$B$8)/SUM(Parametros!$B$4:$B$8),2)</f>
        <v>1.85</v>
      </c>
      <c r="S803" s="26">
        <f>IFERROR(INDEX(Parametros!$F$33:$F$42,MATCH(D803,Parametros!$A$33:$A$42,0)),1)</f>
        <v>1.05</v>
      </c>
      <c r="T803" s="27">
        <f>IFERROR(INDEX(Parametros!$B$21:$B$26,MATCH(I803,Parametros!$A$21:$A$26,0)),0)</f>
        <v>-0.3</v>
      </c>
      <c r="U803" s="28">
        <f t="shared" si="49"/>
        <v>1.64</v>
      </c>
      <c r="V803" s="9">
        <f>IF(U803&gt;=Parametros!$B$14,4,IF(U803&gt;=Parametros!$B$13,3,IF(U803&gt;=Parametros!$B$12,2,1)))</f>
        <v>1</v>
      </c>
      <c r="W803" s="5">
        <f>MAX(V803,IF(K803=5,Parametros!$B$17,0),IF(P803="Sim",Parametros!$B$18,0))</f>
        <v>1</v>
      </c>
      <c r="X803" s="5" t="str">
        <f t="shared" si="50"/>
        <v>Baixa</v>
      </c>
      <c r="Y803" s="29">
        <f t="shared" si="51"/>
        <v>1016.1991969999999</v>
      </c>
      <c r="Z803" s="4" t="s">
        <v>1213</v>
      </c>
    </row>
    <row r="804" spans="1:26" ht="28.05" customHeight="1" x14ac:dyDescent="0.3">
      <c r="A804" s="5">
        <f t="shared" si="48"/>
        <v>800</v>
      </c>
      <c r="B804" s="23" t="s">
        <v>1796</v>
      </c>
      <c r="C804" s="17" t="s">
        <v>1797</v>
      </c>
      <c r="D804" s="4" t="s">
        <v>50</v>
      </c>
      <c r="E804" s="4" t="s">
        <v>64</v>
      </c>
      <c r="F804" s="4" t="s">
        <v>64</v>
      </c>
      <c r="G804" s="4" t="s">
        <v>171</v>
      </c>
      <c r="H804" s="4" t="s">
        <v>172</v>
      </c>
      <c r="I804" s="24" t="s">
        <v>152</v>
      </c>
      <c r="J804" s="15">
        <v>3</v>
      </c>
      <c r="K804" s="15">
        <v>2</v>
      </c>
      <c r="L804" s="15">
        <v>2</v>
      </c>
      <c r="M804" s="15">
        <v>1</v>
      </c>
      <c r="N804" s="15">
        <v>1</v>
      </c>
      <c r="O804" s="15">
        <v>1</v>
      </c>
      <c r="P804" s="15" t="s">
        <v>415</v>
      </c>
      <c r="Q804" s="23" t="s">
        <v>838</v>
      </c>
      <c r="R804" s="25">
        <f>ROUND((K804*Parametros!$B$4+L804*Parametros!$B$5+M804*Parametros!$B$6+N804*Parametros!$B$7+O804*Parametros!$B$8)/SUM(Parametros!$B$4:$B$8),2)</f>
        <v>1.5</v>
      </c>
      <c r="S804" s="26">
        <f>IFERROR(INDEX(Parametros!$F$33:$F$42,MATCH(D804,Parametros!$A$33:$A$42,0)),1)</f>
        <v>1.0840000000000001</v>
      </c>
      <c r="T804" s="27">
        <f>IFERROR(INDEX(Parametros!$B$21:$B$26,MATCH(I804,Parametros!$A$21:$A$26,0)),0)</f>
        <v>0</v>
      </c>
      <c r="U804" s="28">
        <f t="shared" si="49"/>
        <v>1.63</v>
      </c>
      <c r="V804" s="9">
        <f>IF(U804&gt;=Parametros!$B$14,4,IF(U804&gt;=Parametros!$B$13,3,IF(U804&gt;=Parametros!$B$12,2,1)))</f>
        <v>1</v>
      </c>
      <c r="W804" s="5">
        <f>MAX(V804,IF(K804=5,Parametros!$B$17,0),IF(P804="Sim",Parametros!$B$18,0))</f>
        <v>1</v>
      </c>
      <c r="X804" s="5" t="str">
        <f t="shared" si="50"/>
        <v>Baixa</v>
      </c>
      <c r="Y804" s="29">
        <f t="shared" si="51"/>
        <v>1015.999196</v>
      </c>
      <c r="Z804" s="4" t="s">
        <v>659</v>
      </c>
    </row>
    <row r="805" spans="1:26" ht="28.05" customHeight="1" x14ac:dyDescent="0.3">
      <c r="A805" s="5">
        <f t="shared" si="48"/>
        <v>801</v>
      </c>
      <c r="B805" s="23" t="s">
        <v>1798</v>
      </c>
      <c r="C805" s="17" t="s">
        <v>1799</v>
      </c>
      <c r="D805" s="4" t="s">
        <v>54</v>
      </c>
      <c r="E805" s="4" t="s">
        <v>72</v>
      </c>
      <c r="F805" s="4" t="s">
        <v>72</v>
      </c>
      <c r="G805" s="4" t="s">
        <v>171</v>
      </c>
      <c r="H805" s="4" t="s">
        <v>172</v>
      </c>
      <c r="I805" s="24" t="s">
        <v>359</v>
      </c>
      <c r="J805" s="15">
        <v>2</v>
      </c>
      <c r="K805" s="15">
        <v>1</v>
      </c>
      <c r="L805" s="15">
        <v>2</v>
      </c>
      <c r="M805" s="15">
        <v>3</v>
      </c>
      <c r="N805" s="15">
        <v>1</v>
      </c>
      <c r="O805" s="15">
        <v>2</v>
      </c>
      <c r="P805" s="15" t="s">
        <v>415</v>
      </c>
      <c r="Q805" s="23" t="s">
        <v>838</v>
      </c>
      <c r="R805" s="25">
        <f>ROUND((K805*Parametros!$B$4+L805*Parametros!$B$5+M805*Parametros!$B$6+N805*Parametros!$B$7+O805*Parametros!$B$8)/SUM(Parametros!$B$4:$B$8),2)</f>
        <v>1.75</v>
      </c>
      <c r="S805" s="26">
        <f>IFERROR(INDEX(Parametros!$F$33:$F$42,MATCH(D805,Parametros!$A$33:$A$42,0)),1)</f>
        <v>1.034</v>
      </c>
      <c r="T805" s="27">
        <f>IFERROR(INDEX(Parametros!$B$21:$B$26,MATCH(I805,Parametros!$A$21:$A$26,0)),0)</f>
        <v>-0.2</v>
      </c>
      <c r="U805" s="28">
        <f t="shared" si="49"/>
        <v>1.61</v>
      </c>
      <c r="V805" s="9">
        <f>IF(U805&gt;=Parametros!$B$14,4,IF(U805&gt;=Parametros!$B$13,3,IF(U805&gt;=Parametros!$B$12,2,1)))</f>
        <v>1</v>
      </c>
      <c r="W805" s="5">
        <f>MAX(V805,IF(K805=5,Parametros!$B$17,0),IF(P805="Sim",Parametros!$B$18,0))</f>
        <v>1</v>
      </c>
      <c r="X805" s="5" t="str">
        <f t="shared" si="50"/>
        <v>Baixa</v>
      </c>
      <c r="Y805" s="29">
        <f t="shared" si="51"/>
        <v>1015.899195</v>
      </c>
      <c r="Z805" s="4" t="s">
        <v>1410</v>
      </c>
    </row>
    <row r="806" spans="1:26" ht="28.05" customHeight="1" x14ac:dyDescent="0.3">
      <c r="A806" s="5">
        <f t="shared" si="48"/>
        <v>802</v>
      </c>
      <c r="B806" s="23" t="s">
        <v>1800</v>
      </c>
      <c r="C806" s="17" t="s">
        <v>1801</v>
      </c>
      <c r="D806" s="4" t="s">
        <v>54</v>
      </c>
      <c r="E806" s="4" t="s">
        <v>64</v>
      </c>
      <c r="F806" s="4" t="s">
        <v>64</v>
      </c>
      <c r="G806" s="4" t="s">
        <v>134</v>
      </c>
      <c r="H806" s="4" t="s">
        <v>108</v>
      </c>
      <c r="I806" s="24" t="s">
        <v>131</v>
      </c>
      <c r="J806" s="15">
        <v>2</v>
      </c>
      <c r="K806" s="15">
        <v>1</v>
      </c>
      <c r="L806" s="15">
        <v>2</v>
      </c>
      <c r="M806" s="15">
        <v>2</v>
      </c>
      <c r="N806" s="15">
        <v>1</v>
      </c>
      <c r="O806" s="15">
        <v>2</v>
      </c>
      <c r="P806" s="15" t="s">
        <v>415</v>
      </c>
      <c r="Q806" s="23" t="s">
        <v>416</v>
      </c>
      <c r="R806" s="25">
        <f>ROUND((K806*Parametros!$B$4+L806*Parametros!$B$5+M806*Parametros!$B$6+N806*Parametros!$B$7+O806*Parametros!$B$8)/SUM(Parametros!$B$4:$B$8),2)</f>
        <v>1.55</v>
      </c>
      <c r="S806" s="26">
        <f>IFERROR(INDEX(Parametros!$F$33:$F$42,MATCH(D806,Parametros!$A$33:$A$42,0)),1)</f>
        <v>1.034</v>
      </c>
      <c r="T806" s="27">
        <f>IFERROR(INDEX(Parametros!$B$21:$B$26,MATCH(I806,Parametros!$A$21:$A$26,0)),0)</f>
        <v>0</v>
      </c>
      <c r="U806" s="28">
        <f t="shared" si="49"/>
        <v>1.6</v>
      </c>
      <c r="V806" s="9">
        <f>IF(U806&gt;=Parametros!$B$14,4,IF(U806&gt;=Parametros!$B$13,3,IF(U806&gt;=Parametros!$B$12,2,1)))</f>
        <v>1</v>
      </c>
      <c r="W806" s="5">
        <f>MAX(V806,IF(K806=5,Parametros!$B$17,0),IF(P806="Sim",Parametros!$B$18,0))</f>
        <v>1</v>
      </c>
      <c r="X806" s="5" t="str">
        <f t="shared" si="50"/>
        <v>Baixa</v>
      </c>
      <c r="Y806" s="29">
        <f t="shared" si="51"/>
        <v>1015.7991939999999</v>
      </c>
      <c r="Z806" s="4" t="s">
        <v>659</v>
      </c>
    </row>
    <row r="807" spans="1:26" ht="28.05" customHeight="1" x14ac:dyDescent="0.3">
      <c r="A807" s="5">
        <f t="shared" si="48"/>
        <v>803</v>
      </c>
      <c r="B807" s="23" t="s">
        <v>1802</v>
      </c>
      <c r="C807" s="17" t="s">
        <v>1803</v>
      </c>
      <c r="D807" s="4" t="s">
        <v>48</v>
      </c>
      <c r="E807" s="4" t="s">
        <v>87</v>
      </c>
      <c r="F807" s="4" t="s">
        <v>1003</v>
      </c>
      <c r="G807" s="4" t="s">
        <v>171</v>
      </c>
      <c r="H807" s="4" t="s">
        <v>172</v>
      </c>
      <c r="I807" s="24" t="s">
        <v>152</v>
      </c>
      <c r="J807" s="15">
        <v>2</v>
      </c>
      <c r="K807" s="15">
        <v>2</v>
      </c>
      <c r="L807" s="15">
        <v>1</v>
      </c>
      <c r="M807" s="15">
        <v>1</v>
      </c>
      <c r="N807" s="15">
        <v>2</v>
      </c>
      <c r="O807" s="15">
        <v>1</v>
      </c>
      <c r="P807" s="15" t="s">
        <v>415</v>
      </c>
      <c r="Q807" s="23" t="s">
        <v>838</v>
      </c>
      <c r="R807" s="25">
        <f>ROUND((K807*Parametros!$B$4+L807*Parametros!$B$5+M807*Parametros!$B$6+N807*Parametros!$B$7+O807*Parametros!$B$8)/SUM(Parametros!$B$4:$B$8),2)</f>
        <v>1.45</v>
      </c>
      <c r="S807" s="26">
        <f>IFERROR(INDEX(Parametros!$F$33:$F$42,MATCH(D807,Parametros!$A$33:$A$42,0)),1)</f>
        <v>1.1000000000000001</v>
      </c>
      <c r="T807" s="27">
        <f>IFERROR(INDEX(Parametros!$B$21:$B$26,MATCH(I807,Parametros!$A$21:$A$26,0)),0)</f>
        <v>0</v>
      </c>
      <c r="U807" s="28">
        <f t="shared" si="49"/>
        <v>1.6</v>
      </c>
      <c r="V807" s="9">
        <f>IF(U807&gt;=Parametros!$B$14,4,IF(U807&gt;=Parametros!$B$13,3,IF(U807&gt;=Parametros!$B$12,2,1)))</f>
        <v>1</v>
      </c>
      <c r="W807" s="5">
        <f>MAX(V807,IF(K807=5,Parametros!$B$17,0),IF(P807="Sim",Parametros!$B$18,0))</f>
        <v>1</v>
      </c>
      <c r="X807" s="5" t="str">
        <f t="shared" si="50"/>
        <v>Baixa</v>
      </c>
      <c r="Y807" s="29">
        <f t="shared" si="51"/>
        <v>1015.7991929999999</v>
      </c>
      <c r="Z807" s="4" t="s">
        <v>659</v>
      </c>
    </row>
    <row r="808" spans="1:26" ht="28.05" customHeight="1" x14ac:dyDescent="0.3">
      <c r="A808" s="5">
        <f t="shared" si="48"/>
        <v>804</v>
      </c>
      <c r="B808" s="23" t="s">
        <v>1804</v>
      </c>
      <c r="C808" s="17" t="s">
        <v>1805</v>
      </c>
      <c r="D808" s="4" t="s">
        <v>48</v>
      </c>
      <c r="E808" s="4" t="s">
        <v>871</v>
      </c>
      <c r="F808" s="4" t="s">
        <v>871</v>
      </c>
      <c r="G808" s="4" t="s">
        <v>171</v>
      </c>
      <c r="H808" s="4" t="s">
        <v>172</v>
      </c>
      <c r="I808" s="24" t="s">
        <v>152</v>
      </c>
      <c r="J808" s="15">
        <v>3</v>
      </c>
      <c r="K808" s="15">
        <v>2</v>
      </c>
      <c r="L808" s="15">
        <v>1</v>
      </c>
      <c r="M808" s="15">
        <v>1</v>
      </c>
      <c r="N808" s="15">
        <v>2</v>
      </c>
      <c r="O808" s="15">
        <v>1</v>
      </c>
      <c r="P808" s="15" t="s">
        <v>415</v>
      </c>
      <c r="Q808" s="23" t="s">
        <v>838</v>
      </c>
      <c r="R808" s="25">
        <f>ROUND((K808*Parametros!$B$4+L808*Parametros!$B$5+M808*Parametros!$B$6+N808*Parametros!$B$7+O808*Parametros!$B$8)/SUM(Parametros!$B$4:$B$8),2)</f>
        <v>1.45</v>
      </c>
      <c r="S808" s="26">
        <f>IFERROR(INDEX(Parametros!$F$33:$F$42,MATCH(D808,Parametros!$A$33:$A$42,0)),1)</f>
        <v>1.1000000000000001</v>
      </c>
      <c r="T808" s="27">
        <f>IFERROR(INDEX(Parametros!$B$21:$B$26,MATCH(I808,Parametros!$A$21:$A$26,0)),0)</f>
        <v>0</v>
      </c>
      <c r="U808" s="28">
        <f t="shared" si="49"/>
        <v>1.6</v>
      </c>
      <c r="V808" s="9">
        <f>IF(U808&gt;=Parametros!$B$14,4,IF(U808&gt;=Parametros!$B$13,3,IF(U808&gt;=Parametros!$B$12,2,1)))</f>
        <v>1</v>
      </c>
      <c r="W808" s="5">
        <f>MAX(V808,IF(K808=5,Parametros!$B$17,0),IF(P808="Sim",Parametros!$B$18,0))</f>
        <v>1</v>
      </c>
      <c r="X808" s="5" t="str">
        <f t="shared" si="50"/>
        <v>Baixa</v>
      </c>
      <c r="Y808" s="29">
        <f t="shared" si="51"/>
        <v>1015.699192</v>
      </c>
      <c r="Z808" s="4" t="s">
        <v>659</v>
      </c>
    </row>
    <row r="809" spans="1:26" ht="28.05" customHeight="1" x14ac:dyDescent="0.3">
      <c r="A809" s="5">
        <f t="shared" si="48"/>
        <v>805</v>
      </c>
      <c r="B809" s="23" t="s">
        <v>1806</v>
      </c>
      <c r="C809" s="17" t="s">
        <v>1807</v>
      </c>
      <c r="D809" s="4" t="s">
        <v>48</v>
      </c>
      <c r="E809" s="4" t="s">
        <v>69</v>
      </c>
      <c r="F809" s="4" t="s">
        <v>69</v>
      </c>
      <c r="G809" s="4" t="s">
        <v>107</v>
      </c>
      <c r="H809" s="4" t="s">
        <v>108</v>
      </c>
      <c r="I809" s="24" t="s">
        <v>152</v>
      </c>
      <c r="J809" s="15">
        <v>3</v>
      </c>
      <c r="K809" s="15">
        <v>1</v>
      </c>
      <c r="L809" s="15">
        <v>1</v>
      </c>
      <c r="M809" s="15">
        <v>1</v>
      </c>
      <c r="N809" s="15">
        <v>2</v>
      </c>
      <c r="O809" s="15">
        <v>3</v>
      </c>
      <c r="P809" s="15" t="s">
        <v>415</v>
      </c>
      <c r="Q809" s="23" t="s">
        <v>416</v>
      </c>
      <c r="R809" s="25">
        <f>ROUND((K809*Parametros!$B$4+L809*Parametros!$B$5+M809*Parametros!$B$6+N809*Parametros!$B$7+O809*Parametros!$B$8)/SUM(Parametros!$B$4:$B$8),2)</f>
        <v>1.45</v>
      </c>
      <c r="S809" s="26">
        <f>IFERROR(INDEX(Parametros!$F$33:$F$42,MATCH(D809,Parametros!$A$33:$A$42,0)),1)</f>
        <v>1.1000000000000001</v>
      </c>
      <c r="T809" s="27">
        <f>IFERROR(INDEX(Parametros!$B$21:$B$26,MATCH(I809,Parametros!$A$21:$A$26,0)),0)</f>
        <v>0</v>
      </c>
      <c r="U809" s="28">
        <f t="shared" si="49"/>
        <v>1.6</v>
      </c>
      <c r="V809" s="9">
        <f>IF(U809&gt;=Parametros!$B$14,4,IF(U809&gt;=Parametros!$B$13,3,IF(U809&gt;=Parametros!$B$12,2,1)))</f>
        <v>1</v>
      </c>
      <c r="W809" s="5">
        <f>MAX(V809,IF(K809=5,Parametros!$B$17,0),IF(P809="Sim",Parametros!$B$18,0))</f>
        <v>1</v>
      </c>
      <c r="X809" s="5" t="str">
        <f t="shared" si="50"/>
        <v>Baixa</v>
      </c>
      <c r="Y809" s="29">
        <f t="shared" si="51"/>
        <v>1015.699191</v>
      </c>
      <c r="Z809" s="4" t="s">
        <v>659</v>
      </c>
    </row>
    <row r="810" spans="1:26" ht="28.05" customHeight="1" x14ac:dyDescent="0.3">
      <c r="A810" s="5">
        <f t="shared" si="48"/>
        <v>806</v>
      </c>
      <c r="B810" s="23" t="s">
        <v>1808</v>
      </c>
      <c r="C810" s="17" t="s">
        <v>1809</v>
      </c>
      <c r="D810" s="4" t="s">
        <v>56</v>
      </c>
      <c r="E810" s="4" t="s">
        <v>71</v>
      </c>
      <c r="F810" s="4" t="s">
        <v>71</v>
      </c>
      <c r="G810" s="4" t="s">
        <v>134</v>
      </c>
      <c r="H810" s="4" t="s">
        <v>108</v>
      </c>
      <c r="I810" s="24" t="s">
        <v>152</v>
      </c>
      <c r="J810" s="15">
        <v>1</v>
      </c>
      <c r="K810" s="15">
        <v>1</v>
      </c>
      <c r="L810" s="15">
        <v>2</v>
      </c>
      <c r="M810" s="15">
        <v>2</v>
      </c>
      <c r="N810" s="15">
        <v>2</v>
      </c>
      <c r="O810" s="15">
        <v>1</v>
      </c>
      <c r="P810" s="15" t="s">
        <v>415</v>
      </c>
      <c r="Q810" s="23" t="s">
        <v>416</v>
      </c>
      <c r="R810" s="25">
        <f>ROUND((K810*Parametros!$B$4+L810*Parametros!$B$5+M810*Parametros!$B$6+N810*Parametros!$B$7+O810*Parametros!$B$8)/SUM(Parametros!$B$4:$B$8),2)</f>
        <v>1.55</v>
      </c>
      <c r="S810" s="26">
        <f>IFERROR(INDEX(Parametros!$F$33:$F$42,MATCH(D810,Parametros!$A$33:$A$42,0)),1)</f>
        <v>1.0169999999999999</v>
      </c>
      <c r="T810" s="27">
        <f>IFERROR(INDEX(Parametros!$B$21:$B$26,MATCH(I810,Parametros!$A$21:$A$26,0)),0)</f>
        <v>0</v>
      </c>
      <c r="U810" s="28">
        <f t="shared" si="49"/>
        <v>1.58</v>
      </c>
      <c r="V810" s="9">
        <f>IF(U810&gt;=Parametros!$B$14,4,IF(U810&gt;=Parametros!$B$13,3,IF(U810&gt;=Parametros!$B$12,2,1)))</f>
        <v>1</v>
      </c>
      <c r="W810" s="5">
        <f>MAX(V810,IF(K810=5,Parametros!$B$17,0),IF(P810="Sim",Parametros!$B$18,0))</f>
        <v>1</v>
      </c>
      <c r="X810" s="5" t="str">
        <f t="shared" si="50"/>
        <v>Baixa</v>
      </c>
      <c r="Y810" s="29">
        <f t="shared" si="51"/>
        <v>1015.6991899999999</v>
      </c>
      <c r="Z810" s="4" t="s">
        <v>659</v>
      </c>
    </row>
    <row r="811" spans="1:26" ht="28.05" customHeight="1" x14ac:dyDescent="0.3">
      <c r="A811" s="5">
        <f t="shared" si="48"/>
        <v>807</v>
      </c>
      <c r="B811" s="23" t="s">
        <v>1810</v>
      </c>
      <c r="C811" s="17" t="s">
        <v>1811</v>
      </c>
      <c r="D811" s="4" t="s">
        <v>50</v>
      </c>
      <c r="E811" s="4" t="s">
        <v>64</v>
      </c>
      <c r="F811" s="4" t="s">
        <v>64</v>
      </c>
      <c r="G811" s="4" t="s">
        <v>171</v>
      </c>
      <c r="H811" s="4" t="s">
        <v>172</v>
      </c>
      <c r="I811" s="24" t="s">
        <v>131</v>
      </c>
      <c r="J811" s="15">
        <v>2</v>
      </c>
      <c r="K811" s="15">
        <v>1</v>
      </c>
      <c r="L811" s="15">
        <v>1</v>
      </c>
      <c r="M811" s="15">
        <v>1</v>
      </c>
      <c r="N811" s="15">
        <v>3</v>
      </c>
      <c r="O811" s="15">
        <v>2</v>
      </c>
      <c r="P811" s="15" t="s">
        <v>415</v>
      </c>
      <c r="Q811" s="23" t="s">
        <v>838</v>
      </c>
      <c r="R811" s="25">
        <f>ROUND((K811*Parametros!$B$4+L811*Parametros!$B$5+M811*Parametros!$B$6+N811*Parametros!$B$7+O811*Parametros!$B$8)/SUM(Parametros!$B$4:$B$8),2)</f>
        <v>1.45</v>
      </c>
      <c r="S811" s="26">
        <f>IFERROR(INDEX(Parametros!$F$33:$F$42,MATCH(D811,Parametros!$A$33:$A$42,0)),1)</f>
        <v>1.0840000000000001</v>
      </c>
      <c r="T811" s="27">
        <f>IFERROR(INDEX(Parametros!$B$21:$B$26,MATCH(I811,Parametros!$A$21:$A$26,0)),0)</f>
        <v>0</v>
      </c>
      <c r="U811" s="28">
        <f t="shared" si="49"/>
        <v>1.57</v>
      </c>
      <c r="V811" s="9">
        <f>IF(U811&gt;=Parametros!$B$14,4,IF(U811&gt;=Parametros!$B$13,3,IF(U811&gt;=Parametros!$B$12,2,1)))</f>
        <v>1</v>
      </c>
      <c r="W811" s="5">
        <f>MAX(V811,IF(K811=5,Parametros!$B$17,0),IF(P811="Sim",Parametros!$B$18,0))</f>
        <v>1</v>
      </c>
      <c r="X811" s="5" t="str">
        <f t="shared" si="50"/>
        <v>Baixa</v>
      </c>
      <c r="Y811" s="29">
        <f t="shared" si="51"/>
        <v>1015.499189</v>
      </c>
      <c r="Z811" s="4" t="s">
        <v>659</v>
      </c>
    </row>
    <row r="812" spans="1:26" ht="28.05" customHeight="1" x14ac:dyDescent="0.3">
      <c r="A812" s="5">
        <f t="shared" si="48"/>
        <v>808</v>
      </c>
      <c r="B812" s="23" t="s">
        <v>1812</v>
      </c>
      <c r="C812" s="17" t="s">
        <v>1813</v>
      </c>
      <c r="D812" s="4" t="s">
        <v>50</v>
      </c>
      <c r="E812" s="4" t="s">
        <v>345</v>
      </c>
      <c r="F812" s="4" t="s">
        <v>345</v>
      </c>
      <c r="G812" s="4" t="s">
        <v>112</v>
      </c>
      <c r="H812" s="4" t="s">
        <v>108</v>
      </c>
      <c r="I812" s="24" t="s">
        <v>152</v>
      </c>
      <c r="J812" s="15">
        <v>3</v>
      </c>
      <c r="K812" s="15">
        <v>2</v>
      </c>
      <c r="L812" s="15">
        <v>1</v>
      </c>
      <c r="M812" s="15">
        <v>1</v>
      </c>
      <c r="N812" s="15">
        <v>1</v>
      </c>
      <c r="O812" s="15">
        <v>2</v>
      </c>
      <c r="P812" s="15" t="s">
        <v>415</v>
      </c>
      <c r="Q812" s="23" t="s">
        <v>838</v>
      </c>
      <c r="R812" s="25">
        <f>ROUND((K812*Parametros!$B$4+L812*Parametros!$B$5+M812*Parametros!$B$6+N812*Parametros!$B$7+O812*Parametros!$B$8)/SUM(Parametros!$B$4:$B$8),2)</f>
        <v>1.45</v>
      </c>
      <c r="S812" s="26">
        <f>IFERROR(INDEX(Parametros!$F$33:$F$42,MATCH(D812,Parametros!$A$33:$A$42,0)),1)</f>
        <v>1.0840000000000001</v>
      </c>
      <c r="T812" s="27">
        <f>IFERROR(INDEX(Parametros!$B$21:$B$26,MATCH(I812,Parametros!$A$21:$A$26,0)),0)</f>
        <v>0</v>
      </c>
      <c r="U812" s="28">
        <f t="shared" si="49"/>
        <v>1.57</v>
      </c>
      <c r="V812" s="9">
        <f>IF(U812&gt;=Parametros!$B$14,4,IF(U812&gt;=Parametros!$B$13,3,IF(U812&gt;=Parametros!$B$12,2,1)))</f>
        <v>1</v>
      </c>
      <c r="W812" s="5">
        <f>MAX(V812,IF(K812=5,Parametros!$B$17,0),IF(P812="Sim",Parametros!$B$18,0))</f>
        <v>1</v>
      </c>
      <c r="X812" s="5" t="str">
        <f t="shared" si="50"/>
        <v>Baixa</v>
      </c>
      <c r="Y812" s="29">
        <f t="shared" si="51"/>
        <v>1015.3991880000001</v>
      </c>
      <c r="Z812" s="4" t="s">
        <v>659</v>
      </c>
    </row>
    <row r="813" spans="1:26" ht="28.05" customHeight="1" x14ac:dyDescent="0.3">
      <c r="A813" s="5">
        <f t="shared" si="48"/>
        <v>809</v>
      </c>
      <c r="B813" s="23" t="s">
        <v>1814</v>
      </c>
      <c r="C813" s="17" t="s">
        <v>1815</v>
      </c>
      <c r="D813" s="4" t="s">
        <v>50</v>
      </c>
      <c r="E813" s="4" t="s">
        <v>65</v>
      </c>
      <c r="F813" s="4" t="s">
        <v>65</v>
      </c>
      <c r="G813" s="4" t="s">
        <v>171</v>
      </c>
      <c r="H813" s="4" t="s">
        <v>172</v>
      </c>
      <c r="I813" s="24" t="s">
        <v>122</v>
      </c>
      <c r="J813" s="15">
        <v>3</v>
      </c>
      <c r="K813" s="15">
        <v>2</v>
      </c>
      <c r="L813" s="15">
        <v>1</v>
      </c>
      <c r="M813" s="15">
        <v>1</v>
      </c>
      <c r="N813" s="15">
        <v>2</v>
      </c>
      <c r="O813" s="15">
        <v>1</v>
      </c>
      <c r="P813" s="15" t="s">
        <v>415</v>
      </c>
      <c r="Q813" s="23" t="s">
        <v>838</v>
      </c>
      <c r="R813" s="25">
        <f>ROUND((K813*Parametros!$B$4+L813*Parametros!$B$5+M813*Parametros!$B$6+N813*Parametros!$B$7+O813*Parametros!$B$8)/SUM(Parametros!$B$4:$B$8),2)</f>
        <v>1.45</v>
      </c>
      <c r="S813" s="26">
        <f>IFERROR(INDEX(Parametros!$F$33:$F$42,MATCH(D813,Parametros!$A$33:$A$42,0)),1)</f>
        <v>1.0840000000000001</v>
      </c>
      <c r="T813" s="27">
        <f>IFERROR(INDEX(Parametros!$B$21:$B$26,MATCH(I813,Parametros!$A$21:$A$26,0)),0)</f>
        <v>0</v>
      </c>
      <c r="U813" s="28">
        <f t="shared" si="49"/>
        <v>1.57</v>
      </c>
      <c r="V813" s="9">
        <f>IF(U813&gt;=Parametros!$B$14,4,IF(U813&gt;=Parametros!$B$13,3,IF(U813&gt;=Parametros!$B$12,2,1)))</f>
        <v>1</v>
      </c>
      <c r="W813" s="5">
        <f>MAX(V813,IF(K813=5,Parametros!$B$17,0),IF(P813="Sim",Parametros!$B$18,0))</f>
        <v>1</v>
      </c>
      <c r="X813" s="5" t="str">
        <f t="shared" si="50"/>
        <v>Baixa</v>
      </c>
      <c r="Y813" s="29">
        <f t="shared" si="51"/>
        <v>1015.3991870000001</v>
      </c>
      <c r="Z813" s="4" t="s">
        <v>659</v>
      </c>
    </row>
    <row r="814" spans="1:26" ht="28.05" customHeight="1" x14ac:dyDescent="0.3">
      <c r="A814" s="5">
        <f t="shared" si="48"/>
        <v>810</v>
      </c>
      <c r="B814" s="23" t="s">
        <v>1816</v>
      </c>
      <c r="C814" s="17" t="s">
        <v>1817</v>
      </c>
      <c r="D814" s="4" t="s">
        <v>54</v>
      </c>
      <c r="E814" s="4" t="s">
        <v>64</v>
      </c>
      <c r="F814" s="4" t="s">
        <v>64</v>
      </c>
      <c r="G814" s="4" t="s">
        <v>184</v>
      </c>
      <c r="H814" s="4" t="s">
        <v>185</v>
      </c>
      <c r="I814" s="24" t="s">
        <v>131</v>
      </c>
      <c r="J814" s="15">
        <v>3</v>
      </c>
      <c r="K814" s="15">
        <v>2</v>
      </c>
      <c r="L814" s="15">
        <v>2</v>
      </c>
      <c r="M814" s="15">
        <v>1</v>
      </c>
      <c r="N814" s="15">
        <v>1</v>
      </c>
      <c r="O814" s="15">
        <v>1</v>
      </c>
      <c r="P814" s="15" t="s">
        <v>415</v>
      </c>
      <c r="Q814" s="23" t="s">
        <v>838</v>
      </c>
      <c r="R814" s="25">
        <f>ROUND((K814*Parametros!$B$4+L814*Parametros!$B$5+M814*Parametros!$B$6+N814*Parametros!$B$7+O814*Parametros!$B$8)/SUM(Parametros!$B$4:$B$8),2)</f>
        <v>1.5</v>
      </c>
      <c r="S814" s="26">
        <f>IFERROR(INDEX(Parametros!$F$33:$F$42,MATCH(D814,Parametros!$A$33:$A$42,0)),1)</f>
        <v>1.034</v>
      </c>
      <c r="T814" s="27">
        <f>IFERROR(INDEX(Parametros!$B$21:$B$26,MATCH(I814,Parametros!$A$21:$A$26,0)),0)</f>
        <v>0</v>
      </c>
      <c r="U814" s="28">
        <f t="shared" si="49"/>
        <v>1.55</v>
      </c>
      <c r="V814" s="9">
        <f>IF(U814&gt;=Parametros!$B$14,4,IF(U814&gt;=Parametros!$B$13,3,IF(U814&gt;=Parametros!$B$12,2,1)))</f>
        <v>1</v>
      </c>
      <c r="W814" s="5">
        <f>MAX(V814,IF(K814=5,Parametros!$B$17,0),IF(P814="Sim",Parametros!$B$18,0))</f>
        <v>1</v>
      </c>
      <c r="X814" s="5" t="str">
        <f t="shared" si="50"/>
        <v>Baixa</v>
      </c>
      <c r="Y814" s="29">
        <f t="shared" si="51"/>
        <v>1015.1991860000001</v>
      </c>
      <c r="Z814" s="4" t="s">
        <v>659</v>
      </c>
    </row>
    <row r="815" spans="1:26" ht="28.05" customHeight="1" x14ac:dyDescent="0.3">
      <c r="A815" s="5">
        <f t="shared" si="48"/>
        <v>811</v>
      </c>
      <c r="B815" s="23" t="s">
        <v>1818</v>
      </c>
      <c r="C815" s="17" t="s">
        <v>1819</v>
      </c>
      <c r="D815" s="4" t="s">
        <v>54</v>
      </c>
      <c r="E815" s="4" t="s">
        <v>64</v>
      </c>
      <c r="F815" s="4" t="s">
        <v>64</v>
      </c>
      <c r="G815" s="4" t="s">
        <v>184</v>
      </c>
      <c r="H815" s="4" t="s">
        <v>185</v>
      </c>
      <c r="I815" s="24" t="s">
        <v>152</v>
      </c>
      <c r="J815" s="15">
        <v>3</v>
      </c>
      <c r="K815" s="15">
        <v>2</v>
      </c>
      <c r="L815" s="15">
        <v>2</v>
      </c>
      <c r="M815" s="15">
        <v>1</v>
      </c>
      <c r="N815" s="15">
        <v>1</v>
      </c>
      <c r="O815" s="15">
        <v>1</v>
      </c>
      <c r="P815" s="15" t="s">
        <v>415</v>
      </c>
      <c r="Q815" s="23" t="s">
        <v>838</v>
      </c>
      <c r="R815" s="25">
        <f>ROUND((K815*Parametros!$B$4+L815*Parametros!$B$5+M815*Parametros!$B$6+N815*Parametros!$B$7+O815*Parametros!$B$8)/SUM(Parametros!$B$4:$B$8),2)</f>
        <v>1.5</v>
      </c>
      <c r="S815" s="26">
        <f>IFERROR(INDEX(Parametros!$F$33:$F$42,MATCH(D815,Parametros!$A$33:$A$42,0)),1)</f>
        <v>1.034</v>
      </c>
      <c r="T815" s="27">
        <f>IFERROR(INDEX(Parametros!$B$21:$B$26,MATCH(I815,Parametros!$A$21:$A$26,0)),0)</f>
        <v>0</v>
      </c>
      <c r="U815" s="28">
        <f t="shared" si="49"/>
        <v>1.55</v>
      </c>
      <c r="V815" s="9">
        <f>IF(U815&gt;=Parametros!$B$14,4,IF(U815&gt;=Parametros!$B$13,3,IF(U815&gt;=Parametros!$B$12,2,1)))</f>
        <v>1</v>
      </c>
      <c r="W815" s="5">
        <f>MAX(V815,IF(K815=5,Parametros!$B$17,0),IF(P815="Sim",Parametros!$B$18,0))</f>
        <v>1</v>
      </c>
      <c r="X815" s="5" t="str">
        <f t="shared" si="50"/>
        <v>Baixa</v>
      </c>
      <c r="Y815" s="29">
        <f t="shared" si="51"/>
        <v>1015.1991850000001</v>
      </c>
      <c r="Z815" s="4" t="s">
        <v>659</v>
      </c>
    </row>
    <row r="816" spans="1:26" ht="28.05" customHeight="1" x14ac:dyDescent="0.3">
      <c r="A816" s="5">
        <f t="shared" si="48"/>
        <v>812</v>
      </c>
      <c r="B816" s="23" t="s">
        <v>1820</v>
      </c>
      <c r="C816" s="17" t="s">
        <v>1821</v>
      </c>
      <c r="D816" s="4" t="s">
        <v>51</v>
      </c>
      <c r="E816" s="4" t="s">
        <v>1822</v>
      </c>
      <c r="F816" s="4" t="s">
        <v>1822</v>
      </c>
      <c r="G816" s="4" t="s">
        <v>171</v>
      </c>
      <c r="H816" s="4" t="s">
        <v>172</v>
      </c>
      <c r="I816" s="24" t="s">
        <v>152</v>
      </c>
      <c r="J816" s="15">
        <v>3</v>
      </c>
      <c r="K816" s="15">
        <v>2</v>
      </c>
      <c r="L816" s="15">
        <v>1</v>
      </c>
      <c r="M816" s="15">
        <v>1</v>
      </c>
      <c r="N816" s="15">
        <v>1</v>
      </c>
      <c r="O816" s="15">
        <v>2</v>
      </c>
      <c r="P816" s="15" t="s">
        <v>415</v>
      </c>
      <c r="Q816" s="23" t="s">
        <v>838</v>
      </c>
      <c r="R816" s="25">
        <f>ROUND((K816*Parametros!$B$4+L816*Parametros!$B$5+M816*Parametros!$B$6+N816*Parametros!$B$7+O816*Parametros!$B$8)/SUM(Parametros!$B$4:$B$8),2)</f>
        <v>1.45</v>
      </c>
      <c r="S816" s="26">
        <f>IFERROR(INDEX(Parametros!$F$33:$F$42,MATCH(D816,Parametros!$A$33:$A$42,0)),1)</f>
        <v>1.0669999999999999</v>
      </c>
      <c r="T816" s="27">
        <f>IFERROR(INDEX(Parametros!$B$21:$B$26,MATCH(I816,Parametros!$A$21:$A$26,0)),0)</f>
        <v>0</v>
      </c>
      <c r="U816" s="28">
        <f t="shared" si="49"/>
        <v>1.55</v>
      </c>
      <c r="V816" s="9">
        <f>IF(U816&gt;=Parametros!$B$14,4,IF(U816&gt;=Parametros!$B$13,3,IF(U816&gt;=Parametros!$B$12,2,1)))</f>
        <v>1</v>
      </c>
      <c r="W816" s="5">
        <f>MAX(V816,IF(K816=5,Parametros!$B$17,0),IF(P816="Sim",Parametros!$B$18,0))</f>
        <v>1</v>
      </c>
      <c r="X816" s="5" t="str">
        <f t="shared" si="50"/>
        <v>Baixa</v>
      </c>
      <c r="Y816" s="29">
        <f t="shared" si="51"/>
        <v>1015.1991840000001</v>
      </c>
      <c r="Z816" s="4" t="s">
        <v>659</v>
      </c>
    </row>
    <row r="817" spans="1:26" ht="28.05" customHeight="1" x14ac:dyDescent="0.3">
      <c r="A817" s="5">
        <f t="shared" si="48"/>
        <v>813</v>
      </c>
      <c r="B817" s="23" t="s">
        <v>1823</v>
      </c>
      <c r="C817" s="17" t="s">
        <v>1824</v>
      </c>
      <c r="D817" s="4" t="s">
        <v>51</v>
      </c>
      <c r="E817" s="4" t="s">
        <v>170</v>
      </c>
      <c r="F817" s="4" t="s">
        <v>170</v>
      </c>
      <c r="G817" s="4" t="s">
        <v>171</v>
      </c>
      <c r="H817" s="4" t="s">
        <v>172</v>
      </c>
      <c r="I817" s="24" t="s">
        <v>131</v>
      </c>
      <c r="J817" s="15">
        <v>3</v>
      </c>
      <c r="K817" s="15">
        <v>2</v>
      </c>
      <c r="L817" s="15">
        <v>1</v>
      </c>
      <c r="M817" s="15">
        <v>1</v>
      </c>
      <c r="N817" s="15">
        <v>1</v>
      </c>
      <c r="O817" s="15">
        <v>2</v>
      </c>
      <c r="P817" s="15" t="s">
        <v>415</v>
      </c>
      <c r="Q817" s="23" t="s">
        <v>838</v>
      </c>
      <c r="R817" s="25">
        <f>ROUND((K817*Parametros!$B$4+L817*Parametros!$B$5+M817*Parametros!$B$6+N817*Parametros!$B$7+O817*Parametros!$B$8)/SUM(Parametros!$B$4:$B$8),2)</f>
        <v>1.45</v>
      </c>
      <c r="S817" s="26">
        <f>IFERROR(INDEX(Parametros!$F$33:$F$42,MATCH(D817,Parametros!$A$33:$A$42,0)),1)</f>
        <v>1.0669999999999999</v>
      </c>
      <c r="T817" s="27">
        <f>IFERROR(INDEX(Parametros!$B$21:$B$26,MATCH(I817,Parametros!$A$21:$A$26,0)),0)</f>
        <v>0</v>
      </c>
      <c r="U817" s="28">
        <f t="shared" si="49"/>
        <v>1.55</v>
      </c>
      <c r="V817" s="9">
        <f>IF(U817&gt;=Parametros!$B$14,4,IF(U817&gt;=Parametros!$B$13,3,IF(U817&gt;=Parametros!$B$12,2,1)))</f>
        <v>1</v>
      </c>
      <c r="W817" s="5">
        <f>MAX(V817,IF(K817=5,Parametros!$B$17,0),IF(P817="Sim",Parametros!$B$18,0))</f>
        <v>1</v>
      </c>
      <c r="X817" s="5" t="str">
        <f t="shared" si="50"/>
        <v>Baixa</v>
      </c>
      <c r="Y817" s="29">
        <f t="shared" si="51"/>
        <v>1015.1991830000001</v>
      </c>
      <c r="Z817" s="4" t="s">
        <v>659</v>
      </c>
    </row>
    <row r="818" spans="1:26" ht="28.05" customHeight="1" x14ac:dyDescent="0.3">
      <c r="A818" s="5">
        <f t="shared" si="48"/>
        <v>814</v>
      </c>
      <c r="B818" s="23" t="s">
        <v>1825</v>
      </c>
      <c r="C818" s="17" t="s">
        <v>1826</v>
      </c>
      <c r="D818" s="4" t="s">
        <v>49</v>
      </c>
      <c r="E818" s="4" t="s">
        <v>81</v>
      </c>
      <c r="F818" s="4" t="s">
        <v>81</v>
      </c>
      <c r="G818" s="4" t="s">
        <v>171</v>
      </c>
      <c r="H818" s="4" t="s">
        <v>172</v>
      </c>
      <c r="I818" s="24" t="s">
        <v>152</v>
      </c>
      <c r="J818" s="15">
        <v>2</v>
      </c>
      <c r="K818" s="15">
        <v>1</v>
      </c>
      <c r="L818" s="15">
        <v>3</v>
      </c>
      <c r="M818" s="15">
        <v>1</v>
      </c>
      <c r="N818" s="15">
        <v>1</v>
      </c>
      <c r="O818" s="15">
        <v>1</v>
      </c>
      <c r="P818" s="15" t="s">
        <v>415</v>
      </c>
      <c r="Q818" s="23" t="s">
        <v>838</v>
      </c>
      <c r="R818" s="25">
        <f>ROUND((K818*Parametros!$B$4+L818*Parametros!$B$5+M818*Parametros!$B$6+N818*Parametros!$B$7+O818*Parametros!$B$8)/SUM(Parametros!$B$4:$B$8),2)</f>
        <v>1.4</v>
      </c>
      <c r="S818" s="26">
        <f>IFERROR(INDEX(Parametros!$F$33:$F$42,MATCH(D818,Parametros!$A$33:$A$42,0)),1)</f>
        <v>1.1000000000000001</v>
      </c>
      <c r="T818" s="27">
        <f>IFERROR(INDEX(Parametros!$B$21:$B$26,MATCH(I818,Parametros!$A$21:$A$26,0)),0)</f>
        <v>0</v>
      </c>
      <c r="U818" s="28">
        <f t="shared" si="49"/>
        <v>1.54</v>
      </c>
      <c r="V818" s="9">
        <f>IF(U818&gt;=Parametros!$B$14,4,IF(U818&gt;=Parametros!$B$13,3,IF(U818&gt;=Parametros!$B$12,2,1)))</f>
        <v>1</v>
      </c>
      <c r="W818" s="5">
        <f>MAX(V818,IF(K818=5,Parametros!$B$17,0),IF(P818="Sim",Parametros!$B$18,0))</f>
        <v>1</v>
      </c>
      <c r="X818" s="5" t="str">
        <f t="shared" si="50"/>
        <v>Baixa</v>
      </c>
      <c r="Y818" s="29">
        <f t="shared" si="51"/>
        <v>1015.199182</v>
      </c>
      <c r="Z818" s="4" t="s">
        <v>659</v>
      </c>
    </row>
    <row r="819" spans="1:26" ht="28.05" customHeight="1" x14ac:dyDescent="0.3">
      <c r="A819" s="5">
        <f t="shared" si="48"/>
        <v>815</v>
      </c>
      <c r="B819" s="23" t="s">
        <v>1827</v>
      </c>
      <c r="C819" s="17" t="s">
        <v>1828</v>
      </c>
      <c r="D819" s="4" t="s">
        <v>49</v>
      </c>
      <c r="E819" s="4" t="s">
        <v>81</v>
      </c>
      <c r="F819" s="4" t="s">
        <v>81</v>
      </c>
      <c r="G819" s="4" t="s">
        <v>171</v>
      </c>
      <c r="H819" s="4" t="s">
        <v>172</v>
      </c>
      <c r="I819" s="24" t="s">
        <v>152</v>
      </c>
      <c r="J819" s="15">
        <v>2</v>
      </c>
      <c r="K819" s="15">
        <v>1</v>
      </c>
      <c r="L819" s="15">
        <v>3</v>
      </c>
      <c r="M819" s="15">
        <v>1</v>
      </c>
      <c r="N819" s="15">
        <v>1</v>
      </c>
      <c r="O819" s="15">
        <v>1</v>
      </c>
      <c r="P819" s="15" t="s">
        <v>415</v>
      </c>
      <c r="Q819" s="23" t="s">
        <v>838</v>
      </c>
      <c r="R819" s="25">
        <f>ROUND((K819*Parametros!$B$4+L819*Parametros!$B$5+M819*Parametros!$B$6+N819*Parametros!$B$7+O819*Parametros!$B$8)/SUM(Parametros!$B$4:$B$8),2)</f>
        <v>1.4</v>
      </c>
      <c r="S819" s="26">
        <f>IFERROR(INDEX(Parametros!$F$33:$F$42,MATCH(D819,Parametros!$A$33:$A$42,0)),1)</f>
        <v>1.1000000000000001</v>
      </c>
      <c r="T819" s="27">
        <f>IFERROR(INDEX(Parametros!$B$21:$B$26,MATCH(I819,Parametros!$A$21:$A$26,0)),0)</f>
        <v>0</v>
      </c>
      <c r="U819" s="28">
        <f t="shared" si="49"/>
        <v>1.54</v>
      </c>
      <c r="V819" s="9">
        <f>IF(U819&gt;=Parametros!$B$14,4,IF(U819&gt;=Parametros!$B$13,3,IF(U819&gt;=Parametros!$B$12,2,1)))</f>
        <v>1</v>
      </c>
      <c r="W819" s="5">
        <f>MAX(V819,IF(K819=5,Parametros!$B$17,0),IF(P819="Sim",Parametros!$B$18,0))</f>
        <v>1</v>
      </c>
      <c r="X819" s="5" t="str">
        <f t="shared" si="50"/>
        <v>Baixa</v>
      </c>
      <c r="Y819" s="29">
        <f t="shared" si="51"/>
        <v>1015.199181</v>
      </c>
      <c r="Z819" s="4" t="s">
        <v>659</v>
      </c>
    </row>
    <row r="820" spans="1:26" ht="28.05" customHeight="1" x14ac:dyDescent="0.3">
      <c r="A820" s="5">
        <f t="shared" si="48"/>
        <v>816</v>
      </c>
      <c r="B820" s="23" t="s">
        <v>1829</v>
      </c>
      <c r="C820" s="17" t="s">
        <v>1830</v>
      </c>
      <c r="D820" s="4" t="s">
        <v>48</v>
      </c>
      <c r="E820" s="4" t="s">
        <v>87</v>
      </c>
      <c r="F820" s="4" t="s">
        <v>87</v>
      </c>
      <c r="G820" s="4" t="s">
        <v>184</v>
      </c>
      <c r="H820" s="4" t="s">
        <v>185</v>
      </c>
      <c r="I820" s="24" t="s">
        <v>152</v>
      </c>
      <c r="J820" s="15">
        <v>3</v>
      </c>
      <c r="K820" s="15">
        <v>1</v>
      </c>
      <c r="L820" s="15">
        <v>3</v>
      </c>
      <c r="M820" s="15">
        <v>1</v>
      </c>
      <c r="N820" s="15">
        <v>1</v>
      </c>
      <c r="O820" s="15">
        <v>1</v>
      </c>
      <c r="P820" s="15" t="s">
        <v>415</v>
      </c>
      <c r="Q820" s="23" t="s">
        <v>838</v>
      </c>
      <c r="R820" s="25">
        <f>ROUND((K820*Parametros!$B$4+L820*Parametros!$B$5+M820*Parametros!$B$6+N820*Parametros!$B$7+O820*Parametros!$B$8)/SUM(Parametros!$B$4:$B$8),2)</f>
        <v>1.4</v>
      </c>
      <c r="S820" s="26">
        <f>IFERROR(INDEX(Parametros!$F$33:$F$42,MATCH(D820,Parametros!$A$33:$A$42,0)),1)</f>
        <v>1.1000000000000001</v>
      </c>
      <c r="T820" s="27">
        <f>IFERROR(INDEX(Parametros!$B$21:$B$26,MATCH(I820,Parametros!$A$21:$A$26,0)),0)</f>
        <v>0</v>
      </c>
      <c r="U820" s="28">
        <f t="shared" si="49"/>
        <v>1.54</v>
      </c>
      <c r="V820" s="9">
        <f>IF(U820&gt;=Parametros!$B$14,4,IF(U820&gt;=Parametros!$B$13,3,IF(U820&gt;=Parametros!$B$12,2,1)))</f>
        <v>1</v>
      </c>
      <c r="W820" s="5">
        <f>MAX(V820,IF(K820=5,Parametros!$B$17,0),IF(P820="Sim",Parametros!$B$18,0))</f>
        <v>1</v>
      </c>
      <c r="X820" s="5" t="str">
        <f t="shared" si="50"/>
        <v>Baixa</v>
      </c>
      <c r="Y820" s="29">
        <f t="shared" si="51"/>
        <v>1015.09918</v>
      </c>
      <c r="Z820" s="4" t="s">
        <v>659</v>
      </c>
    </row>
    <row r="821" spans="1:26" ht="28.05" customHeight="1" x14ac:dyDescent="0.3">
      <c r="A821" s="5">
        <f t="shared" si="48"/>
        <v>817</v>
      </c>
      <c r="B821" s="23" t="s">
        <v>1831</v>
      </c>
      <c r="C821" s="17" t="s">
        <v>1832</v>
      </c>
      <c r="D821" s="4" t="s">
        <v>52</v>
      </c>
      <c r="E821" s="4" t="s">
        <v>66</v>
      </c>
      <c r="F821" s="4" t="s">
        <v>66</v>
      </c>
      <c r="G821" s="4" t="s">
        <v>171</v>
      </c>
      <c r="H821" s="4" t="s">
        <v>172</v>
      </c>
      <c r="I821" s="24" t="s">
        <v>359</v>
      </c>
      <c r="J821" s="15">
        <v>2</v>
      </c>
      <c r="K821" s="15">
        <v>2</v>
      </c>
      <c r="L821" s="15">
        <v>2</v>
      </c>
      <c r="M821" s="15">
        <v>1</v>
      </c>
      <c r="N821" s="15">
        <v>1</v>
      </c>
      <c r="O821" s="15">
        <v>2</v>
      </c>
      <c r="P821" s="15" t="s">
        <v>415</v>
      </c>
      <c r="Q821" s="23" t="s">
        <v>838</v>
      </c>
      <c r="R821" s="25">
        <f>ROUND((K821*Parametros!$B$4+L821*Parametros!$B$5+M821*Parametros!$B$6+N821*Parametros!$B$7+O821*Parametros!$B$8)/SUM(Parametros!$B$4:$B$8),2)</f>
        <v>1.65</v>
      </c>
      <c r="S821" s="26">
        <f>IFERROR(INDEX(Parametros!$F$33:$F$42,MATCH(D821,Parametros!$A$33:$A$42,0)),1)</f>
        <v>1.05</v>
      </c>
      <c r="T821" s="27">
        <f>IFERROR(INDEX(Parametros!$B$21:$B$26,MATCH(I821,Parametros!$A$21:$A$26,0)),0)</f>
        <v>-0.2</v>
      </c>
      <c r="U821" s="28">
        <f t="shared" si="49"/>
        <v>1.53</v>
      </c>
      <c r="V821" s="9">
        <f>IF(U821&gt;=Parametros!$B$14,4,IF(U821&gt;=Parametros!$B$13,3,IF(U821&gt;=Parametros!$B$12,2,1)))</f>
        <v>1</v>
      </c>
      <c r="W821" s="5">
        <f>MAX(V821,IF(K821=5,Parametros!$B$17,0),IF(P821="Sim",Parametros!$B$18,0))</f>
        <v>1</v>
      </c>
      <c r="X821" s="5" t="str">
        <f t="shared" si="50"/>
        <v>Baixa</v>
      </c>
      <c r="Y821" s="29">
        <f t="shared" si="51"/>
        <v>1015.0991789999999</v>
      </c>
      <c r="Z821" s="4" t="s">
        <v>1410</v>
      </c>
    </row>
    <row r="822" spans="1:26" ht="28.05" customHeight="1" x14ac:dyDescent="0.3">
      <c r="A822" s="5">
        <f t="shared" si="48"/>
        <v>818</v>
      </c>
      <c r="B822" s="23" t="s">
        <v>1833</v>
      </c>
      <c r="C822" s="17" t="s">
        <v>1834</v>
      </c>
      <c r="D822" s="4" t="s">
        <v>50</v>
      </c>
      <c r="E822" s="4" t="s">
        <v>1548</v>
      </c>
      <c r="F822" s="4" t="s">
        <v>1548</v>
      </c>
      <c r="G822" s="4" t="s">
        <v>134</v>
      </c>
      <c r="H822" s="4" t="s">
        <v>108</v>
      </c>
      <c r="I822" s="24" t="s">
        <v>152</v>
      </c>
      <c r="J822" s="15">
        <v>2</v>
      </c>
      <c r="K822" s="15">
        <v>1</v>
      </c>
      <c r="L822" s="15">
        <v>1</v>
      </c>
      <c r="M822" s="15">
        <v>3</v>
      </c>
      <c r="N822" s="15">
        <v>1</v>
      </c>
      <c r="O822" s="15">
        <v>1</v>
      </c>
      <c r="P822" s="15" t="s">
        <v>415</v>
      </c>
      <c r="Q822" s="23" t="s">
        <v>838</v>
      </c>
      <c r="R822" s="25">
        <f>ROUND((K822*Parametros!$B$4+L822*Parametros!$B$5+M822*Parametros!$B$6+N822*Parametros!$B$7+O822*Parametros!$B$8)/SUM(Parametros!$B$4:$B$8),2)</f>
        <v>1.4</v>
      </c>
      <c r="S822" s="26">
        <f>IFERROR(INDEX(Parametros!$F$33:$F$42,MATCH(D822,Parametros!$A$33:$A$42,0)),1)</f>
        <v>1.0840000000000001</v>
      </c>
      <c r="T822" s="27">
        <f>IFERROR(INDEX(Parametros!$B$21:$B$26,MATCH(I822,Parametros!$A$21:$A$26,0)),0)</f>
        <v>0</v>
      </c>
      <c r="U822" s="28">
        <f t="shared" si="49"/>
        <v>1.52</v>
      </c>
      <c r="V822" s="9">
        <f>IF(U822&gt;=Parametros!$B$14,4,IF(U822&gt;=Parametros!$B$13,3,IF(U822&gt;=Parametros!$B$12,2,1)))</f>
        <v>1</v>
      </c>
      <c r="W822" s="5">
        <f>MAX(V822,IF(K822=5,Parametros!$B$17,0),IF(P822="Sim",Parametros!$B$18,0))</f>
        <v>1</v>
      </c>
      <c r="X822" s="5" t="str">
        <f t="shared" si="50"/>
        <v>Baixa</v>
      </c>
      <c r="Y822" s="29">
        <f t="shared" si="51"/>
        <v>1014.999178</v>
      </c>
      <c r="Z822" s="4" t="s">
        <v>659</v>
      </c>
    </row>
    <row r="823" spans="1:26" ht="28.05" customHeight="1" x14ac:dyDescent="0.3">
      <c r="A823" s="5">
        <f t="shared" si="48"/>
        <v>819</v>
      </c>
      <c r="B823" s="23" t="s">
        <v>1835</v>
      </c>
      <c r="C823" s="17" t="s">
        <v>1836</v>
      </c>
      <c r="D823" s="4" t="s">
        <v>50</v>
      </c>
      <c r="E823" s="4" t="s">
        <v>70</v>
      </c>
      <c r="F823" s="4" t="s">
        <v>70</v>
      </c>
      <c r="G823" s="4" t="s">
        <v>171</v>
      </c>
      <c r="H823" s="4" t="s">
        <v>172</v>
      </c>
      <c r="I823" s="24" t="s">
        <v>131</v>
      </c>
      <c r="J823" s="15">
        <v>3</v>
      </c>
      <c r="K823" s="15">
        <v>1</v>
      </c>
      <c r="L823" s="15">
        <v>1</v>
      </c>
      <c r="M823" s="15">
        <v>3</v>
      </c>
      <c r="N823" s="15">
        <v>1</v>
      </c>
      <c r="O823" s="15">
        <v>1</v>
      </c>
      <c r="P823" s="15" t="s">
        <v>415</v>
      </c>
      <c r="Q823" s="23" t="s">
        <v>838</v>
      </c>
      <c r="R823" s="25">
        <f>ROUND((K823*Parametros!$B$4+L823*Parametros!$B$5+M823*Parametros!$B$6+N823*Parametros!$B$7+O823*Parametros!$B$8)/SUM(Parametros!$B$4:$B$8),2)</f>
        <v>1.4</v>
      </c>
      <c r="S823" s="26">
        <f>IFERROR(INDEX(Parametros!$F$33:$F$42,MATCH(D823,Parametros!$A$33:$A$42,0)),1)</f>
        <v>1.0840000000000001</v>
      </c>
      <c r="T823" s="27">
        <f>IFERROR(INDEX(Parametros!$B$21:$B$26,MATCH(I823,Parametros!$A$21:$A$26,0)),0)</f>
        <v>0</v>
      </c>
      <c r="U823" s="28">
        <f t="shared" si="49"/>
        <v>1.52</v>
      </c>
      <c r="V823" s="9">
        <f>IF(U823&gt;=Parametros!$B$14,4,IF(U823&gt;=Parametros!$B$13,3,IF(U823&gt;=Parametros!$B$12,2,1)))</f>
        <v>1</v>
      </c>
      <c r="W823" s="5">
        <f>MAX(V823,IF(K823=5,Parametros!$B$17,0),IF(P823="Sim",Parametros!$B$18,0))</f>
        <v>1</v>
      </c>
      <c r="X823" s="5" t="str">
        <f t="shared" si="50"/>
        <v>Baixa</v>
      </c>
      <c r="Y823" s="29">
        <f t="shared" si="51"/>
        <v>1014.8991770000001</v>
      </c>
      <c r="Z823" s="4" t="s">
        <v>659</v>
      </c>
    </row>
    <row r="824" spans="1:26" ht="28.05" customHeight="1" x14ac:dyDescent="0.3">
      <c r="A824" s="5">
        <f t="shared" si="48"/>
        <v>820</v>
      </c>
      <c r="B824" s="23" t="s">
        <v>1837</v>
      </c>
      <c r="C824" s="17" t="s">
        <v>1838</v>
      </c>
      <c r="D824" s="4" t="s">
        <v>50</v>
      </c>
      <c r="E824" s="4" t="s">
        <v>345</v>
      </c>
      <c r="F824" s="4" t="s">
        <v>345</v>
      </c>
      <c r="G824" s="4" t="s">
        <v>171</v>
      </c>
      <c r="H824" s="4" t="s">
        <v>172</v>
      </c>
      <c r="I824" s="24" t="s">
        <v>152</v>
      </c>
      <c r="J824" s="15">
        <v>3</v>
      </c>
      <c r="K824" s="15">
        <v>1</v>
      </c>
      <c r="L824" s="15">
        <v>1</v>
      </c>
      <c r="M824" s="15">
        <v>3</v>
      </c>
      <c r="N824" s="15">
        <v>1</v>
      </c>
      <c r="O824" s="15">
        <v>1</v>
      </c>
      <c r="P824" s="15" t="s">
        <v>415</v>
      </c>
      <c r="Q824" s="23" t="s">
        <v>838</v>
      </c>
      <c r="R824" s="25">
        <f>ROUND((K824*Parametros!$B$4+L824*Parametros!$B$5+M824*Parametros!$B$6+N824*Parametros!$B$7+O824*Parametros!$B$8)/SUM(Parametros!$B$4:$B$8),2)</f>
        <v>1.4</v>
      </c>
      <c r="S824" s="26">
        <f>IFERROR(INDEX(Parametros!$F$33:$F$42,MATCH(D824,Parametros!$A$33:$A$42,0)),1)</f>
        <v>1.0840000000000001</v>
      </c>
      <c r="T824" s="27">
        <f>IFERROR(INDEX(Parametros!$B$21:$B$26,MATCH(I824,Parametros!$A$21:$A$26,0)),0)</f>
        <v>0</v>
      </c>
      <c r="U824" s="28">
        <f t="shared" si="49"/>
        <v>1.52</v>
      </c>
      <c r="V824" s="9">
        <f>IF(U824&gt;=Parametros!$B$14,4,IF(U824&gt;=Parametros!$B$13,3,IF(U824&gt;=Parametros!$B$12,2,1)))</f>
        <v>1</v>
      </c>
      <c r="W824" s="5">
        <f>MAX(V824,IF(K824=5,Parametros!$B$17,0),IF(P824="Sim",Parametros!$B$18,0))</f>
        <v>1</v>
      </c>
      <c r="X824" s="5" t="str">
        <f t="shared" si="50"/>
        <v>Baixa</v>
      </c>
      <c r="Y824" s="29">
        <f t="shared" si="51"/>
        <v>1014.8991760000001</v>
      </c>
      <c r="Z824" s="4" t="s">
        <v>659</v>
      </c>
    </row>
    <row r="825" spans="1:26" ht="28.05" customHeight="1" x14ac:dyDescent="0.3">
      <c r="A825" s="5">
        <f t="shared" si="48"/>
        <v>821</v>
      </c>
      <c r="B825" s="23" t="s">
        <v>1839</v>
      </c>
      <c r="C825" s="17" t="s">
        <v>1840</v>
      </c>
      <c r="D825" s="4" t="s">
        <v>50</v>
      </c>
      <c r="E825" s="4" t="s">
        <v>70</v>
      </c>
      <c r="F825" s="4" t="s">
        <v>70</v>
      </c>
      <c r="G825" s="4" t="s">
        <v>171</v>
      </c>
      <c r="H825" s="4" t="s">
        <v>172</v>
      </c>
      <c r="I825" s="24" t="s">
        <v>152</v>
      </c>
      <c r="J825" s="15">
        <v>3</v>
      </c>
      <c r="K825" s="15">
        <v>1</v>
      </c>
      <c r="L825" s="15">
        <v>1</v>
      </c>
      <c r="M825" s="15">
        <v>3</v>
      </c>
      <c r="N825" s="15">
        <v>1</v>
      </c>
      <c r="O825" s="15">
        <v>1</v>
      </c>
      <c r="P825" s="15" t="s">
        <v>415</v>
      </c>
      <c r="Q825" s="23" t="s">
        <v>838</v>
      </c>
      <c r="R825" s="25">
        <f>ROUND((K825*Parametros!$B$4+L825*Parametros!$B$5+M825*Parametros!$B$6+N825*Parametros!$B$7+O825*Parametros!$B$8)/SUM(Parametros!$B$4:$B$8),2)</f>
        <v>1.4</v>
      </c>
      <c r="S825" s="26">
        <f>IFERROR(INDEX(Parametros!$F$33:$F$42,MATCH(D825,Parametros!$A$33:$A$42,0)),1)</f>
        <v>1.0840000000000001</v>
      </c>
      <c r="T825" s="27">
        <f>IFERROR(INDEX(Parametros!$B$21:$B$26,MATCH(I825,Parametros!$A$21:$A$26,0)),0)</f>
        <v>0</v>
      </c>
      <c r="U825" s="28">
        <f t="shared" si="49"/>
        <v>1.52</v>
      </c>
      <c r="V825" s="9">
        <f>IF(U825&gt;=Parametros!$B$14,4,IF(U825&gt;=Parametros!$B$13,3,IF(U825&gt;=Parametros!$B$12,2,1)))</f>
        <v>1</v>
      </c>
      <c r="W825" s="5">
        <f>MAX(V825,IF(K825=5,Parametros!$B$17,0),IF(P825="Sim",Parametros!$B$18,0))</f>
        <v>1</v>
      </c>
      <c r="X825" s="5" t="str">
        <f t="shared" si="50"/>
        <v>Baixa</v>
      </c>
      <c r="Y825" s="29">
        <f t="shared" si="51"/>
        <v>1014.8991750000001</v>
      </c>
      <c r="Z825" s="4" t="s">
        <v>659</v>
      </c>
    </row>
    <row r="826" spans="1:26" ht="28.05" customHeight="1" x14ac:dyDescent="0.3">
      <c r="A826" s="5">
        <f t="shared" si="48"/>
        <v>822</v>
      </c>
      <c r="B826" s="23" t="s">
        <v>1841</v>
      </c>
      <c r="C826" s="17" t="s">
        <v>1842</v>
      </c>
      <c r="D826" s="4" t="s">
        <v>50</v>
      </c>
      <c r="E826" s="4" t="s">
        <v>345</v>
      </c>
      <c r="F826" s="4" t="s">
        <v>345</v>
      </c>
      <c r="G826" s="4" t="s">
        <v>184</v>
      </c>
      <c r="H826" s="4" t="s">
        <v>185</v>
      </c>
      <c r="I826" s="24" t="s">
        <v>152</v>
      </c>
      <c r="J826" s="15">
        <v>3</v>
      </c>
      <c r="K826" s="15">
        <v>1</v>
      </c>
      <c r="L826" s="15">
        <v>3</v>
      </c>
      <c r="M826" s="15">
        <v>1</v>
      </c>
      <c r="N826" s="15">
        <v>1</v>
      </c>
      <c r="O826" s="15">
        <v>1</v>
      </c>
      <c r="P826" s="15" t="s">
        <v>415</v>
      </c>
      <c r="Q826" s="23" t="s">
        <v>838</v>
      </c>
      <c r="R826" s="25">
        <f>ROUND((K826*Parametros!$B$4+L826*Parametros!$B$5+M826*Parametros!$B$6+N826*Parametros!$B$7+O826*Parametros!$B$8)/SUM(Parametros!$B$4:$B$8),2)</f>
        <v>1.4</v>
      </c>
      <c r="S826" s="26">
        <f>IFERROR(INDEX(Parametros!$F$33:$F$42,MATCH(D826,Parametros!$A$33:$A$42,0)),1)</f>
        <v>1.0840000000000001</v>
      </c>
      <c r="T826" s="27">
        <f>IFERROR(INDEX(Parametros!$B$21:$B$26,MATCH(I826,Parametros!$A$21:$A$26,0)),0)</f>
        <v>0</v>
      </c>
      <c r="U826" s="28">
        <f t="shared" si="49"/>
        <v>1.52</v>
      </c>
      <c r="V826" s="9">
        <f>IF(U826&gt;=Parametros!$B$14,4,IF(U826&gt;=Parametros!$B$13,3,IF(U826&gt;=Parametros!$B$12,2,1)))</f>
        <v>1</v>
      </c>
      <c r="W826" s="5">
        <f>MAX(V826,IF(K826=5,Parametros!$B$17,0),IF(P826="Sim",Parametros!$B$18,0))</f>
        <v>1</v>
      </c>
      <c r="X826" s="5" t="str">
        <f t="shared" si="50"/>
        <v>Baixa</v>
      </c>
      <c r="Y826" s="29">
        <f t="shared" si="51"/>
        <v>1014.8991740000001</v>
      </c>
      <c r="Z826" s="4" t="s">
        <v>659</v>
      </c>
    </row>
    <row r="827" spans="1:26" ht="28.05" customHeight="1" x14ac:dyDescent="0.3">
      <c r="A827" s="5">
        <f t="shared" si="48"/>
        <v>823</v>
      </c>
      <c r="B827" s="23" t="s">
        <v>1843</v>
      </c>
      <c r="C827" s="17" t="s">
        <v>1844</v>
      </c>
      <c r="D827" s="4" t="s">
        <v>50</v>
      </c>
      <c r="E827" s="4" t="s">
        <v>75</v>
      </c>
      <c r="F827" s="4" t="s">
        <v>75</v>
      </c>
      <c r="G827" s="4" t="s">
        <v>171</v>
      </c>
      <c r="H827" s="4" t="s">
        <v>172</v>
      </c>
      <c r="I827" s="24" t="s">
        <v>152</v>
      </c>
      <c r="J827" s="15">
        <v>3</v>
      </c>
      <c r="K827" s="15">
        <v>1</v>
      </c>
      <c r="L827" s="15">
        <v>3</v>
      </c>
      <c r="M827" s="15">
        <v>1</v>
      </c>
      <c r="N827" s="15">
        <v>1</v>
      </c>
      <c r="O827" s="15">
        <v>1</v>
      </c>
      <c r="P827" s="15" t="s">
        <v>415</v>
      </c>
      <c r="Q827" s="23" t="s">
        <v>838</v>
      </c>
      <c r="R827" s="25">
        <f>ROUND((K827*Parametros!$B$4+L827*Parametros!$B$5+M827*Parametros!$B$6+N827*Parametros!$B$7+O827*Parametros!$B$8)/SUM(Parametros!$B$4:$B$8),2)</f>
        <v>1.4</v>
      </c>
      <c r="S827" s="26">
        <f>IFERROR(INDEX(Parametros!$F$33:$F$42,MATCH(D827,Parametros!$A$33:$A$42,0)),1)</f>
        <v>1.0840000000000001</v>
      </c>
      <c r="T827" s="27">
        <f>IFERROR(INDEX(Parametros!$B$21:$B$26,MATCH(I827,Parametros!$A$21:$A$26,0)),0)</f>
        <v>0</v>
      </c>
      <c r="U827" s="28">
        <f t="shared" si="49"/>
        <v>1.52</v>
      </c>
      <c r="V827" s="9">
        <f>IF(U827&gt;=Parametros!$B$14,4,IF(U827&gt;=Parametros!$B$13,3,IF(U827&gt;=Parametros!$B$12,2,1)))</f>
        <v>1</v>
      </c>
      <c r="W827" s="5">
        <f>MAX(V827,IF(K827=5,Parametros!$B$17,0),IF(P827="Sim",Parametros!$B$18,0))</f>
        <v>1</v>
      </c>
      <c r="X827" s="5" t="str">
        <f t="shared" si="50"/>
        <v>Baixa</v>
      </c>
      <c r="Y827" s="29">
        <f t="shared" si="51"/>
        <v>1014.8991730000001</v>
      </c>
      <c r="Z827" s="4" t="s">
        <v>659</v>
      </c>
    </row>
    <row r="828" spans="1:26" ht="28.05" customHeight="1" x14ac:dyDescent="0.3">
      <c r="A828" s="5">
        <f t="shared" si="48"/>
        <v>824</v>
      </c>
      <c r="B828" s="23" t="s">
        <v>1845</v>
      </c>
      <c r="C828" s="17" t="s">
        <v>1846</v>
      </c>
      <c r="D828" s="4" t="s">
        <v>48</v>
      </c>
      <c r="E828" s="4" t="s">
        <v>64</v>
      </c>
      <c r="F828" s="4" t="s">
        <v>64</v>
      </c>
      <c r="G828" s="4" t="s">
        <v>134</v>
      </c>
      <c r="H828" s="4" t="s">
        <v>108</v>
      </c>
      <c r="I828" s="24" t="s">
        <v>359</v>
      </c>
      <c r="J828" s="15">
        <v>2</v>
      </c>
      <c r="K828" s="15">
        <v>1</v>
      </c>
      <c r="L828" s="15">
        <v>1</v>
      </c>
      <c r="M828" s="15">
        <v>3</v>
      </c>
      <c r="N828" s="15">
        <v>1</v>
      </c>
      <c r="O828" s="15">
        <v>2</v>
      </c>
      <c r="P828" s="15" t="s">
        <v>415</v>
      </c>
      <c r="Q828" s="23" t="s">
        <v>838</v>
      </c>
      <c r="R828" s="25">
        <f>ROUND((K828*Parametros!$B$4+L828*Parametros!$B$5+M828*Parametros!$B$6+N828*Parametros!$B$7+O828*Parametros!$B$8)/SUM(Parametros!$B$4:$B$8),2)</f>
        <v>1.55</v>
      </c>
      <c r="S828" s="26">
        <f>IFERROR(INDEX(Parametros!$F$33:$F$42,MATCH(D828,Parametros!$A$33:$A$42,0)),1)</f>
        <v>1.1000000000000001</v>
      </c>
      <c r="T828" s="27">
        <f>IFERROR(INDEX(Parametros!$B$21:$B$26,MATCH(I828,Parametros!$A$21:$A$26,0)),0)</f>
        <v>-0.2</v>
      </c>
      <c r="U828" s="28">
        <f t="shared" si="49"/>
        <v>1.51</v>
      </c>
      <c r="V828" s="9">
        <f>IF(U828&gt;=Parametros!$B$14,4,IF(U828&gt;=Parametros!$B$13,3,IF(U828&gt;=Parametros!$B$12,2,1)))</f>
        <v>1</v>
      </c>
      <c r="W828" s="5">
        <f>MAX(V828,IF(K828=5,Parametros!$B$17,0),IF(P828="Sim",Parametros!$B$18,0))</f>
        <v>1</v>
      </c>
      <c r="X828" s="5" t="str">
        <f t="shared" si="50"/>
        <v>Baixa</v>
      </c>
      <c r="Y828" s="29">
        <f t="shared" si="51"/>
        <v>1014.899172</v>
      </c>
      <c r="Z828" s="4" t="s">
        <v>1410</v>
      </c>
    </row>
    <row r="829" spans="1:26" ht="28.05" customHeight="1" x14ac:dyDescent="0.3">
      <c r="A829" s="5">
        <f t="shared" si="48"/>
        <v>825</v>
      </c>
      <c r="B829" s="23" t="s">
        <v>1847</v>
      </c>
      <c r="C829" s="17" t="s">
        <v>1848</v>
      </c>
      <c r="D829" s="4" t="s">
        <v>49</v>
      </c>
      <c r="E829" s="4" t="s">
        <v>81</v>
      </c>
      <c r="F829" s="4" t="s">
        <v>81</v>
      </c>
      <c r="G829" s="4" t="s">
        <v>171</v>
      </c>
      <c r="H829" s="4" t="s">
        <v>172</v>
      </c>
      <c r="I829" s="24" t="s">
        <v>152</v>
      </c>
      <c r="J829" s="15">
        <v>2</v>
      </c>
      <c r="K829" s="15">
        <v>1</v>
      </c>
      <c r="L829" s="15">
        <v>1</v>
      </c>
      <c r="M829" s="15">
        <v>2</v>
      </c>
      <c r="N829" s="15">
        <v>1</v>
      </c>
      <c r="O829" s="15">
        <v>2</v>
      </c>
      <c r="P829" s="15" t="s">
        <v>415</v>
      </c>
      <c r="Q829" s="23" t="s">
        <v>838</v>
      </c>
      <c r="R829" s="25">
        <f>ROUND((K829*Parametros!$B$4+L829*Parametros!$B$5+M829*Parametros!$B$6+N829*Parametros!$B$7+O829*Parametros!$B$8)/SUM(Parametros!$B$4:$B$8),2)</f>
        <v>1.35</v>
      </c>
      <c r="S829" s="26">
        <f>IFERROR(INDEX(Parametros!$F$33:$F$42,MATCH(D829,Parametros!$A$33:$A$42,0)),1)</f>
        <v>1.1000000000000001</v>
      </c>
      <c r="T829" s="27">
        <f>IFERROR(INDEX(Parametros!$B$21:$B$26,MATCH(I829,Parametros!$A$21:$A$26,0)),0)</f>
        <v>0</v>
      </c>
      <c r="U829" s="28">
        <f t="shared" si="49"/>
        <v>1.49</v>
      </c>
      <c r="V829" s="9">
        <f>IF(U829&gt;=Parametros!$B$14,4,IF(U829&gt;=Parametros!$B$13,3,IF(U829&gt;=Parametros!$B$12,2,1)))</f>
        <v>1</v>
      </c>
      <c r="W829" s="5">
        <f>MAX(V829,IF(K829=5,Parametros!$B$17,0),IF(P829="Sim",Parametros!$B$18,0))</f>
        <v>1</v>
      </c>
      <c r="X829" s="5" t="str">
        <f t="shared" si="50"/>
        <v>Baixa</v>
      </c>
      <c r="Y829" s="29">
        <f t="shared" si="51"/>
        <v>1014.699171</v>
      </c>
      <c r="Z829" s="4" t="s">
        <v>659</v>
      </c>
    </row>
    <row r="830" spans="1:26" ht="28.05" customHeight="1" x14ac:dyDescent="0.3">
      <c r="A830" s="5">
        <f t="shared" si="48"/>
        <v>826</v>
      </c>
      <c r="B830" s="23" t="s">
        <v>1849</v>
      </c>
      <c r="C830" s="17" t="s">
        <v>1850</v>
      </c>
      <c r="D830" s="4" t="s">
        <v>53</v>
      </c>
      <c r="E830" s="4" t="s">
        <v>76</v>
      </c>
      <c r="F830" s="4" t="s">
        <v>76</v>
      </c>
      <c r="G830" s="4" t="s">
        <v>171</v>
      </c>
      <c r="H830" s="4" t="s">
        <v>172</v>
      </c>
      <c r="I830" s="24" t="s">
        <v>359</v>
      </c>
      <c r="J830" s="15">
        <v>2</v>
      </c>
      <c r="K830" s="15">
        <v>2</v>
      </c>
      <c r="L830" s="15">
        <v>1</v>
      </c>
      <c r="M830" s="15">
        <v>1</v>
      </c>
      <c r="N830" s="15">
        <v>2</v>
      </c>
      <c r="O830" s="15">
        <v>2</v>
      </c>
      <c r="P830" s="15" t="s">
        <v>415</v>
      </c>
      <c r="Q830" s="23" t="s">
        <v>838</v>
      </c>
      <c r="R830" s="25">
        <f>ROUND((K830*Parametros!$B$4+L830*Parametros!$B$5+M830*Parametros!$B$6+N830*Parametros!$B$7+O830*Parametros!$B$8)/SUM(Parametros!$B$4:$B$8),2)</f>
        <v>1.6</v>
      </c>
      <c r="S830" s="26">
        <f>IFERROR(INDEX(Parametros!$F$33:$F$42,MATCH(D830,Parametros!$A$33:$A$42,0)),1)</f>
        <v>1.05</v>
      </c>
      <c r="T830" s="27">
        <f>IFERROR(INDEX(Parametros!$B$21:$B$26,MATCH(I830,Parametros!$A$21:$A$26,0)),0)</f>
        <v>-0.2</v>
      </c>
      <c r="U830" s="28">
        <f t="shared" si="49"/>
        <v>1.48</v>
      </c>
      <c r="V830" s="9">
        <f>IF(U830&gt;=Parametros!$B$14,4,IF(U830&gt;=Parametros!$B$13,3,IF(U830&gt;=Parametros!$B$12,2,1)))</f>
        <v>1</v>
      </c>
      <c r="W830" s="5">
        <f>MAX(V830,IF(K830=5,Parametros!$B$17,0),IF(P830="Sim",Parametros!$B$18,0))</f>
        <v>1</v>
      </c>
      <c r="X830" s="5" t="str">
        <f t="shared" si="50"/>
        <v>Baixa</v>
      </c>
      <c r="Y830" s="29">
        <f t="shared" si="51"/>
        <v>1014.59917</v>
      </c>
      <c r="Z830" s="4" t="s">
        <v>1410</v>
      </c>
    </row>
    <row r="831" spans="1:26" ht="28.05" customHeight="1" x14ac:dyDescent="0.3">
      <c r="A831" s="5">
        <f t="shared" si="48"/>
        <v>827</v>
      </c>
      <c r="B831" s="23" t="s">
        <v>1851</v>
      </c>
      <c r="C831" s="17" t="s">
        <v>1852</v>
      </c>
      <c r="D831" s="4" t="s">
        <v>52</v>
      </c>
      <c r="E831" s="4" t="s">
        <v>64</v>
      </c>
      <c r="F831" s="4" t="s">
        <v>64</v>
      </c>
      <c r="G831" s="4" t="s">
        <v>119</v>
      </c>
      <c r="H831" s="4" t="s">
        <v>108</v>
      </c>
      <c r="I831" s="24" t="s">
        <v>131</v>
      </c>
      <c r="J831" s="15">
        <v>3</v>
      </c>
      <c r="K831" s="15">
        <v>1</v>
      </c>
      <c r="L831" s="15">
        <v>1</v>
      </c>
      <c r="M831" s="15">
        <v>3</v>
      </c>
      <c r="N831" s="15">
        <v>1</v>
      </c>
      <c r="O831" s="15">
        <v>1</v>
      </c>
      <c r="P831" s="15" t="s">
        <v>415</v>
      </c>
      <c r="Q831" s="23" t="s">
        <v>838</v>
      </c>
      <c r="R831" s="25">
        <f>ROUND((K831*Parametros!$B$4+L831*Parametros!$B$5+M831*Parametros!$B$6+N831*Parametros!$B$7+O831*Parametros!$B$8)/SUM(Parametros!$B$4:$B$8),2)</f>
        <v>1.4</v>
      </c>
      <c r="S831" s="26">
        <f>IFERROR(INDEX(Parametros!$F$33:$F$42,MATCH(D831,Parametros!$A$33:$A$42,0)),1)</f>
        <v>1.05</v>
      </c>
      <c r="T831" s="27">
        <f>IFERROR(INDEX(Parametros!$B$21:$B$26,MATCH(I831,Parametros!$A$21:$A$26,0)),0)</f>
        <v>0</v>
      </c>
      <c r="U831" s="28">
        <f t="shared" si="49"/>
        <v>1.47</v>
      </c>
      <c r="V831" s="9">
        <f>IF(U831&gt;=Parametros!$B$14,4,IF(U831&gt;=Parametros!$B$13,3,IF(U831&gt;=Parametros!$B$12,2,1)))</f>
        <v>1</v>
      </c>
      <c r="W831" s="5">
        <f>MAX(V831,IF(K831=5,Parametros!$B$17,0),IF(P831="Sim",Parametros!$B$18,0))</f>
        <v>1</v>
      </c>
      <c r="X831" s="5" t="str">
        <f t="shared" si="50"/>
        <v>Baixa</v>
      </c>
      <c r="Y831" s="29">
        <f t="shared" si="51"/>
        <v>1014.3991690000001</v>
      </c>
      <c r="Z831" s="4" t="s">
        <v>659</v>
      </c>
    </row>
    <row r="832" spans="1:26" ht="28.05" customHeight="1" x14ac:dyDescent="0.3">
      <c r="A832" s="5">
        <f t="shared" si="48"/>
        <v>828</v>
      </c>
      <c r="B832" s="23" t="s">
        <v>1853</v>
      </c>
      <c r="C832" s="17" t="s">
        <v>1854</v>
      </c>
      <c r="D832" s="4" t="s">
        <v>54</v>
      </c>
      <c r="E832" s="4" t="s">
        <v>72</v>
      </c>
      <c r="F832" s="4" t="s">
        <v>72</v>
      </c>
      <c r="G832" s="4" t="s">
        <v>134</v>
      </c>
      <c r="H832" s="4" t="s">
        <v>108</v>
      </c>
      <c r="I832" s="24" t="s">
        <v>152</v>
      </c>
      <c r="J832" s="15">
        <v>3</v>
      </c>
      <c r="K832" s="15">
        <v>1</v>
      </c>
      <c r="L832" s="15">
        <v>2</v>
      </c>
      <c r="M832" s="15">
        <v>2</v>
      </c>
      <c r="N832" s="15">
        <v>1</v>
      </c>
      <c r="O832" s="15">
        <v>1</v>
      </c>
      <c r="P832" s="15" t="s">
        <v>415</v>
      </c>
      <c r="Q832" s="23" t="s">
        <v>416</v>
      </c>
      <c r="R832" s="25">
        <f>ROUND((K832*Parametros!$B$4+L832*Parametros!$B$5+M832*Parametros!$B$6+N832*Parametros!$B$7+O832*Parametros!$B$8)/SUM(Parametros!$B$4:$B$8),2)</f>
        <v>1.4</v>
      </c>
      <c r="S832" s="26">
        <f>IFERROR(INDEX(Parametros!$F$33:$F$42,MATCH(D832,Parametros!$A$33:$A$42,0)),1)</f>
        <v>1.034</v>
      </c>
      <c r="T832" s="27">
        <f>IFERROR(INDEX(Parametros!$B$21:$B$26,MATCH(I832,Parametros!$A$21:$A$26,0)),0)</f>
        <v>0</v>
      </c>
      <c r="U832" s="28">
        <f t="shared" si="49"/>
        <v>1.45</v>
      </c>
      <c r="V832" s="9">
        <f>IF(U832&gt;=Parametros!$B$14,4,IF(U832&gt;=Parametros!$B$13,3,IF(U832&gt;=Parametros!$B$12,2,1)))</f>
        <v>1</v>
      </c>
      <c r="W832" s="5">
        <f>MAX(V832,IF(K832=5,Parametros!$B$17,0),IF(P832="Sim",Parametros!$B$18,0))</f>
        <v>1</v>
      </c>
      <c r="X832" s="5" t="str">
        <f t="shared" si="50"/>
        <v>Baixa</v>
      </c>
      <c r="Y832" s="29">
        <f t="shared" si="51"/>
        <v>1014.1991680000001</v>
      </c>
      <c r="Z832" s="4" t="s">
        <v>659</v>
      </c>
    </row>
    <row r="833" spans="1:26" ht="28.05" customHeight="1" x14ac:dyDescent="0.3">
      <c r="A833" s="5">
        <f t="shared" si="48"/>
        <v>829</v>
      </c>
      <c r="B833" s="23" t="s">
        <v>1855</v>
      </c>
      <c r="C833" s="17" t="s">
        <v>1856</v>
      </c>
      <c r="D833" s="4" t="s">
        <v>56</v>
      </c>
      <c r="E833" s="4" t="s">
        <v>71</v>
      </c>
      <c r="F833" s="4" t="s">
        <v>71</v>
      </c>
      <c r="G833" s="4" t="s">
        <v>171</v>
      </c>
      <c r="H833" s="4" t="s">
        <v>172</v>
      </c>
      <c r="I833" s="24" t="s">
        <v>152</v>
      </c>
      <c r="J833" s="15">
        <v>1</v>
      </c>
      <c r="K833" s="15">
        <v>1</v>
      </c>
      <c r="L833" s="15">
        <v>2</v>
      </c>
      <c r="M833" s="15">
        <v>2</v>
      </c>
      <c r="N833" s="15">
        <v>1</v>
      </c>
      <c r="O833" s="15">
        <v>1</v>
      </c>
      <c r="P833" s="15" t="s">
        <v>415</v>
      </c>
      <c r="Q833" s="23" t="s">
        <v>416</v>
      </c>
      <c r="R833" s="25">
        <f>ROUND((K833*Parametros!$B$4+L833*Parametros!$B$5+M833*Parametros!$B$6+N833*Parametros!$B$7+O833*Parametros!$B$8)/SUM(Parametros!$B$4:$B$8),2)</f>
        <v>1.4</v>
      </c>
      <c r="S833" s="26">
        <f>IFERROR(INDEX(Parametros!$F$33:$F$42,MATCH(D833,Parametros!$A$33:$A$42,0)),1)</f>
        <v>1.0169999999999999</v>
      </c>
      <c r="T833" s="27">
        <f>IFERROR(INDEX(Parametros!$B$21:$B$26,MATCH(I833,Parametros!$A$21:$A$26,0)),0)</f>
        <v>0</v>
      </c>
      <c r="U833" s="28">
        <f t="shared" si="49"/>
        <v>1.42</v>
      </c>
      <c r="V833" s="9">
        <f>IF(U833&gt;=Parametros!$B$14,4,IF(U833&gt;=Parametros!$B$13,3,IF(U833&gt;=Parametros!$B$12,2,1)))</f>
        <v>1</v>
      </c>
      <c r="W833" s="5">
        <f>MAX(V833,IF(K833=5,Parametros!$B$17,0),IF(P833="Sim",Parametros!$B$18,0))</f>
        <v>1</v>
      </c>
      <c r="X833" s="5" t="str">
        <f t="shared" si="50"/>
        <v>Baixa</v>
      </c>
      <c r="Y833" s="29">
        <f t="shared" si="51"/>
        <v>1014.0991670000001</v>
      </c>
      <c r="Z833" s="4" t="s">
        <v>659</v>
      </c>
    </row>
    <row r="834" spans="1:26" ht="28.05" customHeight="1" x14ac:dyDescent="0.3">
      <c r="A834" s="5">
        <f t="shared" si="48"/>
        <v>830</v>
      </c>
      <c r="B834" s="23" t="s">
        <v>1857</v>
      </c>
      <c r="C834" s="17" t="s">
        <v>1858</v>
      </c>
      <c r="D834" s="4" t="s">
        <v>56</v>
      </c>
      <c r="E834" s="4" t="s">
        <v>71</v>
      </c>
      <c r="F834" s="4" t="s">
        <v>71</v>
      </c>
      <c r="G834" s="4" t="s">
        <v>171</v>
      </c>
      <c r="H834" s="4" t="s">
        <v>172</v>
      </c>
      <c r="I834" s="24" t="s">
        <v>152</v>
      </c>
      <c r="J834" s="15">
        <v>1</v>
      </c>
      <c r="K834" s="15">
        <v>1</v>
      </c>
      <c r="L834" s="15">
        <v>2</v>
      </c>
      <c r="M834" s="15">
        <v>2</v>
      </c>
      <c r="N834" s="15">
        <v>1</v>
      </c>
      <c r="O834" s="15">
        <v>1</v>
      </c>
      <c r="P834" s="15" t="s">
        <v>415</v>
      </c>
      <c r="Q834" s="23" t="s">
        <v>416</v>
      </c>
      <c r="R834" s="25">
        <f>ROUND((K834*Parametros!$B$4+L834*Parametros!$B$5+M834*Parametros!$B$6+N834*Parametros!$B$7+O834*Parametros!$B$8)/SUM(Parametros!$B$4:$B$8),2)</f>
        <v>1.4</v>
      </c>
      <c r="S834" s="26">
        <f>IFERROR(INDEX(Parametros!$F$33:$F$42,MATCH(D834,Parametros!$A$33:$A$42,0)),1)</f>
        <v>1.0169999999999999</v>
      </c>
      <c r="T834" s="27">
        <f>IFERROR(INDEX(Parametros!$B$21:$B$26,MATCH(I834,Parametros!$A$21:$A$26,0)),0)</f>
        <v>0</v>
      </c>
      <c r="U834" s="28">
        <f t="shared" si="49"/>
        <v>1.42</v>
      </c>
      <c r="V834" s="9">
        <f>IF(U834&gt;=Parametros!$B$14,4,IF(U834&gt;=Parametros!$B$13,3,IF(U834&gt;=Parametros!$B$12,2,1)))</f>
        <v>1</v>
      </c>
      <c r="W834" s="5">
        <f>MAX(V834,IF(K834=5,Parametros!$B$17,0),IF(P834="Sim",Parametros!$B$18,0))</f>
        <v>1</v>
      </c>
      <c r="X834" s="5" t="str">
        <f t="shared" si="50"/>
        <v>Baixa</v>
      </c>
      <c r="Y834" s="29">
        <f t="shared" si="51"/>
        <v>1014.099166</v>
      </c>
      <c r="Z834" s="4" t="s">
        <v>659</v>
      </c>
    </row>
    <row r="835" spans="1:26" ht="28.05" customHeight="1" x14ac:dyDescent="0.3">
      <c r="A835" s="5">
        <f t="shared" si="48"/>
        <v>831</v>
      </c>
      <c r="B835" s="23" t="s">
        <v>1859</v>
      </c>
      <c r="C835" s="17" t="s">
        <v>1860</v>
      </c>
      <c r="D835" s="4" t="s">
        <v>49</v>
      </c>
      <c r="E835" s="4" t="s">
        <v>81</v>
      </c>
      <c r="F835" s="4" t="s">
        <v>81</v>
      </c>
      <c r="G835" s="4" t="s">
        <v>171</v>
      </c>
      <c r="H835" s="4" t="s">
        <v>172</v>
      </c>
      <c r="I835" s="24" t="s">
        <v>152</v>
      </c>
      <c r="J835" s="15">
        <v>2</v>
      </c>
      <c r="K835" s="15">
        <v>1</v>
      </c>
      <c r="L835" s="15">
        <v>1</v>
      </c>
      <c r="M835" s="15">
        <v>1</v>
      </c>
      <c r="N835" s="15">
        <v>1</v>
      </c>
      <c r="O835" s="15">
        <v>3</v>
      </c>
      <c r="P835" s="15" t="s">
        <v>415</v>
      </c>
      <c r="Q835" s="23" t="s">
        <v>838</v>
      </c>
      <c r="R835" s="25">
        <f>ROUND((K835*Parametros!$B$4+L835*Parametros!$B$5+M835*Parametros!$B$6+N835*Parametros!$B$7+O835*Parametros!$B$8)/SUM(Parametros!$B$4:$B$8),2)</f>
        <v>1.3</v>
      </c>
      <c r="S835" s="26">
        <f>IFERROR(INDEX(Parametros!$F$33:$F$42,MATCH(D835,Parametros!$A$33:$A$42,0)),1)</f>
        <v>1.1000000000000001</v>
      </c>
      <c r="T835" s="27">
        <f>IFERROR(INDEX(Parametros!$B$21:$B$26,MATCH(I835,Parametros!$A$21:$A$26,0)),0)</f>
        <v>0</v>
      </c>
      <c r="U835" s="28">
        <f t="shared" si="49"/>
        <v>1.43</v>
      </c>
      <c r="V835" s="9">
        <f>IF(U835&gt;=Parametros!$B$14,4,IF(U835&gt;=Parametros!$B$13,3,IF(U835&gt;=Parametros!$B$12,2,1)))</f>
        <v>1</v>
      </c>
      <c r="W835" s="5">
        <f>MAX(V835,IF(K835=5,Parametros!$B$17,0),IF(P835="Sim",Parametros!$B$18,0))</f>
        <v>1</v>
      </c>
      <c r="X835" s="5" t="str">
        <f t="shared" si="50"/>
        <v>Baixa</v>
      </c>
      <c r="Y835" s="29">
        <f t="shared" si="51"/>
        <v>1014.0991649999999</v>
      </c>
      <c r="Z835" s="4" t="s">
        <v>659</v>
      </c>
    </row>
    <row r="836" spans="1:26" ht="28.05" customHeight="1" x14ac:dyDescent="0.3">
      <c r="A836" s="5">
        <f t="shared" si="48"/>
        <v>832</v>
      </c>
      <c r="B836" s="23" t="s">
        <v>1861</v>
      </c>
      <c r="C836" s="17" t="s">
        <v>1862</v>
      </c>
      <c r="D836" s="4" t="s">
        <v>49</v>
      </c>
      <c r="E836" s="4" t="s">
        <v>81</v>
      </c>
      <c r="F836" s="4" t="s">
        <v>81</v>
      </c>
      <c r="G836" s="4" t="s">
        <v>171</v>
      </c>
      <c r="H836" s="4" t="s">
        <v>172</v>
      </c>
      <c r="I836" s="24" t="s">
        <v>152</v>
      </c>
      <c r="J836" s="15">
        <v>2</v>
      </c>
      <c r="K836" s="15">
        <v>1</v>
      </c>
      <c r="L836" s="15">
        <v>1</v>
      </c>
      <c r="M836" s="15">
        <v>1</v>
      </c>
      <c r="N836" s="15">
        <v>1</v>
      </c>
      <c r="O836" s="15">
        <v>3</v>
      </c>
      <c r="P836" s="15" t="s">
        <v>415</v>
      </c>
      <c r="Q836" s="23" t="s">
        <v>838</v>
      </c>
      <c r="R836" s="25">
        <f>ROUND((K836*Parametros!$B$4+L836*Parametros!$B$5+M836*Parametros!$B$6+N836*Parametros!$B$7+O836*Parametros!$B$8)/SUM(Parametros!$B$4:$B$8),2)</f>
        <v>1.3</v>
      </c>
      <c r="S836" s="26">
        <f>IFERROR(INDEX(Parametros!$F$33:$F$42,MATCH(D836,Parametros!$A$33:$A$42,0)),1)</f>
        <v>1.1000000000000001</v>
      </c>
      <c r="T836" s="27">
        <f>IFERROR(INDEX(Parametros!$B$21:$B$26,MATCH(I836,Parametros!$A$21:$A$26,0)),0)</f>
        <v>0</v>
      </c>
      <c r="U836" s="28">
        <f t="shared" si="49"/>
        <v>1.43</v>
      </c>
      <c r="V836" s="9">
        <f>IF(U836&gt;=Parametros!$B$14,4,IF(U836&gt;=Parametros!$B$13,3,IF(U836&gt;=Parametros!$B$12,2,1)))</f>
        <v>1</v>
      </c>
      <c r="W836" s="5">
        <f>MAX(V836,IF(K836=5,Parametros!$B$17,0),IF(P836="Sim",Parametros!$B$18,0))</f>
        <v>1</v>
      </c>
      <c r="X836" s="5" t="str">
        <f t="shared" si="50"/>
        <v>Baixa</v>
      </c>
      <c r="Y836" s="29">
        <f t="shared" si="51"/>
        <v>1014.0991639999999</v>
      </c>
      <c r="Z836" s="4" t="s">
        <v>659</v>
      </c>
    </row>
    <row r="837" spans="1:26" ht="28.05" customHeight="1" x14ac:dyDescent="0.3">
      <c r="A837" s="5">
        <f t="shared" ref="A837:A900" si="52">IF(Y837="","",COUNTIF($Y$5:$Y$983,"&gt;"&amp;Y837)+1)</f>
        <v>833</v>
      </c>
      <c r="B837" s="23" t="s">
        <v>1863</v>
      </c>
      <c r="C837" s="17" t="s">
        <v>1864</v>
      </c>
      <c r="D837" s="4" t="s">
        <v>49</v>
      </c>
      <c r="E837" s="4" t="s">
        <v>81</v>
      </c>
      <c r="F837" s="4" t="s">
        <v>81</v>
      </c>
      <c r="G837" s="4" t="s">
        <v>171</v>
      </c>
      <c r="H837" s="4" t="s">
        <v>172</v>
      </c>
      <c r="I837" s="24" t="s">
        <v>152</v>
      </c>
      <c r="J837" s="15">
        <v>2</v>
      </c>
      <c r="K837" s="15">
        <v>1</v>
      </c>
      <c r="L837" s="15">
        <v>1</v>
      </c>
      <c r="M837" s="15">
        <v>1</v>
      </c>
      <c r="N837" s="15">
        <v>1</v>
      </c>
      <c r="O837" s="15">
        <v>3</v>
      </c>
      <c r="P837" s="15" t="s">
        <v>415</v>
      </c>
      <c r="Q837" s="23" t="s">
        <v>838</v>
      </c>
      <c r="R837" s="25">
        <f>ROUND((K837*Parametros!$B$4+L837*Parametros!$B$5+M837*Parametros!$B$6+N837*Parametros!$B$7+O837*Parametros!$B$8)/SUM(Parametros!$B$4:$B$8),2)</f>
        <v>1.3</v>
      </c>
      <c r="S837" s="26">
        <f>IFERROR(INDEX(Parametros!$F$33:$F$42,MATCH(D837,Parametros!$A$33:$A$42,0)),1)</f>
        <v>1.1000000000000001</v>
      </c>
      <c r="T837" s="27">
        <f>IFERROR(INDEX(Parametros!$B$21:$B$26,MATCH(I837,Parametros!$A$21:$A$26,0)),0)</f>
        <v>0</v>
      </c>
      <c r="U837" s="28">
        <f t="shared" ref="U837:U900" si="53">ROUND(R837*S837+T837,2)</f>
        <v>1.43</v>
      </c>
      <c r="V837" s="9">
        <f>IF(U837&gt;=Parametros!$B$14,4,IF(U837&gt;=Parametros!$B$13,3,IF(U837&gt;=Parametros!$B$12,2,1)))</f>
        <v>1</v>
      </c>
      <c r="W837" s="5">
        <f>MAX(V837,IF(K837=5,Parametros!$B$17,0),IF(P837="Sim",Parametros!$B$18,0))</f>
        <v>1</v>
      </c>
      <c r="X837" s="5" t="str">
        <f t="shared" ref="X837:X900" si="54">CHOOSE(W837,"Baixa","Normal","Alta","Urgente")</f>
        <v>Baixa</v>
      </c>
      <c r="Y837" s="29">
        <f t="shared" ref="Y837:Y900" si="55">W837*1000+U837*10-J837/10-ROW()/1000000</f>
        <v>1014.0991629999999</v>
      </c>
      <c r="Z837" s="4" t="s">
        <v>659</v>
      </c>
    </row>
    <row r="838" spans="1:26" ht="28.05" customHeight="1" x14ac:dyDescent="0.3">
      <c r="A838" s="5">
        <f t="shared" si="52"/>
        <v>834</v>
      </c>
      <c r="B838" s="23" t="s">
        <v>1865</v>
      </c>
      <c r="C838" s="17" t="s">
        <v>1866</v>
      </c>
      <c r="D838" s="4" t="s">
        <v>49</v>
      </c>
      <c r="E838" s="4" t="s">
        <v>81</v>
      </c>
      <c r="F838" s="4" t="s">
        <v>81</v>
      </c>
      <c r="G838" s="4" t="s">
        <v>171</v>
      </c>
      <c r="H838" s="4" t="s">
        <v>172</v>
      </c>
      <c r="I838" s="24" t="s">
        <v>152</v>
      </c>
      <c r="J838" s="15">
        <v>2</v>
      </c>
      <c r="K838" s="15">
        <v>1</v>
      </c>
      <c r="L838" s="15">
        <v>1</v>
      </c>
      <c r="M838" s="15">
        <v>1</v>
      </c>
      <c r="N838" s="15">
        <v>1</v>
      </c>
      <c r="O838" s="15">
        <v>3</v>
      </c>
      <c r="P838" s="15" t="s">
        <v>415</v>
      </c>
      <c r="Q838" s="23" t="s">
        <v>838</v>
      </c>
      <c r="R838" s="25">
        <f>ROUND((K838*Parametros!$B$4+L838*Parametros!$B$5+M838*Parametros!$B$6+N838*Parametros!$B$7+O838*Parametros!$B$8)/SUM(Parametros!$B$4:$B$8),2)</f>
        <v>1.3</v>
      </c>
      <c r="S838" s="26">
        <f>IFERROR(INDEX(Parametros!$F$33:$F$42,MATCH(D838,Parametros!$A$33:$A$42,0)),1)</f>
        <v>1.1000000000000001</v>
      </c>
      <c r="T838" s="27">
        <f>IFERROR(INDEX(Parametros!$B$21:$B$26,MATCH(I838,Parametros!$A$21:$A$26,0)),0)</f>
        <v>0</v>
      </c>
      <c r="U838" s="28">
        <f t="shared" si="53"/>
        <v>1.43</v>
      </c>
      <c r="V838" s="9">
        <f>IF(U838&gt;=Parametros!$B$14,4,IF(U838&gt;=Parametros!$B$13,3,IF(U838&gt;=Parametros!$B$12,2,1)))</f>
        <v>1</v>
      </c>
      <c r="W838" s="5">
        <f>MAX(V838,IF(K838=5,Parametros!$B$17,0),IF(P838="Sim",Parametros!$B$18,0))</f>
        <v>1</v>
      </c>
      <c r="X838" s="5" t="str">
        <f t="shared" si="54"/>
        <v>Baixa</v>
      </c>
      <c r="Y838" s="29">
        <f t="shared" si="55"/>
        <v>1014.0991619999999</v>
      </c>
      <c r="Z838" s="4" t="s">
        <v>659</v>
      </c>
    </row>
    <row r="839" spans="1:26" ht="28.05" customHeight="1" x14ac:dyDescent="0.3">
      <c r="A839" s="5">
        <f t="shared" si="52"/>
        <v>835</v>
      </c>
      <c r="B839" s="23" t="s">
        <v>1867</v>
      </c>
      <c r="C839" s="17" t="s">
        <v>1868</v>
      </c>
      <c r="D839" s="4" t="s">
        <v>48</v>
      </c>
      <c r="E839" s="4" t="s">
        <v>85</v>
      </c>
      <c r="F839" s="4" t="s">
        <v>85</v>
      </c>
      <c r="G839" s="4" t="s">
        <v>184</v>
      </c>
      <c r="H839" s="4" t="s">
        <v>185</v>
      </c>
      <c r="I839" s="24" t="s">
        <v>152</v>
      </c>
      <c r="J839" s="15">
        <v>3</v>
      </c>
      <c r="K839" s="15">
        <v>1</v>
      </c>
      <c r="L839" s="15">
        <v>1</v>
      </c>
      <c r="M839" s="15">
        <v>1</v>
      </c>
      <c r="N839" s="15">
        <v>1</v>
      </c>
      <c r="O839" s="15">
        <v>3</v>
      </c>
      <c r="P839" s="15" t="s">
        <v>415</v>
      </c>
      <c r="Q839" s="23" t="s">
        <v>838</v>
      </c>
      <c r="R839" s="25">
        <f>ROUND((K839*Parametros!$B$4+L839*Parametros!$B$5+M839*Parametros!$B$6+N839*Parametros!$B$7+O839*Parametros!$B$8)/SUM(Parametros!$B$4:$B$8),2)</f>
        <v>1.3</v>
      </c>
      <c r="S839" s="26">
        <f>IFERROR(INDEX(Parametros!$F$33:$F$42,MATCH(D839,Parametros!$A$33:$A$42,0)),1)</f>
        <v>1.1000000000000001</v>
      </c>
      <c r="T839" s="27">
        <f>IFERROR(INDEX(Parametros!$B$21:$B$26,MATCH(I839,Parametros!$A$21:$A$26,0)),0)</f>
        <v>0</v>
      </c>
      <c r="U839" s="28">
        <f t="shared" si="53"/>
        <v>1.43</v>
      </c>
      <c r="V839" s="9">
        <f>IF(U839&gt;=Parametros!$B$14,4,IF(U839&gt;=Parametros!$B$13,3,IF(U839&gt;=Parametros!$B$12,2,1)))</f>
        <v>1</v>
      </c>
      <c r="W839" s="5">
        <f>MAX(V839,IF(K839=5,Parametros!$B$17,0),IF(P839="Sim",Parametros!$B$18,0))</f>
        <v>1</v>
      </c>
      <c r="X839" s="5" t="str">
        <f t="shared" si="54"/>
        <v>Baixa</v>
      </c>
      <c r="Y839" s="29">
        <f t="shared" si="55"/>
        <v>1013.999161</v>
      </c>
      <c r="Z839" s="4" t="s">
        <v>659</v>
      </c>
    </row>
    <row r="840" spans="1:26" ht="28.05" customHeight="1" x14ac:dyDescent="0.3">
      <c r="A840" s="5">
        <f t="shared" si="52"/>
        <v>836</v>
      </c>
      <c r="B840" s="23" t="s">
        <v>1869</v>
      </c>
      <c r="C840" s="17" t="s">
        <v>1870</v>
      </c>
      <c r="D840" s="4" t="s">
        <v>50</v>
      </c>
      <c r="E840" s="4" t="s">
        <v>65</v>
      </c>
      <c r="F840" s="4" t="s">
        <v>65</v>
      </c>
      <c r="G840" s="4" t="s">
        <v>171</v>
      </c>
      <c r="H840" s="4" t="s">
        <v>172</v>
      </c>
      <c r="I840" s="24" t="s">
        <v>152</v>
      </c>
      <c r="J840" s="15">
        <v>2</v>
      </c>
      <c r="K840" s="15">
        <v>1</v>
      </c>
      <c r="L840" s="15">
        <v>1</v>
      </c>
      <c r="M840" s="15">
        <v>1</v>
      </c>
      <c r="N840" s="15">
        <v>1</v>
      </c>
      <c r="O840" s="15">
        <v>3</v>
      </c>
      <c r="P840" s="15" t="s">
        <v>415</v>
      </c>
      <c r="Q840" s="23" t="s">
        <v>838</v>
      </c>
      <c r="R840" s="25">
        <f>ROUND((K840*Parametros!$B$4+L840*Parametros!$B$5+M840*Parametros!$B$6+N840*Parametros!$B$7+O840*Parametros!$B$8)/SUM(Parametros!$B$4:$B$8),2)</f>
        <v>1.3</v>
      </c>
      <c r="S840" s="26">
        <f>IFERROR(INDEX(Parametros!$F$33:$F$42,MATCH(D840,Parametros!$A$33:$A$42,0)),1)</f>
        <v>1.0840000000000001</v>
      </c>
      <c r="T840" s="27">
        <f>IFERROR(INDEX(Parametros!$B$21:$B$26,MATCH(I840,Parametros!$A$21:$A$26,0)),0)</f>
        <v>0</v>
      </c>
      <c r="U840" s="28">
        <f t="shared" si="53"/>
        <v>1.41</v>
      </c>
      <c r="V840" s="9">
        <f>IF(U840&gt;=Parametros!$B$14,4,IF(U840&gt;=Parametros!$B$13,3,IF(U840&gt;=Parametros!$B$12,2,1)))</f>
        <v>1</v>
      </c>
      <c r="W840" s="5">
        <f>MAX(V840,IF(K840=5,Parametros!$B$17,0),IF(P840="Sim",Parametros!$B$18,0))</f>
        <v>1</v>
      </c>
      <c r="X840" s="5" t="str">
        <f t="shared" si="54"/>
        <v>Baixa</v>
      </c>
      <c r="Y840" s="29">
        <f t="shared" si="55"/>
        <v>1013.8991599999999</v>
      </c>
      <c r="Z840" s="4" t="s">
        <v>659</v>
      </c>
    </row>
    <row r="841" spans="1:26" ht="28.05" customHeight="1" x14ac:dyDescent="0.3">
      <c r="A841" s="5">
        <f t="shared" si="52"/>
        <v>837</v>
      </c>
      <c r="B841" s="23" t="s">
        <v>1871</v>
      </c>
      <c r="C841" s="17" t="s">
        <v>1872</v>
      </c>
      <c r="D841" s="4" t="s">
        <v>50</v>
      </c>
      <c r="E841" s="4" t="s">
        <v>1628</v>
      </c>
      <c r="F841" s="4" t="s">
        <v>1628</v>
      </c>
      <c r="G841" s="4" t="s">
        <v>171</v>
      </c>
      <c r="H841" s="4" t="s">
        <v>172</v>
      </c>
      <c r="I841" s="24" t="s">
        <v>152</v>
      </c>
      <c r="J841" s="15">
        <v>2</v>
      </c>
      <c r="K841" s="15">
        <v>1</v>
      </c>
      <c r="L841" s="15">
        <v>1</v>
      </c>
      <c r="M841" s="15">
        <v>1</v>
      </c>
      <c r="N841" s="15">
        <v>1</v>
      </c>
      <c r="O841" s="15">
        <v>3</v>
      </c>
      <c r="P841" s="15" t="s">
        <v>415</v>
      </c>
      <c r="Q841" s="23" t="s">
        <v>838</v>
      </c>
      <c r="R841" s="25">
        <f>ROUND((K841*Parametros!$B$4+L841*Parametros!$B$5+M841*Parametros!$B$6+N841*Parametros!$B$7+O841*Parametros!$B$8)/SUM(Parametros!$B$4:$B$8),2)</f>
        <v>1.3</v>
      </c>
      <c r="S841" s="26">
        <f>IFERROR(INDEX(Parametros!$F$33:$F$42,MATCH(D841,Parametros!$A$33:$A$42,0)),1)</f>
        <v>1.0840000000000001</v>
      </c>
      <c r="T841" s="27">
        <f>IFERROR(INDEX(Parametros!$B$21:$B$26,MATCH(I841,Parametros!$A$21:$A$26,0)),0)</f>
        <v>0</v>
      </c>
      <c r="U841" s="28">
        <f t="shared" si="53"/>
        <v>1.41</v>
      </c>
      <c r="V841" s="9">
        <f>IF(U841&gt;=Parametros!$B$14,4,IF(U841&gt;=Parametros!$B$13,3,IF(U841&gt;=Parametros!$B$12,2,1)))</f>
        <v>1</v>
      </c>
      <c r="W841" s="5">
        <f>MAX(V841,IF(K841=5,Parametros!$B$17,0),IF(P841="Sim",Parametros!$B$18,0))</f>
        <v>1</v>
      </c>
      <c r="X841" s="5" t="str">
        <f t="shared" si="54"/>
        <v>Baixa</v>
      </c>
      <c r="Y841" s="29">
        <f t="shared" si="55"/>
        <v>1013.8991589999999</v>
      </c>
      <c r="Z841" s="4" t="s">
        <v>659</v>
      </c>
    </row>
    <row r="842" spans="1:26" ht="28.05" customHeight="1" x14ac:dyDescent="0.3">
      <c r="A842" s="5">
        <f t="shared" si="52"/>
        <v>838</v>
      </c>
      <c r="B842" s="23" t="s">
        <v>1873</v>
      </c>
      <c r="C842" s="17" t="s">
        <v>1874</v>
      </c>
      <c r="D842" s="4" t="s">
        <v>50</v>
      </c>
      <c r="E842" s="4" t="s">
        <v>1875</v>
      </c>
      <c r="F842" s="4" t="s">
        <v>1875</v>
      </c>
      <c r="G842" s="4" t="s">
        <v>171</v>
      </c>
      <c r="H842" s="4" t="s">
        <v>172</v>
      </c>
      <c r="I842" s="24" t="s">
        <v>152</v>
      </c>
      <c r="J842" s="15">
        <v>2</v>
      </c>
      <c r="K842" s="15">
        <v>1</v>
      </c>
      <c r="L842" s="15">
        <v>1</v>
      </c>
      <c r="M842" s="15">
        <v>1</v>
      </c>
      <c r="N842" s="15">
        <v>1</v>
      </c>
      <c r="O842" s="15">
        <v>3</v>
      </c>
      <c r="P842" s="15" t="s">
        <v>415</v>
      </c>
      <c r="Q842" s="23" t="s">
        <v>838</v>
      </c>
      <c r="R842" s="25">
        <f>ROUND((K842*Parametros!$B$4+L842*Parametros!$B$5+M842*Parametros!$B$6+N842*Parametros!$B$7+O842*Parametros!$B$8)/SUM(Parametros!$B$4:$B$8),2)</f>
        <v>1.3</v>
      </c>
      <c r="S842" s="26">
        <f>IFERROR(INDEX(Parametros!$F$33:$F$42,MATCH(D842,Parametros!$A$33:$A$42,0)),1)</f>
        <v>1.0840000000000001</v>
      </c>
      <c r="T842" s="27">
        <f>IFERROR(INDEX(Parametros!$B$21:$B$26,MATCH(I842,Parametros!$A$21:$A$26,0)),0)</f>
        <v>0</v>
      </c>
      <c r="U842" s="28">
        <f t="shared" si="53"/>
        <v>1.41</v>
      </c>
      <c r="V842" s="9">
        <f>IF(U842&gt;=Parametros!$B$14,4,IF(U842&gt;=Parametros!$B$13,3,IF(U842&gt;=Parametros!$B$12,2,1)))</f>
        <v>1</v>
      </c>
      <c r="W842" s="5">
        <f>MAX(V842,IF(K842=5,Parametros!$B$17,0),IF(P842="Sim",Parametros!$B$18,0))</f>
        <v>1</v>
      </c>
      <c r="X842" s="5" t="str">
        <f t="shared" si="54"/>
        <v>Baixa</v>
      </c>
      <c r="Y842" s="29">
        <f t="shared" si="55"/>
        <v>1013.8991579999999</v>
      </c>
      <c r="Z842" s="4" t="s">
        <v>659</v>
      </c>
    </row>
    <row r="843" spans="1:26" ht="28.05" customHeight="1" x14ac:dyDescent="0.3">
      <c r="A843" s="5">
        <f t="shared" si="52"/>
        <v>839</v>
      </c>
      <c r="B843" s="23" t="s">
        <v>1876</v>
      </c>
      <c r="C843" s="17" t="s">
        <v>1877</v>
      </c>
      <c r="D843" s="4" t="s">
        <v>50</v>
      </c>
      <c r="E843" s="4" t="s">
        <v>345</v>
      </c>
      <c r="F843" s="4" t="s">
        <v>345</v>
      </c>
      <c r="G843" s="4" t="s">
        <v>171</v>
      </c>
      <c r="H843" s="4" t="s">
        <v>172</v>
      </c>
      <c r="I843" s="24" t="s">
        <v>152</v>
      </c>
      <c r="J843" s="15">
        <v>2</v>
      </c>
      <c r="K843" s="15">
        <v>1</v>
      </c>
      <c r="L843" s="15">
        <v>1</v>
      </c>
      <c r="M843" s="15">
        <v>1</v>
      </c>
      <c r="N843" s="15">
        <v>3</v>
      </c>
      <c r="O843" s="15">
        <v>1</v>
      </c>
      <c r="P843" s="15" t="s">
        <v>415</v>
      </c>
      <c r="Q843" s="23" t="s">
        <v>838</v>
      </c>
      <c r="R843" s="25">
        <f>ROUND((K843*Parametros!$B$4+L843*Parametros!$B$5+M843*Parametros!$B$6+N843*Parametros!$B$7+O843*Parametros!$B$8)/SUM(Parametros!$B$4:$B$8),2)</f>
        <v>1.3</v>
      </c>
      <c r="S843" s="26">
        <f>IFERROR(INDEX(Parametros!$F$33:$F$42,MATCH(D843,Parametros!$A$33:$A$42,0)),1)</f>
        <v>1.0840000000000001</v>
      </c>
      <c r="T843" s="27">
        <f>IFERROR(INDEX(Parametros!$B$21:$B$26,MATCH(I843,Parametros!$A$21:$A$26,0)),0)</f>
        <v>0</v>
      </c>
      <c r="U843" s="28">
        <f t="shared" si="53"/>
        <v>1.41</v>
      </c>
      <c r="V843" s="9">
        <f>IF(U843&gt;=Parametros!$B$14,4,IF(U843&gt;=Parametros!$B$13,3,IF(U843&gt;=Parametros!$B$12,2,1)))</f>
        <v>1</v>
      </c>
      <c r="W843" s="5">
        <f>MAX(V843,IF(K843=5,Parametros!$B$17,0),IF(P843="Sim",Parametros!$B$18,0))</f>
        <v>1</v>
      </c>
      <c r="X843" s="5" t="str">
        <f t="shared" si="54"/>
        <v>Baixa</v>
      </c>
      <c r="Y843" s="29">
        <f t="shared" si="55"/>
        <v>1013.8991569999999</v>
      </c>
      <c r="Z843" s="4" t="s">
        <v>659</v>
      </c>
    </row>
    <row r="844" spans="1:26" ht="28.05" customHeight="1" x14ac:dyDescent="0.3">
      <c r="A844" s="5">
        <f t="shared" si="52"/>
        <v>840</v>
      </c>
      <c r="B844" s="23" t="s">
        <v>1878</v>
      </c>
      <c r="C844" s="17" t="s">
        <v>1879</v>
      </c>
      <c r="D844" s="4" t="s">
        <v>50</v>
      </c>
      <c r="E844" s="4" t="s">
        <v>65</v>
      </c>
      <c r="F844" s="4" t="s">
        <v>65</v>
      </c>
      <c r="G844" s="4" t="s">
        <v>171</v>
      </c>
      <c r="H844" s="4" t="s">
        <v>172</v>
      </c>
      <c r="I844" s="24" t="s">
        <v>152</v>
      </c>
      <c r="J844" s="15">
        <v>2</v>
      </c>
      <c r="K844" s="15">
        <v>1</v>
      </c>
      <c r="L844" s="15">
        <v>1</v>
      </c>
      <c r="M844" s="15">
        <v>1</v>
      </c>
      <c r="N844" s="15">
        <v>1</v>
      </c>
      <c r="O844" s="15">
        <v>3</v>
      </c>
      <c r="P844" s="15" t="s">
        <v>415</v>
      </c>
      <c r="Q844" s="23" t="s">
        <v>838</v>
      </c>
      <c r="R844" s="25">
        <f>ROUND((K844*Parametros!$B$4+L844*Parametros!$B$5+M844*Parametros!$B$6+N844*Parametros!$B$7+O844*Parametros!$B$8)/SUM(Parametros!$B$4:$B$8),2)</f>
        <v>1.3</v>
      </c>
      <c r="S844" s="26">
        <f>IFERROR(INDEX(Parametros!$F$33:$F$42,MATCH(D844,Parametros!$A$33:$A$42,0)),1)</f>
        <v>1.0840000000000001</v>
      </c>
      <c r="T844" s="27">
        <f>IFERROR(INDEX(Parametros!$B$21:$B$26,MATCH(I844,Parametros!$A$21:$A$26,0)),0)</f>
        <v>0</v>
      </c>
      <c r="U844" s="28">
        <f t="shared" si="53"/>
        <v>1.41</v>
      </c>
      <c r="V844" s="9">
        <f>IF(U844&gt;=Parametros!$B$14,4,IF(U844&gt;=Parametros!$B$13,3,IF(U844&gt;=Parametros!$B$12,2,1)))</f>
        <v>1</v>
      </c>
      <c r="W844" s="5">
        <f>MAX(V844,IF(K844=5,Parametros!$B$17,0),IF(P844="Sim",Parametros!$B$18,0))</f>
        <v>1</v>
      </c>
      <c r="X844" s="5" t="str">
        <f t="shared" si="54"/>
        <v>Baixa</v>
      </c>
      <c r="Y844" s="29">
        <f t="shared" si="55"/>
        <v>1013.8991559999999</v>
      </c>
      <c r="Z844" s="4" t="s">
        <v>659</v>
      </c>
    </row>
    <row r="845" spans="1:26" ht="28.05" customHeight="1" x14ac:dyDescent="0.3">
      <c r="A845" s="5">
        <f t="shared" si="52"/>
        <v>841</v>
      </c>
      <c r="B845" s="23" t="s">
        <v>1880</v>
      </c>
      <c r="C845" s="17" t="s">
        <v>1881</v>
      </c>
      <c r="D845" s="4" t="s">
        <v>50</v>
      </c>
      <c r="E845" s="4" t="s">
        <v>70</v>
      </c>
      <c r="F845" s="4" t="s">
        <v>70</v>
      </c>
      <c r="G845" s="4" t="s">
        <v>184</v>
      </c>
      <c r="H845" s="4" t="s">
        <v>185</v>
      </c>
      <c r="I845" s="24" t="s">
        <v>152</v>
      </c>
      <c r="J845" s="15">
        <v>2</v>
      </c>
      <c r="K845" s="15">
        <v>1</v>
      </c>
      <c r="L845" s="15">
        <v>1</v>
      </c>
      <c r="M845" s="15">
        <v>1</v>
      </c>
      <c r="N845" s="15">
        <v>1</v>
      </c>
      <c r="O845" s="15">
        <v>3</v>
      </c>
      <c r="P845" s="15" t="s">
        <v>415</v>
      </c>
      <c r="Q845" s="23" t="s">
        <v>838</v>
      </c>
      <c r="R845" s="25">
        <f>ROUND((K845*Parametros!$B$4+L845*Parametros!$B$5+M845*Parametros!$B$6+N845*Parametros!$B$7+O845*Parametros!$B$8)/SUM(Parametros!$B$4:$B$8),2)</f>
        <v>1.3</v>
      </c>
      <c r="S845" s="26">
        <f>IFERROR(INDEX(Parametros!$F$33:$F$42,MATCH(D845,Parametros!$A$33:$A$42,0)),1)</f>
        <v>1.0840000000000001</v>
      </c>
      <c r="T845" s="27">
        <f>IFERROR(INDEX(Parametros!$B$21:$B$26,MATCH(I845,Parametros!$A$21:$A$26,0)),0)</f>
        <v>0</v>
      </c>
      <c r="U845" s="28">
        <f t="shared" si="53"/>
        <v>1.41</v>
      </c>
      <c r="V845" s="9">
        <f>IF(U845&gt;=Parametros!$B$14,4,IF(U845&gt;=Parametros!$B$13,3,IF(U845&gt;=Parametros!$B$12,2,1)))</f>
        <v>1</v>
      </c>
      <c r="W845" s="5">
        <f>MAX(V845,IF(K845=5,Parametros!$B$17,0),IF(P845="Sim",Parametros!$B$18,0))</f>
        <v>1</v>
      </c>
      <c r="X845" s="5" t="str">
        <f t="shared" si="54"/>
        <v>Baixa</v>
      </c>
      <c r="Y845" s="29">
        <f t="shared" si="55"/>
        <v>1013.899155</v>
      </c>
      <c r="Z845" s="4" t="s">
        <v>659</v>
      </c>
    </row>
    <row r="846" spans="1:26" ht="28.05" customHeight="1" x14ac:dyDescent="0.3">
      <c r="A846" s="5">
        <f t="shared" si="52"/>
        <v>842</v>
      </c>
      <c r="B846" s="23" t="s">
        <v>1882</v>
      </c>
      <c r="C846" s="17" t="s">
        <v>1883</v>
      </c>
      <c r="D846" s="4" t="s">
        <v>50</v>
      </c>
      <c r="E846" s="4" t="s">
        <v>75</v>
      </c>
      <c r="F846" s="4" t="s">
        <v>75</v>
      </c>
      <c r="G846" s="4" t="s">
        <v>184</v>
      </c>
      <c r="H846" s="4" t="s">
        <v>185</v>
      </c>
      <c r="I846" s="24" t="s">
        <v>152</v>
      </c>
      <c r="J846" s="15">
        <v>2</v>
      </c>
      <c r="K846" s="15">
        <v>1</v>
      </c>
      <c r="L846" s="15">
        <v>1</v>
      </c>
      <c r="M846" s="15">
        <v>1</v>
      </c>
      <c r="N846" s="15">
        <v>1</v>
      </c>
      <c r="O846" s="15">
        <v>3</v>
      </c>
      <c r="P846" s="15" t="s">
        <v>415</v>
      </c>
      <c r="Q846" s="23" t="s">
        <v>838</v>
      </c>
      <c r="R846" s="25">
        <f>ROUND((K846*Parametros!$B$4+L846*Parametros!$B$5+M846*Parametros!$B$6+N846*Parametros!$B$7+O846*Parametros!$B$8)/SUM(Parametros!$B$4:$B$8),2)</f>
        <v>1.3</v>
      </c>
      <c r="S846" s="26">
        <f>IFERROR(INDEX(Parametros!$F$33:$F$42,MATCH(D846,Parametros!$A$33:$A$42,0)),1)</f>
        <v>1.0840000000000001</v>
      </c>
      <c r="T846" s="27">
        <f>IFERROR(INDEX(Parametros!$B$21:$B$26,MATCH(I846,Parametros!$A$21:$A$26,0)),0)</f>
        <v>0</v>
      </c>
      <c r="U846" s="28">
        <f t="shared" si="53"/>
        <v>1.41</v>
      </c>
      <c r="V846" s="9">
        <f>IF(U846&gt;=Parametros!$B$14,4,IF(U846&gt;=Parametros!$B$13,3,IF(U846&gt;=Parametros!$B$12,2,1)))</f>
        <v>1</v>
      </c>
      <c r="W846" s="5">
        <f>MAX(V846,IF(K846=5,Parametros!$B$17,0),IF(P846="Sim",Parametros!$B$18,0))</f>
        <v>1</v>
      </c>
      <c r="X846" s="5" t="str">
        <f t="shared" si="54"/>
        <v>Baixa</v>
      </c>
      <c r="Y846" s="29">
        <f t="shared" si="55"/>
        <v>1013.899154</v>
      </c>
      <c r="Z846" s="4" t="s">
        <v>659</v>
      </c>
    </row>
    <row r="847" spans="1:26" ht="28.05" customHeight="1" x14ac:dyDescent="0.3">
      <c r="A847" s="5">
        <f t="shared" si="52"/>
        <v>843</v>
      </c>
      <c r="B847" s="23" t="s">
        <v>1884</v>
      </c>
      <c r="C847" s="17" t="s">
        <v>1885</v>
      </c>
      <c r="D847" s="4" t="s">
        <v>51</v>
      </c>
      <c r="E847" s="4" t="s">
        <v>82</v>
      </c>
      <c r="F847" s="4" t="s">
        <v>82</v>
      </c>
      <c r="G847" s="4" t="s">
        <v>171</v>
      </c>
      <c r="H847" s="4" t="s">
        <v>172</v>
      </c>
      <c r="I847" s="24" t="s">
        <v>954</v>
      </c>
      <c r="J847" s="15">
        <v>2</v>
      </c>
      <c r="K847" s="15">
        <v>2</v>
      </c>
      <c r="L847" s="15">
        <v>1</v>
      </c>
      <c r="M847" s="15">
        <v>1</v>
      </c>
      <c r="N847" s="15">
        <v>2</v>
      </c>
      <c r="O847" s="15">
        <v>2</v>
      </c>
      <c r="P847" s="15" t="s">
        <v>415</v>
      </c>
      <c r="Q847" s="23" t="s">
        <v>838</v>
      </c>
      <c r="R847" s="25">
        <f>ROUND((K847*Parametros!$B$4+L847*Parametros!$B$5+M847*Parametros!$B$6+N847*Parametros!$B$7+O847*Parametros!$B$8)/SUM(Parametros!$B$4:$B$8),2)</f>
        <v>1.6</v>
      </c>
      <c r="S847" s="26">
        <f>IFERROR(INDEX(Parametros!$F$33:$F$42,MATCH(D847,Parametros!$A$33:$A$42,0)),1)</f>
        <v>1.0669999999999999</v>
      </c>
      <c r="T847" s="27">
        <f>IFERROR(INDEX(Parametros!$B$21:$B$26,MATCH(I847,Parametros!$A$21:$A$26,0)),0)</f>
        <v>-0.3</v>
      </c>
      <c r="U847" s="28">
        <f t="shared" si="53"/>
        <v>1.41</v>
      </c>
      <c r="V847" s="9">
        <f>IF(U847&gt;=Parametros!$B$14,4,IF(U847&gt;=Parametros!$B$13,3,IF(U847&gt;=Parametros!$B$12,2,1)))</f>
        <v>1</v>
      </c>
      <c r="W847" s="5">
        <f>MAX(V847,IF(K847=5,Parametros!$B$17,0),IF(P847="Sim",Parametros!$B$18,0))</f>
        <v>1</v>
      </c>
      <c r="X847" s="5" t="str">
        <f t="shared" si="54"/>
        <v>Baixa</v>
      </c>
      <c r="Y847" s="29">
        <f t="shared" si="55"/>
        <v>1013.899153</v>
      </c>
      <c r="Z847" s="4" t="s">
        <v>1213</v>
      </c>
    </row>
    <row r="848" spans="1:26" ht="28.05" customHeight="1" x14ac:dyDescent="0.3">
      <c r="A848" s="5">
        <f t="shared" si="52"/>
        <v>844</v>
      </c>
      <c r="B848" s="23" t="s">
        <v>1886</v>
      </c>
      <c r="C848" s="17" t="s">
        <v>1887</v>
      </c>
      <c r="D848" s="4" t="s">
        <v>50</v>
      </c>
      <c r="E848" s="4" t="s">
        <v>70</v>
      </c>
      <c r="F848" s="4" t="s">
        <v>70</v>
      </c>
      <c r="G848" s="4" t="s">
        <v>184</v>
      </c>
      <c r="H848" s="4" t="s">
        <v>185</v>
      </c>
      <c r="I848" s="24" t="s">
        <v>152</v>
      </c>
      <c r="J848" s="15">
        <v>3</v>
      </c>
      <c r="K848" s="15">
        <v>1</v>
      </c>
      <c r="L848" s="15">
        <v>1</v>
      </c>
      <c r="M848" s="15">
        <v>1</v>
      </c>
      <c r="N848" s="15">
        <v>1</v>
      </c>
      <c r="O848" s="15">
        <v>3</v>
      </c>
      <c r="P848" s="15" t="s">
        <v>415</v>
      </c>
      <c r="Q848" s="23" t="s">
        <v>838</v>
      </c>
      <c r="R848" s="25">
        <f>ROUND((K848*Parametros!$B$4+L848*Parametros!$B$5+M848*Parametros!$B$6+N848*Parametros!$B$7+O848*Parametros!$B$8)/SUM(Parametros!$B$4:$B$8),2)</f>
        <v>1.3</v>
      </c>
      <c r="S848" s="26">
        <f>IFERROR(INDEX(Parametros!$F$33:$F$42,MATCH(D848,Parametros!$A$33:$A$42,0)),1)</f>
        <v>1.0840000000000001</v>
      </c>
      <c r="T848" s="27">
        <f>IFERROR(INDEX(Parametros!$B$21:$B$26,MATCH(I848,Parametros!$A$21:$A$26,0)),0)</f>
        <v>0</v>
      </c>
      <c r="U848" s="28">
        <f t="shared" si="53"/>
        <v>1.41</v>
      </c>
      <c r="V848" s="9">
        <f>IF(U848&gt;=Parametros!$B$14,4,IF(U848&gt;=Parametros!$B$13,3,IF(U848&gt;=Parametros!$B$12,2,1)))</f>
        <v>1</v>
      </c>
      <c r="W848" s="5">
        <f>MAX(V848,IF(K848=5,Parametros!$B$17,0),IF(P848="Sim",Parametros!$B$18,0))</f>
        <v>1</v>
      </c>
      <c r="X848" s="5" t="str">
        <f t="shared" si="54"/>
        <v>Baixa</v>
      </c>
      <c r="Y848" s="29">
        <f t="shared" si="55"/>
        <v>1013.799152</v>
      </c>
      <c r="Z848" s="4" t="s">
        <v>659</v>
      </c>
    </row>
    <row r="849" spans="1:26" ht="28.05" customHeight="1" x14ac:dyDescent="0.3">
      <c r="A849" s="5">
        <f t="shared" si="52"/>
        <v>845</v>
      </c>
      <c r="B849" s="23" t="s">
        <v>1888</v>
      </c>
      <c r="C849" s="17" t="s">
        <v>1889</v>
      </c>
      <c r="D849" s="4" t="s">
        <v>50</v>
      </c>
      <c r="E849" s="4" t="s">
        <v>345</v>
      </c>
      <c r="F849" s="4" t="s">
        <v>345</v>
      </c>
      <c r="G849" s="4" t="s">
        <v>171</v>
      </c>
      <c r="H849" s="4" t="s">
        <v>172</v>
      </c>
      <c r="I849" s="24" t="s">
        <v>152</v>
      </c>
      <c r="J849" s="15">
        <v>3</v>
      </c>
      <c r="K849" s="15">
        <v>1</v>
      </c>
      <c r="L849" s="15">
        <v>1</v>
      </c>
      <c r="M849" s="15">
        <v>1</v>
      </c>
      <c r="N849" s="15">
        <v>1</v>
      </c>
      <c r="O849" s="15">
        <v>3</v>
      </c>
      <c r="P849" s="15" t="s">
        <v>415</v>
      </c>
      <c r="Q849" s="23" t="s">
        <v>838</v>
      </c>
      <c r="R849" s="25">
        <f>ROUND((K849*Parametros!$B$4+L849*Parametros!$B$5+M849*Parametros!$B$6+N849*Parametros!$B$7+O849*Parametros!$B$8)/SUM(Parametros!$B$4:$B$8),2)</f>
        <v>1.3</v>
      </c>
      <c r="S849" s="26">
        <f>IFERROR(INDEX(Parametros!$F$33:$F$42,MATCH(D849,Parametros!$A$33:$A$42,0)),1)</f>
        <v>1.0840000000000001</v>
      </c>
      <c r="T849" s="27">
        <f>IFERROR(INDEX(Parametros!$B$21:$B$26,MATCH(I849,Parametros!$A$21:$A$26,0)),0)</f>
        <v>0</v>
      </c>
      <c r="U849" s="28">
        <f t="shared" si="53"/>
        <v>1.41</v>
      </c>
      <c r="V849" s="9">
        <f>IF(U849&gt;=Parametros!$B$14,4,IF(U849&gt;=Parametros!$B$13,3,IF(U849&gt;=Parametros!$B$12,2,1)))</f>
        <v>1</v>
      </c>
      <c r="W849" s="5">
        <f>MAX(V849,IF(K849=5,Parametros!$B$17,0),IF(P849="Sim",Parametros!$B$18,0))</f>
        <v>1</v>
      </c>
      <c r="X849" s="5" t="str">
        <f t="shared" si="54"/>
        <v>Baixa</v>
      </c>
      <c r="Y849" s="29">
        <f t="shared" si="55"/>
        <v>1013.7991510000001</v>
      </c>
      <c r="Z849" s="4" t="s">
        <v>659</v>
      </c>
    </row>
    <row r="850" spans="1:26" ht="28.05" customHeight="1" x14ac:dyDescent="0.3">
      <c r="A850" s="5">
        <f t="shared" si="52"/>
        <v>846</v>
      </c>
      <c r="B850" s="23" t="s">
        <v>1890</v>
      </c>
      <c r="C850" s="17" t="s">
        <v>1891</v>
      </c>
      <c r="D850" s="4" t="s">
        <v>51</v>
      </c>
      <c r="E850" s="4" t="s">
        <v>194</v>
      </c>
      <c r="F850" s="4" t="s">
        <v>194</v>
      </c>
      <c r="G850" s="4" t="s">
        <v>171</v>
      </c>
      <c r="H850" s="4" t="s">
        <v>172</v>
      </c>
      <c r="I850" s="24" t="s">
        <v>152</v>
      </c>
      <c r="J850" s="15">
        <v>3</v>
      </c>
      <c r="K850" s="15">
        <v>1</v>
      </c>
      <c r="L850" s="15">
        <v>1</v>
      </c>
      <c r="M850" s="15">
        <v>1</v>
      </c>
      <c r="N850" s="15">
        <v>1</v>
      </c>
      <c r="O850" s="15">
        <v>3</v>
      </c>
      <c r="P850" s="15" t="s">
        <v>415</v>
      </c>
      <c r="Q850" s="23" t="s">
        <v>838</v>
      </c>
      <c r="R850" s="25">
        <f>ROUND((K850*Parametros!$B$4+L850*Parametros!$B$5+M850*Parametros!$B$6+N850*Parametros!$B$7+O850*Parametros!$B$8)/SUM(Parametros!$B$4:$B$8),2)</f>
        <v>1.3</v>
      </c>
      <c r="S850" s="26">
        <f>IFERROR(INDEX(Parametros!$F$33:$F$42,MATCH(D850,Parametros!$A$33:$A$42,0)),1)</f>
        <v>1.0669999999999999</v>
      </c>
      <c r="T850" s="27">
        <f>IFERROR(INDEX(Parametros!$B$21:$B$26,MATCH(I850,Parametros!$A$21:$A$26,0)),0)</f>
        <v>0</v>
      </c>
      <c r="U850" s="28">
        <f t="shared" si="53"/>
        <v>1.39</v>
      </c>
      <c r="V850" s="9">
        <f>IF(U850&gt;=Parametros!$B$14,4,IF(U850&gt;=Parametros!$B$13,3,IF(U850&gt;=Parametros!$B$12,2,1)))</f>
        <v>1</v>
      </c>
      <c r="W850" s="5">
        <f>MAX(V850,IF(K850=5,Parametros!$B$17,0),IF(P850="Sim",Parametros!$B$18,0))</f>
        <v>1</v>
      </c>
      <c r="X850" s="5" t="str">
        <f t="shared" si="54"/>
        <v>Baixa</v>
      </c>
      <c r="Y850" s="29">
        <f t="shared" si="55"/>
        <v>1013.59915</v>
      </c>
      <c r="Z850" s="4" t="s">
        <v>659</v>
      </c>
    </row>
    <row r="851" spans="1:26" ht="28.05" customHeight="1" x14ac:dyDescent="0.3">
      <c r="A851" s="5">
        <f t="shared" si="52"/>
        <v>847</v>
      </c>
      <c r="B851" s="23" t="s">
        <v>1892</v>
      </c>
      <c r="C851" s="17" t="s">
        <v>1893</v>
      </c>
      <c r="D851" s="4" t="s">
        <v>51</v>
      </c>
      <c r="E851" s="4" t="s">
        <v>82</v>
      </c>
      <c r="F851" s="4" t="s">
        <v>82</v>
      </c>
      <c r="G851" s="4" t="s">
        <v>171</v>
      </c>
      <c r="H851" s="4" t="s">
        <v>172</v>
      </c>
      <c r="I851" s="24" t="s">
        <v>152</v>
      </c>
      <c r="J851" s="15">
        <v>3</v>
      </c>
      <c r="K851" s="15">
        <v>1</v>
      </c>
      <c r="L851" s="15">
        <v>1</v>
      </c>
      <c r="M851" s="15">
        <v>1</v>
      </c>
      <c r="N851" s="15">
        <v>1</v>
      </c>
      <c r="O851" s="15">
        <v>3</v>
      </c>
      <c r="P851" s="15" t="s">
        <v>415</v>
      </c>
      <c r="Q851" s="23" t="s">
        <v>838</v>
      </c>
      <c r="R851" s="25">
        <f>ROUND((K851*Parametros!$B$4+L851*Parametros!$B$5+M851*Parametros!$B$6+N851*Parametros!$B$7+O851*Parametros!$B$8)/SUM(Parametros!$B$4:$B$8),2)</f>
        <v>1.3</v>
      </c>
      <c r="S851" s="26">
        <f>IFERROR(INDEX(Parametros!$F$33:$F$42,MATCH(D851,Parametros!$A$33:$A$42,0)),1)</f>
        <v>1.0669999999999999</v>
      </c>
      <c r="T851" s="27">
        <f>IFERROR(INDEX(Parametros!$B$21:$B$26,MATCH(I851,Parametros!$A$21:$A$26,0)),0)</f>
        <v>0</v>
      </c>
      <c r="U851" s="28">
        <f t="shared" si="53"/>
        <v>1.39</v>
      </c>
      <c r="V851" s="9">
        <f>IF(U851&gt;=Parametros!$B$14,4,IF(U851&gt;=Parametros!$B$13,3,IF(U851&gt;=Parametros!$B$12,2,1)))</f>
        <v>1</v>
      </c>
      <c r="W851" s="5">
        <f>MAX(V851,IF(K851=5,Parametros!$B$17,0),IF(P851="Sim",Parametros!$B$18,0))</f>
        <v>1</v>
      </c>
      <c r="X851" s="5" t="str">
        <f t="shared" si="54"/>
        <v>Baixa</v>
      </c>
      <c r="Y851" s="29">
        <f t="shared" si="55"/>
        <v>1013.599149</v>
      </c>
      <c r="Z851" s="4" t="s">
        <v>659</v>
      </c>
    </row>
    <row r="852" spans="1:26" ht="28.05" customHeight="1" x14ac:dyDescent="0.3">
      <c r="A852" s="5">
        <f t="shared" si="52"/>
        <v>848</v>
      </c>
      <c r="B852" s="23" t="s">
        <v>1894</v>
      </c>
      <c r="C852" s="17" t="s">
        <v>1895</v>
      </c>
      <c r="D852" s="4" t="s">
        <v>51</v>
      </c>
      <c r="E852" s="4" t="s">
        <v>194</v>
      </c>
      <c r="F852" s="4" t="s">
        <v>194</v>
      </c>
      <c r="G852" s="4" t="s">
        <v>171</v>
      </c>
      <c r="H852" s="4" t="s">
        <v>172</v>
      </c>
      <c r="I852" s="24" t="s">
        <v>131</v>
      </c>
      <c r="J852" s="15">
        <v>3</v>
      </c>
      <c r="K852" s="15">
        <v>1</v>
      </c>
      <c r="L852" s="15">
        <v>1</v>
      </c>
      <c r="M852" s="15">
        <v>1</v>
      </c>
      <c r="N852" s="15">
        <v>1</v>
      </c>
      <c r="O852" s="15">
        <v>3</v>
      </c>
      <c r="P852" s="15" t="s">
        <v>415</v>
      </c>
      <c r="Q852" s="23" t="s">
        <v>838</v>
      </c>
      <c r="R852" s="25">
        <f>ROUND((K852*Parametros!$B$4+L852*Parametros!$B$5+M852*Parametros!$B$6+N852*Parametros!$B$7+O852*Parametros!$B$8)/SUM(Parametros!$B$4:$B$8),2)</f>
        <v>1.3</v>
      </c>
      <c r="S852" s="26">
        <f>IFERROR(INDEX(Parametros!$F$33:$F$42,MATCH(D852,Parametros!$A$33:$A$42,0)),1)</f>
        <v>1.0669999999999999</v>
      </c>
      <c r="T852" s="27">
        <f>IFERROR(INDEX(Parametros!$B$21:$B$26,MATCH(I852,Parametros!$A$21:$A$26,0)),0)</f>
        <v>0</v>
      </c>
      <c r="U852" s="28">
        <f t="shared" si="53"/>
        <v>1.39</v>
      </c>
      <c r="V852" s="9">
        <f>IF(U852&gt;=Parametros!$B$14,4,IF(U852&gt;=Parametros!$B$13,3,IF(U852&gt;=Parametros!$B$12,2,1)))</f>
        <v>1</v>
      </c>
      <c r="W852" s="5">
        <f>MAX(V852,IF(K852=5,Parametros!$B$17,0),IF(P852="Sim",Parametros!$B$18,0))</f>
        <v>1</v>
      </c>
      <c r="X852" s="5" t="str">
        <f t="shared" si="54"/>
        <v>Baixa</v>
      </c>
      <c r="Y852" s="29">
        <f t="shared" si="55"/>
        <v>1013.599148</v>
      </c>
      <c r="Z852" s="4" t="s">
        <v>659</v>
      </c>
    </row>
    <row r="853" spans="1:26" ht="28.05" customHeight="1" x14ac:dyDescent="0.3">
      <c r="A853" s="5">
        <f t="shared" si="52"/>
        <v>849</v>
      </c>
      <c r="B853" s="23" t="s">
        <v>1896</v>
      </c>
      <c r="C853" s="17" t="s">
        <v>1897</v>
      </c>
      <c r="D853" s="4" t="s">
        <v>53</v>
      </c>
      <c r="E853" s="4" t="s">
        <v>64</v>
      </c>
      <c r="F853" s="4" t="s">
        <v>64</v>
      </c>
      <c r="G853" s="4" t="s">
        <v>184</v>
      </c>
      <c r="H853" s="4" t="s">
        <v>185</v>
      </c>
      <c r="I853" s="24" t="s">
        <v>131</v>
      </c>
      <c r="J853" s="15">
        <v>2</v>
      </c>
      <c r="K853" s="15">
        <v>1</v>
      </c>
      <c r="L853" s="15">
        <v>1</v>
      </c>
      <c r="M853" s="15">
        <v>1</v>
      </c>
      <c r="N853" s="15">
        <v>1</v>
      </c>
      <c r="O853" s="15">
        <v>3</v>
      </c>
      <c r="P853" s="15" t="s">
        <v>415</v>
      </c>
      <c r="Q853" s="23" t="s">
        <v>838</v>
      </c>
      <c r="R853" s="25">
        <f>ROUND((K853*Parametros!$B$4+L853*Parametros!$B$5+M853*Parametros!$B$6+N853*Parametros!$B$7+O853*Parametros!$B$8)/SUM(Parametros!$B$4:$B$8),2)</f>
        <v>1.3</v>
      </c>
      <c r="S853" s="26">
        <f>IFERROR(INDEX(Parametros!$F$33:$F$42,MATCH(D853,Parametros!$A$33:$A$42,0)),1)</f>
        <v>1.05</v>
      </c>
      <c r="T853" s="27">
        <f>IFERROR(INDEX(Parametros!$B$21:$B$26,MATCH(I853,Parametros!$A$21:$A$26,0)),0)</f>
        <v>0</v>
      </c>
      <c r="U853" s="28">
        <f t="shared" si="53"/>
        <v>1.37</v>
      </c>
      <c r="V853" s="9">
        <f>IF(U853&gt;=Parametros!$B$14,4,IF(U853&gt;=Parametros!$B$13,3,IF(U853&gt;=Parametros!$B$12,2,1)))</f>
        <v>1</v>
      </c>
      <c r="W853" s="5">
        <f>MAX(V853,IF(K853=5,Parametros!$B$17,0),IF(P853="Sim",Parametros!$B$18,0))</f>
        <v>1</v>
      </c>
      <c r="X853" s="5" t="str">
        <f t="shared" si="54"/>
        <v>Baixa</v>
      </c>
      <c r="Y853" s="29">
        <f t="shared" si="55"/>
        <v>1013.499147</v>
      </c>
      <c r="Z853" s="4" t="s">
        <v>659</v>
      </c>
    </row>
    <row r="854" spans="1:26" ht="28.05" customHeight="1" x14ac:dyDescent="0.3">
      <c r="A854" s="5">
        <f t="shared" si="52"/>
        <v>850</v>
      </c>
      <c r="B854" s="23" t="s">
        <v>1898</v>
      </c>
      <c r="C854" s="17" t="s">
        <v>1899</v>
      </c>
      <c r="D854" s="4" t="s">
        <v>53</v>
      </c>
      <c r="E854" s="4" t="s">
        <v>64</v>
      </c>
      <c r="F854" s="4" t="s">
        <v>64</v>
      </c>
      <c r="G854" s="4" t="s">
        <v>171</v>
      </c>
      <c r="H854" s="4" t="s">
        <v>172</v>
      </c>
      <c r="I854" s="24" t="s">
        <v>131</v>
      </c>
      <c r="J854" s="15">
        <v>2</v>
      </c>
      <c r="K854" s="15">
        <v>1</v>
      </c>
      <c r="L854" s="15">
        <v>1</v>
      </c>
      <c r="M854" s="15">
        <v>1</v>
      </c>
      <c r="N854" s="15">
        <v>1</v>
      </c>
      <c r="O854" s="15">
        <v>3</v>
      </c>
      <c r="P854" s="15" t="s">
        <v>415</v>
      </c>
      <c r="Q854" s="23" t="s">
        <v>838</v>
      </c>
      <c r="R854" s="25">
        <f>ROUND((K854*Parametros!$B$4+L854*Parametros!$B$5+M854*Parametros!$B$6+N854*Parametros!$B$7+O854*Parametros!$B$8)/SUM(Parametros!$B$4:$B$8),2)</f>
        <v>1.3</v>
      </c>
      <c r="S854" s="26">
        <f>IFERROR(INDEX(Parametros!$F$33:$F$42,MATCH(D854,Parametros!$A$33:$A$42,0)),1)</f>
        <v>1.05</v>
      </c>
      <c r="T854" s="27">
        <f>IFERROR(INDEX(Parametros!$B$21:$B$26,MATCH(I854,Parametros!$A$21:$A$26,0)),0)</f>
        <v>0</v>
      </c>
      <c r="U854" s="28">
        <f t="shared" si="53"/>
        <v>1.37</v>
      </c>
      <c r="V854" s="9">
        <f>IF(U854&gt;=Parametros!$B$14,4,IF(U854&gt;=Parametros!$B$13,3,IF(U854&gt;=Parametros!$B$12,2,1)))</f>
        <v>1</v>
      </c>
      <c r="W854" s="5">
        <f>MAX(V854,IF(K854=5,Parametros!$B$17,0),IF(P854="Sim",Parametros!$B$18,0))</f>
        <v>1</v>
      </c>
      <c r="X854" s="5" t="str">
        <f t="shared" si="54"/>
        <v>Baixa</v>
      </c>
      <c r="Y854" s="29">
        <f t="shared" si="55"/>
        <v>1013.499146</v>
      </c>
      <c r="Z854" s="4" t="s">
        <v>659</v>
      </c>
    </row>
    <row r="855" spans="1:26" ht="28.05" customHeight="1" x14ac:dyDescent="0.3">
      <c r="A855" s="5">
        <f t="shared" si="52"/>
        <v>851</v>
      </c>
      <c r="B855" s="23" t="s">
        <v>1900</v>
      </c>
      <c r="C855" s="17" t="s">
        <v>1901</v>
      </c>
      <c r="D855" s="4" t="s">
        <v>52</v>
      </c>
      <c r="E855" s="4" t="s">
        <v>66</v>
      </c>
      <c r="F855" s="4" t="s">
        <v>66</v>
      </c>
      <c r="G855" s="4" t="s">
        <v>171</v>
      </c>
      <c r="H855" s="4" t="s">
        <v>172</v>
      </c>
      <c r="I855" s="24" t="s">
        <v>152</v>
      </c>
      <c r="J855" s="15">
        <v>2</v>
      </c>
      <c r="K855" s="15">
        <v>1</v>
      </c>
      <c r="L855" s="15">
        <v>1</v>
      </c>
      <c r="M855" s="15">
        <v>1</v>
      </c>
      <c r="N855" s="15">
        <v>1</v>
      </c>
      <c r="O855" s="15">
        <v>3</v>
      </c>
      <c r="P855" s="15" t="s">
        <v>415</v>
      </c>
      <c r="Q855" s="23" t="s">
        <v>838</v>
      </c>
      <c r="R855" s="25">
        <f>ROUND((K855*Parametros!$B$4+L855*Parametros!$B$5+M855*Parametros!$B$6+N855*Parametros!$B$7+O855*Parametros!$B$8)/SUM(Parametros!$B$4:$B$8),2)</f>
        <v>1.3</v>
      </c>
      <c r="S855" s="26">
        <f>IFERROR(INDEX(Parametros!$F$33:$F$42,MATCH(D855,Parametros!$A$33:$A$42,0)),1)</f>
        <v>1.05</v>
      </c>
      <c r="T855" s="27">
        <f>IFERROR(INDEX(Parametros!$B$21:$B$26,MATCH(I855,Parametros!$A$21:$A$26,0)),0)</f>
        <v>0</v>
      </c>
      <c r="U855" s="28">
        <f t="shared" si="53"/>
        <v>1.37</v>
      </c>
      <c r="V855" s="9">
        <f>IF(U855&gt;=Parametros!$B$14,4,IF(U855&gt;=Parametros!$B$13,3,IF(U855&gt;=Parametros!$B$12,2,1)))</f>
        <v>1</v>
      </c>
      <c r="W855" s="5">
        <f>MAX(V855,IF(K855=5,Parametros!$B$17,0),IF(P855="Sim",Parametros!$B$18,0))</f>
        <v>1</v>
      </c>
      <c r="X855" s="5" t="str">
        <f t="shared" si="54"/>
        <v>Baixa</v>
      </c>
      <c r="Y855" s="29">
        <f t="shared" si="55"/>
        <v>1013.499145</v>
      </c>
      <c r="Z855" s="4" t="s">
        <v>659</v>
      </c>
    </row>
    <row r="856" spans="1:26" ht="28.05" customHeight="1" x14ac:dyDescent="0.3">
      <c r="A856" s="5">
        <f t="shared" si="52"/>
        <v>852</v>
      </c>
      <c r="B856" s="23" t="s">
        <v>1902</v>
      </c>
      <c r="C856" s="17" t="s">
        <v>1903</v>
      </c>
      <c r="D856" s="4" t="s">
        <v>52</v>
      </c>
      <c r="E856" s="4" t="s">
        <v>66</v>
      </c>
      <c r="F856" s="4" t="s">
        <v>66</v>
      </c>
      <c r="G856" s="4" t="s">
        <v>171</v>
      </c>
      <c r="H856" s="4" t="s">
        <v>172</v>
      </c>
      <c r="I856" s="24" t="s">
        <v>152</v>
      </c>
      <c r="J856" s="15">
        <v>2</v>
      </c>
      <c r="K856" s="15">
        <v>1</v>
      </c>
      <c r="L856" s="15">
        <v>1</v>
      </c>
      <c r="M856" s="15">
        <v>1</v>
      </c>
      <c r="N856" s="15">
        <v>1</v>
      </c>
      <c r="O856" s="15">
        <v>3</v>
      </c>
      <c r="P856" s="15" t="s">
        <v>415</v>
      </c>
      <c r="Q856" s="23" t="s">
        <v>838</v>
      </c>
      <c r="R856" s="25">
        <f>ROUND((K856*Parametros!$B$4+L856*Parametros!$B$5+M856*Parametros!$B$6+N856*Parametros!$B$7+O856*Parametros!$B$8)/SUM(Parametros!$B$4:$B$8),2)</f>
        <v>1.3</v>
      </c>
      <c r="S856" s="26">
        <f>IFERROR(INDEX(Parametros!$F$33:$F$42,MATCH(D856,Parametros!$A$33:$A$42,0)),1)</f>
        <v>1.05</v>
      </c>
      <c r="T856" s="27">
        <f>IFERROR(INDEX(Parametros!$B$21:$B$26,MATCH(I856,Parametros!$A$21:$A$26,0)),0)</f>
        <v>0</v>
      </c>
      <c r="U856" s="28">
        <f t="shared" si="53"/>
        <v>1.37</v>
      </c>
      <c r="V856" s="9">
        <f>IF(U856&gt;=Parametros!$B$14,4,IF(U856&gt;=Parametros!$B$13,3,IF(U856&gt;=Parametros!$B$12,2,1)))</f>
        <v>1</v>
      </c>
      <c r="W856" s="5">
        <f>MAX(V856,IF(K856=5,Parametros!$B$17,0),IF(P856="Sim",Parametros!$B$18,0))</f>
        <v>1</v>
      </c>
      <c r="X856" s="5" t="str">
        <f t="shared" si="54"/>
        <v>Baixa</v>
      </c>
      <c r="Y856" s="29">
        <f t="shared" si="55"/>
        <v>1013.499144</v>
      </c>
      <c r="Z856" s="4" t="s">
        <v>659</v>
      </c>
    </row>
    <row r="857" spans="1:26" ht="28.05" customHeight="1" x14ac:dyDescent="0.3">
      <c r="A857" s="5">
        <f t="shared" si="52"/>
        <v>853</v>
      </c>
      <c r="B857" s="23" t="s">
        <v>1904</v>
      </c>
      <c r="C857" s="17" t="s">
        <v>1905</v>
      </c>
      <c r="D857" s="4" t="s">
        <v>53</v>
      </c>
      <c r="E857" s="4" t="s">
        <v>64</v>
      </c>
      <c r="F857" s="4" t="s">
        <v>64</v>
      </c>
      <c r="G857" s="4" t="s">
        <v>184</v>
      </c>
      <c r="H857" s="4" t="s">
        <v>185</v>
      </c>
      <c r="I857" s="24" t="s">
        <v>152</v>
      </c>
      <c r="J857" s="15">
        <v>3</v>
      </c>
      <c r="K857" s="15">
        <v>1</v>
      </c>
      <c r="L857" s="15">
        <v>1</v>
      </c>
      <c r="M857" s="15">
        <v>1</v>
      </c>
      <c r="N857" s="15">
        <v>1</v>
      </c>
      <c r="O857" s="15">
        <v>3</v>
      </c>
      <c r="P857" s="15" t="s">
        <v>415</v>
      </c>
      <c r="Q857" s="23" t="s">
        <v>838</v>
      </c>
      <c r="R857" s="25">
        <f>ROUND((K857*Parametros!$B$4+L857*Parametros!$B$5+M857*Parametros!$B$6+N857*Parametros!$B$7+O857*Parametros!$B$8)/SUM(Parametros!$B$4:$B$8),2)</f>
        <v>1.3</v>
      </c>
      <c r="S857" s="26">
        <f>IFERROR(INDEX(Parametros!$F$33:$F$42,MATCH(D857,Parametros!$A$33:$A$42,0)),1)</f>
        <v>1.05</v>
      </c>
      <c r="T857" s="27">
        <f>IFERROR(INDEX(Parametros!$B$21:$B$26,MATCH(I857,Parametros!$A$21:$A$26,0)),0)</f>
        <v>0</v>
      </c>
      <c r="U857" s="28">
        <f t="shared" si="53"/>
        <v>1.37</v>
      </c>
      <c r="V857" s="9">
        <f>IF(U857&gt;=Parametros!$B$14,4,IF(U857&gt;=Parametros!$B$13,3,IF(U857&gt;=Parametros!$B$12,2,1)))</f>
        <v>1</v>
      </c>
      <c r="W857" s="5">
        <f>MAX(V857,IF(K857=5,Parametros!$B$17,0),IF(P857="Sim",Parametros!$B$18,0))</f>
        <v>1</v>
      </c>
      <c r="X857" s="5" t="str">
        <f t="shared" si="54"/>
        <v>Baixa</v>
      </c>
      <c r="Y857" s="29">
        <f t="shared" si="55"/>
        <v>1013.3991430000001</v>
      </c>
      <c r="Z857" s="4" t="s">
        <v>659</v>
      </c>
    </row>
    <row r="858" spans="1:26" ht="28.05" customHeight="1" x14ac:dyDescent="0.3">
      <c r="A858" s="5">
        <f t="shared" si="52"/>
        <v>854</v>
      </c>
      <c r="B858" s="23" t="s">
        <v>1906</v>
      </c>
      <c r="C858" s="17" t="s">
        <v>1907</v>
      </c>
      <c r="D858" s="4" t="s">
        <v>52</v>
      </c>
      <c r="E858" s="4" t="s">
        <v>66</v>
      </c>
      <c r="F858" s="4" t="s">
        <v>66</v>
      </c>
      <c r="G858" s="4" t="s">
        <v>171</v>
      </c>
      <c r="H858" s="4" t="s">
        <v>172</v>
      </c>
      <c r="I858" s="24" t="s">
        <v>152</v>
      </c>
      <c r="J858" s="15">
        <v>3</v>
      </c>
      <c r="K858" s="15">
        <v>1</v>
      </c>
      <c r="L858" s="15">
        <v>1</v>
      </c>
      <c r="M858" s="15">
        <v>1</v>
      </c>
      <c r="N858" s="15">
        <v>1</v>
      </c>
      <c r="O858" s="15">
        <v>3</v>
      </c>
      <c r="P858" s="15" t="s">
        <v>415</v>
      </c>
      <c r="Q858" s="23" t="s">
        <v>838</v>
      </c>
      <c r="R858" s="25">
        <f>ROUND((K858*Parametros!$B$4+L858*Parametros!$B$5+M858*Parametros!$B$6+N858*Parametros!$B$7+O858*Parametros!$B$8)/SUM(Parametros!$B$4:$B$8),2)</f>
        <v>1.3</v>
      </c>
      <c r="S858" s="26">
        <f>IFERROR(INDEX(Parametros!$F$33:$F$42,MATCH(D858,Parametros!$A$33:$A$42,0)),1)</f>
        <v>1.05</v>
      </c>
      <c r="T858" s="27">
        <f>IFERROR(INDEX(Parametros!$B$21:$B$26,MATCH(I858,Parametros!$A$21:$A$26,0)),0)</f>
        <v>0</v>
      </c>
      <c r="U858" s="28">
        <f t="shared" si="53"/>
        <v>1.37</v>
      </c>
      <c r="V858" s="9">
        <f>IF(U858&gt;=Parametros!$B$14,4,IF(U858&gt;=Parametros!$B$13,3,IF(U858&gt;=Parametros!$B$12,2,1)))</f>
        <v>1</v>
      </c>
      <c r="W858" s="5">
        <f>MAX(V858,IF(K858=5,Parametros!$B$17,0),IF(P858="Sim",Parametros!$B$18,0))</f>
        <v>1</v>
      </c>
      <c r="X858" s="5" t="str">
        <f t="shared" si="54"/>
        <v>Baixa</v>
      </c>
      <c r="Y858" s="29">
        <f t="shared" si="55"/>
        <v>1013.3991420000001</v>
      </c>
      <c r="Z858" s="4" t="s">
        <v>659</v>
      </c>
    </row>
    <row r="859" spans="1:26" ht="28.05" customHeight="1" x14ac:dyDescent="0.3">
      <c r="A859" s="5">
        <f t="shared" si="52"/>
        <v>855</v>
      </c>
      <c r="B859" s="23" t="s">
        <v>1908</v>
      </c>
      <c r="C859" s="17" t="s">
        <v>1909</v>
      </c>
      <c r="D859" s="4" t="s">
        <v>51</v>
      </c>
      <c r="E859" s="4" t="s">
        <v>170</v>
      </c>
      <c r="F859" s="4" t="s">
        <v>170</v>
      </c>
      <c r="G859" s="4" t="s">
        <v>171</v>
      </c>
      <c r="H859" s="4" t="s">
        <v>172</v>
      </c>
      <c r="I859" s="24" t="s">
        <v>152</v>
      </c>
      <c r="J859" s="15">
        <v>5</v>
      </c>
      <c r="K859" s="15">
        <v>1</v>
      </c>
      <c r="L859" s="15">
        <v>1</v>
      </c>
      <c r="M859" s="15">
        <v>1</v>
      </c>
      <c r="N859" s="15">
        <v>1</v>
      </c>
      <c r="O859" s="15">
        <v>3</v>
      </c>
      <c r="P859" s="15" t="s">
        <v>415</v>
      </c>
      <c r="Q859" s="23" t="s">
        <v>838</v>
      </c>
      <c r="R859" s="25">
        <f>ROUND((K859*Parametros!$B$4+L859*Parametros!$B$5+M859*Parametros!$B$6+N859*Parametros!$B$7+O859*Parametros!$B$8)/SUM(Parametros!$B$4:$B$8),2)</f>
        <v>1.3</v>
      </c>
      <c r="S859" s="26">
        <f>IFERROR(INDEX(Parametros!$F$33:$F$42,MATCH(D859,Parametros!$A$33:$A$42,0)),1)</f>
        <v>1.0669999999999999</v>
      </c>
      <c r="T859" s="27">
        <f>IFERROR(INDEX(Parametros!$B$21:$B$26,MATCH(I859,Parametros!$A$21:$A$26,0)),0)</f>
        <v>0</v>
      </c>
      <c r="U859" s="28">
        <f t="shared" si="53"/>
        <v>1.39</v>
      </c>
      <c r="V859" s="9">
        <f>IF(U859&gt;=Parametros!$B$14,4,IF(U859&gt;=Parametros!$B$13,3,IF(U859&gt;=Parametros!$B$12,2,1)))</f>
        <v>1</v>
      </c>
      <c r="W859" s="5">
        <f>MAX(V859,IF(K859=5,Parametros!$B$17,0),IF(P859="Sim",Parametros!$B$18,0))</f>
        <v>1</v>
      </c>
      <c r="X859" s="5" t="str">
        <f t="shared" si="54"/>
        <v>Baixa</v>
      </c>
      <c r="Y859" s="29">
        <f t="shared" si="55"/>
        <v>1013.399141</v>
      </c>
      <c r="Z859" s="4" t="s">
        <v>659</v>
      </c>
    </row>
    <row r="860" spans="1:26" ht="28.05" customHeight="1" x14ac:dyDescent="0.3">
      <c r="A860" s="5">
        <f t="shared" si="52"/>
        <v>856</v>
      </c>
      <c r="B860" s="23" t="s">
        <v>1910</v>
      </c>
      <c r="C860" s="17" t="s">
        <v>1911</v>
      </c>
      <c r="D860" s="4" t="s">
        <v>52</v>
      </c>
      <c r="E860" s="4" t="s">
        <v>66</v>
      </c>
      <c r="F860" s="4" t="s">
        <v>66</v>
      </c>
      <c r="G860" s="4" t="s">
        <v>171</v>
      </c>
      <c r="H860" s="4" t="s">
        <v>172</v>
      </c>
      <c r="I860" s="24" t="s">
        <v>359</v>
      </c>
      <c r="J860" s="15">
        <v>2</v>
      </c>
      <c r="K860" s="15">
        <v>2</v>
      </c>
      <c r="L860" s="15">
        <v>1</v>
      </c>
      <c r="M860" s="15">
        <v>1</v>
      </c>
      <c r="N860" s="15">
        <v>1</v>
      </c>
      <c r="O860" s="15">
        <v>2</v>
      </c>
      <c r="P860" s="15" t="s">
        <v>415</v>
      </c>
      <c r="Q860" s="23" t="s">
        <v>838</v>
      </c>
      <c r="R860" s="25">
        <f>ROUND((K860*Parametros!$B$4+L860*Parametros!$B$5+M860*Parametros!$B$6+N860*Parametros!$B$7+O860*Parametros!$B$8)/SUM(Parametros!$B$4:$B$8),2)</f>
        <v>1.45</v>
      </c>
      <c r="S860" s="26">
        <f>IFERROR(INDEX(Parametros!$F$33:$F$42,MATCH(D860,Parametros!$A$33:$A$42,0)),1)</f>
        <v>1.05</v>
      </c>
      <c r="T860" s="27">
        <f>IFERROR(INDEX(Parametros!$B$21:$B$26,MATCH(I860,Parametros!$A$21:$A$26,0)),0)</f>
        <v>-0.2</v>
      </c>
      <c r="U860" s="28">
        <f t="shared" si="53"/>
        <v>1.32</v>
      </c>
      <c r="V860" s="9">
        <f>IF(U860&gt;=Parametros!$B$14,4,IF(U860&gt;=Parametros!$B$13,3,IF(U860&gt;=Parametros!$B$12,2,1)))</f>
        <v>1</v>
      </c>
      <c r="W860" s="5">
        <f>MAX(V860,IF(K860=5,Parametros!$B$17,0),IF(P860="Sim",Parametros!$B$18,0))</f>
        <v>1</v>
      </c>
      <c r="X860" s="5" t="str">
        <f t="shared" si="54"/>
        <v>Baixa</v>
      </c>
      <c r="Y860" s="29">
        <f t="shared" si="55"/>
        <v>1012.99914</v>
      </c>
      <c r="Z860" s="4" t="s">
        <v>1410</v>
      </c>
    </row>
    <row r="861" spans="1:26" ht="28.05" customHeight="1" x14ac:dyDescent="0.3">
      <c r="A861" s="5">
        <f t="shared" si="52"/>
        <v>857</v>
      </c>
      <c r="B861" s="23" t="s">
        <v>1912</v>
      </c>
      <c r="C861" s="17" t="s">
        <v>1913</v>
      </c>
      <c r="D861" s="4" t="s">
        <v>48</v>
      </c>
      <c r="E861" s="4" t="s">
        <v>85</v>
      </c>
      <c r="F861" s="4" t="s">
        <v>85</v>
      </c>
      <c r="G861" s="4" t="s">
        <v>171</v>
      </c>
      <c r="H861" s="4" t="s">
        <v>172</v>
      </c>
      <c r="I861" s="24" t="s">
        <v>954</v>
      </c>
      <c r="J861" s="15">
        <v>2</v>
      </c>
      <c r="K861" s="15">
        <v>2</v>
      </c>
      <c r="L861" s="15">
        <v>1</v>
      </c>
      <c r="M861" s="15">
        <v>1</v>
      </c>
      <c r="N861" s="15">
        <v>1</v>
      </c>
      <c r="O861" s="15">
        <v>2</v>
      </c>
      <c r="P861" s="15" t="s">
        <v>415</v>
      </c>
      <c r="Q861" s="23" t="s">
        <v>838</v>
      </c>
      <c r="R861" s="25">
        <f>ROUND((K861*Parametros!$B$4+L861*Parametros!$B$5+M861*Parametros!$B$6+N861*Parametros!$B$7+O861*Parametros!$B$8)/SUM(Parametros!$B$4:$B$8),2)</f>
        <v>1.45</v>
      </c>
      <c r="S861" s="26">
        <f>IFERROR(INDEX(Parametros!$F$33:$F$42,MATCH(D861,Parametros!$A$33:$A$42,0)),1)</f>
        <v>1.1000000000000001</v>
      </c>
      <c r="T861" s="27">
        <f>IFERROR(INDEX(Parametros!$B$21:$B$26,MATCH(I861,Parametros!$A$21:$A$26,0)),0)</f>
        <v>-0.3</v>
      </c>
      <c r="U861" s="28">
        <f t="shared" si="53"/>
        <v>1.3</v>
      </c>
      <c r="V861" s="9">
        <f>IF(U861&gt;=Parametros!$B$14,4,IF(U861&gt;=Parametros!$B$13,3,IF(U861&gt;=Parametros!$B$12,2,1)))</f>
        <v>1</v>
      </c>
      <c r="W861" s="5">
        <f>MAX(V861,IF(K861=5,Parametros!$B$17,0),IF(P861="Sim",Parametros!$B$18,0))</f>
        <v>1</v>
      </c>
      <c r="X861" s="5" t="str">
        <f t="shared" si="54"/>
        <v>Baixa</v>
      </c>
      <c r="Y861" s="29">
        <f t="shared" si="55"/>
        <v>1012.799139</v>
      </c>
      <c r="Z861" s="4" t="s">
        <v>1213</v>
      </c>
    </row>
    <row r="862" spans="1:26" ht="28.05" customHeight="1" x14ac:dyDescent="0.3">
      <c r="A862" s="5">
        <f t="shared" si="52"/>
        <v>858</v>
      </c>
      <c r="B862" s="23" t="s">
        <v>1914</v>
      </c>
      <c r="C862" s="17" t="s">
        <v>1913</v>
      </c>
      <c r="D862" s="4" t="s">
        <v>49</v>
      </c>
      <c r="E862" s="4" t="s">
        <v>85</v>
      </c>
      <c r="F862" s="4" t="s">
        <v>85</v>
      </c>
      <c r="G862" s="4" t="s">
        <v>171</v>
      </c>
      <c r="H862" s="4" t="s">
        <v>172</v>
      </c>
      <c r="I862" s="24" t="s">
        <v>954</v>
      </c>
      <c r="J862" s="15">
        <v>2</v>
      </c>
      <c r="K862" s="15">
        <v>2</v>
      </c>
      <c r="L862" s="15">
        <v>1</v>
      </c>
      <c r="M862" s="15">
        <v>1</v>
      </c>
      <c r="N862" s="15">
        <v>1</v>
      </c>
      <c r="O862" s="15">
        <v>2</v>
      </c>
      <c r="P862" s="15" t="s">
        <v>415</v>
      </c>
      <c r="Q862" s="23" t="s">
        <v>838</v>
      </c>
      <c r="R862" s="25">
        <f>ROUND((K862*Parametros!$B$4+L862*Parametros!$B$5+M862*Parametros!$B$6+N862*Parametros!$B$7+O862*Parametros!$B$8)/SUM(Parametros!$B$4:$B$8),2)</f>
        <v>1.45</v>
      </c>
      <c r="S862" s="26">
        <f>IFERROR(INDEX(Parametros!$F$33:$F$42,MATCH(D862,Parametros!$A$33:$A$42,0)),1)</f>
        <v>1.1000000000000001</v>
      </c>
      <c r="T862" s="27">
        <f>IFERROR(INDEX(Parametros!$B$21:$B$26,MATCH(I862,Parametros!$A$21:$A$26,0)),0)</f>
        <v>-0.3</v>
      </c>
      <c r="U862" s="28">
        <f t="shared" si="53"/>
        <v>1.3</v>
      </c>
      <c r="V862" s="9">
        <f>IF(U862&gt;=Parametros!$B$14,4,IF(U862&gt;=Parametros!$B$13,3,IF(U862&gt;=Parametros!$B$12,2,1)))</f>
        <v>1</v>
      </c>
      <c r="W862" s="5">
        <f>MAX(V862,IF(K862=5,Parametros!$B$17,0),IF(P862="Sim",Parametros!$B$18,0))</f>
        <v>1</v>
      </c>
      <c r="X862" s="5" t="str">
        <f t="shared" si="54"/>
        <v>Baixa</v>
      </c>
      <c r="Y862" s="29">
        <f t="shared" si="55"/>
        <v>1012.799138</v>
      </c>
      <c r="Z862" s="4" t="s">
        <v>1213</v>
      </c>
    </row>
    <row r="863" spans="1:26" ht="28.05" customHeight="1" x14ac:dyDescent="0.3">
      <c r="A863" s="5">
        <f t="shared" si="52"/>
        <v>859</v>
      </c>
      <c r="B863" s="23" t="s">
        <v>1915</v>
      </c>
      <c r="C863" s="17" t="s">
        <v>1916</v>
      </c>
      <c r="D863" s="4" t="s">
        <v>49</v>
      </c>
      <c r="E863" s="4" t="s">
        <v>85</v>
      </c>
      <c r="F863" s="4" t="s">
        <v>85</v>
      </c>
      <c r="G863" s="4" t="s">
        <v>171</v>
      </c>
      <c r="H863" s="4" t="s">
        <v>172</v>
      </c>
      <c r="I863" s="24" t="s">
        <v>954</v>
      </c>
      <c r="J863" s="15">
        <v>2</v>
      </c>
      <c r="K863" s="15">
        <v>2</v>
      </c>
      <c r="L863" s="15">
        <v>1</v>
      </c>
      <c r="M863" s="15">
        <v>1</v>
      </c>
      <c r="N863" s="15">
        <v>1</v>
      </c>
      <c r="O863" s="15">
        <v>2</v>
      </c>
      <c r="P863" s="15" t="s">
        <v>415</v>
      </c>
      <c r="Q863" s="23" t="s">
        <v>838</v>
      </c>
      <c r="R863" s="25">
        <f>ROUND((K863*Parametros!$B$4+L863*Parametros!$B$5+M863*Parametros!$B$6+N863*Parametros!$B$7+O863*Parametros!$B$8)/SUM(Parametros!$B$4:$B$8),2)</f>
        <v>1.45</v>
      </c>
      <c r="S863" s="26">
        <f>IFERROR(INDEX(Parametros!$F$33:$F$42,MATCH(D863,Parametros!$A$33:$A$42,0)),1)</f>
        <v>1.1000000000000001</v>
      </c>
      <c r="T863" s="27">
        <f>IFERROR(INDEX(Parametros!$B$21:$B$26,MATCH(I863,Parametros!$A$21:$A$26,0)),0)</f>
        <v>-0.3</v>
      </c>
      <c r="U863" s="28">
        <f t="shared" si="53"/>
        <v>1.3</v>
      </c>
      <c r="V863" s="9">
        <f>IF(U863&gt;=Parametros!$B$14,4,IF(U863&gt;=Parametros!$B$13,3,IF(U863&gt;=Parametros!$B$12,2,1)))</f>
        <v>1</v>
      </c>
      <c r="W863" s="5">
        <f>MAX(V863,IF(K863=5,Parametros!$B$17,0),IF(P863="Sim",Parametros!$B$18,0))</f>
        <v>1</v>
      </c>
      <c r="X863" s="5" t="str">
        <f t="shared" si="54"/>
        <v>Baixa</v>
      </c>
      <c r="Y863" s="29">
        <f t="shared" si="55"/>
        <v>1012.799137</v>
      </c>
      <c r="Z863" s="4" t="s">
        <v>1213</v>
      </c>
    </row>
    <row r="864" spans="1:26" ht="28.05" customHeight="1" x14ac:dyDescent="0.3">
      <c r="A864" s="5">
        <f t="shared" si="52"/>
        <v>860</v>
      </c>
      <c r="B864" s="23" t="s">
        <v>1917</v>
      </c>
      <c r="C864" s="17" t="s">
        <v>1916</v>
      </c>
      <c r="D864" s="4" t="s">
        <v>48</v>
      </c>
      <c r="E864" s="4" t="s">
        <v>85</v>
      </c>
      <c r="F864" s="4" t="s">
        <v>85</v>
      </c>
      <c r="G864" s="4" t="s">
        <v>171</v>
      </c>
      <c r="H864" s="4" t="s">
        <v>172</v>
      </c>
      <c r="I864" s="24" t="s">
        <v>954</v>
      </c>
      <c r="J864" s="15">
        <v>2</v>
      </c>
      <c r="K864" s="15">
        <v>2</v>
      </c>
      <c r="L864" s="15">
        <v>1</v>
      </c>
      <c r="M864" s="15">
        <v>1</v>
      </c>
      <c r="N864" s="15">
        <v>1</v>
      </c>
      <c r="O864" s="15">
        <v>2</v>
      </c>
      <c r="P864" s="15" t="s">
        <v>415</v>
      </c>
      <c r="Q864" s="23" t="s">
        <v>838</v>
      </c>
      <c r="R864" s="25">
        <f>ROUND((K864*Parametros!$B$4+L864*Parametros!$B$5+M864*Parametros!$B$6+N864*Parametros!$B$7+O864*Parametros!$B$8)/SUM(Parametros!$B$4:$B$8),2)</f>
        <v>1.45</v>
      </c>
      <c r="S864" s="26">
        <f>IFERROR(INDEX(Parametros!$F$33:$F$42,MATCH(D864,Parametros!$A$33:$A$42,0)),1)</f>
        <v>1.1000000000000001</v>
      </c>
      <c r="T864" s="27">
        <f>IFERROR(INDEX(Parametros!$B$21:$B$26,MATCH(I864,Parametros!$A$21:$A$26,0)),0)</f>
        <v>-0.3</v>
      </c>
      <c r="U864" s="28">
        <f t="shared" si="53"/>
        <v>1.3</v>
      </c>
      <c r="V864" s="9">
        <f>IF(U864&gt;=Parametros!$B$14,4,IF(U864&gt;=Parametros!$B$13,3,IF(U864&gt;=Parametros!$B$12,2,1)))</f>
        <v>1</v>
      </c>
      <c r="W864" s="5">
        <f>MAX(V864,IF(K864=5,Parametros!$B$17,0),IF(P864="Sim",Parametros!$B$18,0))</f>
        <v>1</v>
      </c>
      <c r="X864" s="5" t="str">
        <f t="shared" si="54"/>
        <v>Baixa</v>
      </c>
      <c r="Y864" s="29">
        <f t="shared" si="55"/>
        <v>1012.799136</v>
      </c>
      <c r="Z864" s="4" t="s">
        <v>1213</v>
      </c>
    </row>
    <row r="865" spans="1:26" ht="28.05" customHeight="1" x14ac:dyDescent="0.3">
      <c r="A865" s="5">
        <f t="shared" si="52"/>
        <v>861</v>
      </c>
      <c r="B865" s="23" t="s">
        <v>1918</v>
      </c>
      <c r="C865" s="17" t="s">
        <v>1919</v>
      </c>
      <c r="D865" s="4" t="s">
        <v>49</v>
      </c>
      <c r="E865" s="4" t="s">
        <v>85</v>
      </c>
      <c r="F865" s="4" t="s">
        <v>85</v>
      </c>
      <c r="G865" s="4" t="s">
        <v>171</v>
      </c>
      <c r="H865" s="4" t="s">
        <v>172</v>
      </c>
      <c r="I865" s="24" t="s">
        <v>954</v>
      </c>
      <c r="J865" s="15">
        <v>2</v>
      </c>
      <c r="K865" s="15">
        <v>2</v>
      </c>
      <c r="L865" s="15">
        <v>1</v>
      </c>
      <c r="M865" s="15">
        <v>1</v>
      </c>
      <c r="N865" s="15">
        <v>1</v>
      </c>
      <c r="O865" s="15">
        <v>2</v>
      </c>
      <c r="P865" s="15" t="s">
        <v>415</v>
      </c>
      <c r="Q865" s="23" t="s">
        <v>838</v>
      </c>
      <c r="R865" s="25">
        <f>ROUND((K865*Parametros!$B$4+L865*Parametros!$B$5+M865*Parametros!$B$6+N865*Parametros!$B$7+O865*Parametros!$B$8)/SUM(Parametros!$B$4:$B$8),2)</f>
        <v>1.45</v>
      </c>
      <c r="S865" s="26">
        <f>IFERROR(INDEX(Parametros!$F$33:$F$42,MATCH(D865,Parametros!$A$33:$A$42,0)),1)</f>
        <v>1.1000000000000001</v>
      </c>
      <c r="T865" s="27">
        <f>IFERROR(INDEX(Parametros!$B$21:$B$26,MATCH(I865,Parametros!$A$21:$A$26,0)),0)</f>
        <v>-0.3</v>
      </c>
      <c r="U865" s="28">
        <f t="shared" si="53"/>
        <v>1.3</v>
      </c>
      <c r="V865" s="9">
        <f>IF(U865&gt;=Parametros!$B$14,4,IF(U865&gt;=Parametros!$B$13,3,IF(U865&gt;=Parametros!$B$12,2,1)))</f>
        <v>1</v>
      </c>
      <c r="W865" s="5">
        <f>MAX(V865,IF(K865=5,Parametros!$B$17,0),IF(P865="Sim",Parametros!$B$18,0))</f>
        <v>1</v>
      </c>
      <c r="X865" s="5" t="str">
        <f t="shared" si="54"/>
        <v>Baixa</v>
      </c>
      <c r="Y865" s="29">
        <f t="shared" si="55"/>
        <v>1012.799135</v>
      </c>
      <c r="Z865" s="4" t="s">
        <v>1213</v>
      </c>
    </row>
    <row r="866" spans="1:26" ht="28.05" customHeight="1" x14ac:dyDescent="0.3">
      <c r="A866" s="5">
        <f t="shared" si="52"/>
        <v>862</v>
      </c>
      <c r="B866" s="23" t="s">
        <v>1920</v>
      </c>
      <c r="C866" s="17" t="s">
        <v>1921</v>
      </c>
      <c r="D866" s="4" t="s">
        <v>49</v>
      </c>
      <c r="E866" s="4" t="s">
        <v>85</v>
      </c>
      <c r="F866" s="4" t="s">
        <v>85</v>
      </c>
      <c r="G866" s="4" t="s">
        <v>171</v>
      </c>
      <c r="H866" s="4" t="s">
        <v>172</v>
      </c>
      <c r="I866" s="24" t="s">
        <v>954</v>
      </c>
      <c r="J866" s="15">
        <v>2</v>
      </c>
      <c r="K866" s="15">
        <v>2</v>
      </c>
      <c r="L866" s="15">
        <v>1</v>
      </c>
      <c r="M866" s="15">
        <v>1</v>
      </c>
      <c r="N866" s="15">
        <v>1</v>
      </c>
      <c r="O866" s="15">
        <v>2</v>
      </c>
      <c r="P866" s="15" t="s">
        <v>415</v>
      </c>
      <c r="Q866" s="23" t="s">
        <v>838</v>
      </c>
      <c r="R866" s="25">
        <f>ROUND((K866*Parametros!$B$4+L866*Parametros!$B$5+M866*Parametros!$B$6+N866*Parametros!$B$7+O866*Parametros!$B$8)/SUM(Parametros!$B$4:$B$8),2)</f>
        <v>1.45</v>
      </c>
      <c r="S866" s="26">
        <f>IFERROR(INDEX(Parametros!$F$33:$F$42,MATCH(D866,Parametros!$A$33:$A$42,0)),1)</f>
        <v>1.1000000000000001</v>
      </c>
      <c r="T866" s="27">
        <f>IFERROR(INDEX(Parametros!$B$21:$B$26,MATCH(I866,Parametros!$A$21:$A$26,0)),0)</f>
        <v>-0.3</v>
      </c>
      <c r="U866" s="28">
        <f t="shared" si="53"/>
        <v>1.3</v>
      </c>
      <c r="V866" s="9">
        <f>IF(U866&gt;=Parametros!$B$14,4,IF(U866&gt;=Parametros!$B$13,3,IF(U866&gt;=Parametros!$B$12,2,1)))</f>
        <v>1</v>
      </c>
      <c r="W866" s="5">
        <f>MAX(V866,IF(K866=5,Parametros!$B$17,0),IF(P866="Sim",Parametros!$B$18,0))</f>
        <v>1</v>
      </c>
      <c r="X866" s="5" t="str">
        <f t="shared" si="54"/>
        <v>Baixa</v>
      </c>
      <c r="Y866" s="29">
        <f t="shared" si="55"/>
        <v>1012.799134</v>
      </c>
      <c r="Z866" s="4" t="s">
        <v>1213</v>
      </c>
    </row>
    <row r="867" spans="1:26" ht="28.05" customHeight="1" x14ac:dyDescent="0.3">
      <c r="A867" s="5">
        <f t="shared" si="52"/>
        <v>863</v>
      </c>
      <c r="B867" s="23" t="s">
        <v>1922</v>
      </c>
      <c r="C867" s="17" t="s">
        <v>1923</v>
      </c>
      <c r="D867" s="4" t="s">
        <v>49</v>
      </c>
      <c r="E867" s="4" t="s">
        <v>85</v>
      </c>
      <c r="F867" s="4" t="s">
        <v>85</v>
      </c>
      <c r="G867" s="4" t="s">
        <v>171</v>
      </c>
      <c r="H867" s="4" t="s">
        <v>172</v>
      </c>
      <c r="I867" s="24" t="s">
        <v>954</v>
      </c>
      <c r="J867" s="15">
        <v>2</v>
      </c>
      <c r="K867" s="15">
        <v>2</v>
      </c>
      <c r="L867" s="15">
        <v>1</v>
      </c>
      <c r="M867" s="15">
        <v>1</v>
      </c>
      <c r="N867" s="15">
        <v>1</v>
      </c>
      <c r="O867" s="15">
        <v>2</v>
      </c>
      <c r="P867" s="15" t="s">
        <v>415</v>
      </c>
      <c r="Q867" s="23" t="s">
        <v>838</v>
      </c>
      <c r="R867" s="25">
        <f>ROUND((K867*Parametros!$B$4+L867*Parametros!$B$5+M867*Parametros!$B$6+N867*Parametros!$B$7+O867*Parametros!$B$8)/SUM(Parametros!$B$4:$B$8),2)</f>
        <v>1.45</v>
      </c>
      <c r="S867" s="26">
        <f>IFERROR(INDEX(Parametros!$F$33:$F$42,MATCH(D867,Parametros!$A$33:$A$42,0)),1)</f>
        <v>1.1000000000000001</v>
      </c>
      <c r="T867" s="27">
        <f>IFERROR(INDEX(Parametros!$B$21:$B$26,MATCH(I867,Parametros!$A$21:$A$26,0)),0)</f>
        <v>-0.3</v>
      </c>
      <c r="U867" s="28">
        <f t="shared" si="53"/>
        <v>1.3</v>
      </c>
      <c r="V867" s="9">
        <f>IF(U867&gt;=Parametros!$B$14,4,IF(U867&gt;=Parametros!$B$13,3,IF(U867&gt;=Parametros!$B$12,2,1)))</f>
        <v>1</v>
      </c>
      <c r="W867" s="5">
        <f>MAX(V867,IF(K867=5,Parametros!$B$17,0),IF(P867="Sim",Parametros!$B$18,0))</f>
        <v>1</v>
      </c>
      <c r="X867" s="5" t="str">
        <f t="shared" si="54"/>
        <v>Baixa</v>
      </c>
      <c r="Y867" s="29">
        <f t="shared" si="55"/>
        <v>1012.799133</v>
      </c>
      <c r="Z867" s="4" t="s">
        <v>1213</v>
      </c>
    </row>
    <row r="868" spans="1:26" ht="28.05" customHeight="1" x14ac:dyDescent="0.3">
      <c r="A868" s="5">
        <f t="shared" si="52"/>
        <v>864</v>
      </c>
      <c r="B868" s="23" t="s">
        <v>1924</v>
      </c>
      <c r="C868" s="17" t="s">
        <v>1925</v>
      </c>
      <c r="D868" s="4" t="s">
        <v>49</v>
      </c>
      <c r="E868" s="4" t="s">
        <v>85</v>
      </c>
      <c r="F868" s="4" t="s">
        <v>85</v>
      </c>
      <c r="G868" s="4" t="s">
        <v>171</v>
      </c>
      <c r="H868" s="4" t="s">
        <v>172</v>
      </c>
      <c r="I868" s="24" t="s">
        <v>954</v>
      </c>
      <c r="J868" s="15">
        <v>2</v>
      </c>
      <c r="K868" s="15">
        <v>2</v>
      </c>
      <c r="L868" s="15">
        <v>1</v>
      </c>
      <c r="M868" s="15">
        <v>1</v>
      </c>
      <c r="N868" s="15">
        <v>1</v>
      </c>
      <c r="O868" s="15">
        <v>2</v>
      </c>
      <c r="P868" s="15" t="s">
        <v>415</v>
      </c>
      <c r="Q868" s="23" t="s">
        <v>838</v>
      </c>
      <c r="R868" s="25">
        <f>ROUND((K868*Parametros!$B$4+L868*Parametros!$B$5+M868*Parametros!$B$6+N868*Parametros!$B$7+O868*Parametros!$B$8)/SUM(Parametros!$B$4:$B$8),2)</f>
        <v>1.45</v>
      </c>
      <c r="S868" s="26">
        <f>IFERROR(INDEX(Parametros!$F$33:$F$42,MATCH(D868,Parametros!$A$33:$A$42,0)),1)</f>
        <v>1.1000000000000001</v>
      </c>
      <c r="T868" s="27">
        <f>IFERROR(INDEX(Parametros!$B$21:$B$26,MATCH(I868,Parametros!$A$21:$A$26,0)),0)</f>
        <v>-0.3</v>
      </c>
      <c r="U868" s="28">
        <f t="shared" si="53"/>
        <v>1.3</v>
      </c>
      <c r="V868" s="9">
        <f>IF(U868&gt;=Parametros!$B$14,4,IF(U868&gt;=Parametros!$B$13,3,IF(U868&gt;=Parametros!$B$12,2,1)))</f>
        <v>1</v>
      </c>
      <c r="W868" s="5">
        <f>MAX(V868,IF(K868=5,Parametros!$B$17,0),IF(P868="Sim",Parametros!$B$18,0))</f>
        <v>1</v>
      </c>
      <c r="X868" s="5" t="str">
        <f t="shared" si="54"/>
        <v>Baixa</v>
      </c>
      <c r="Y868" s="29">
        <f t="shared" si="55"/>
        <v>1012.799132</v>
      </c>
      <c r="Z868" s="4" t="s">
        <v>1213</v>
      </c>
    </row>
    <row r="869" spans="1:26" ht="28.05" customHeight="1" x14ac:dyDescent="0.3">
      <c r="A869" s="5">
        <f t="shared" si="52"/>
        <v>865</v>
      </c>
      <c r="B869" s="23" t="s">
        <v>1926</v>
      </c>
      <c r="C869" s="17" t="s">
        <v>1927</v>
      </c>
      <c r="D869" s="4" t="s">
        <v>49</v>
      </c>
      <c r="E869" s="4" t="s">
        <v>85</v>
      </c>
      <c r="F869" s="4" t="s">
        <v>85</v>
      </c>
      <c r="G869" s="4" t="s">
        <v>171</v>
      </c>
      <c r="H869" s="4" t="s">
        <v>172</v>
      </c>
      <c r="I869" s="24" t="s">
        <v>954</v>
      </c>
      <c r="J869" s="15">
        <v>2</v>
      </c>
      <c r="K869" s="15">
        <v>2</v>
      </c>
      <c r="L869" s="15">
        <v>1</v>
      </c>
      <c r="M869" s="15">
        <v>1</v>
      </c>
      <c r="N869" s="15">
        <v>1</v>
      </c>
      <c r="O869" s="15">
        <v>2</v>
      </c>
      <c r="P869" s="15" t="s">
        <v>415</v>
      </c>
      <c r="Q869" s="23" t="s">
        <v>838</v>
      </c>
      <c r="R869" s="25">
        <f>ROUND((K869*Parametros!$B$4+L869*Parametros!$B$5+M869*Parametros!$B$6+N869*Parametros!$B$7+O869*Parametros!$B$8)/SUM(Parametros!$B$4:$B$8),2)</f>
        <v>1.45</v>
      </c>
      <c r="S869" s="26">
        <f>IFERROR(INDEX(Parametros!$F$33:$F$42,MATCH(D869,Parametros!$A$33:$A$42,0)),1)</f>
        <v>1.1000000000000001</v>
      </c>
      <c r="T869" s="27">
        <f>IFERROR(INDEX(Parametros!$B$21:$B$26,MATCH(I869,Parametros!$A$21:$A$26,0)),0)</f>
        <v>-0.3</v>
      </c>
      <c r="U869" s="28">
        <f t="shared" si="53"/>
        <v>1.3</v>
      </c>
      <c r="V869" s="9">
        <f>IF(U869&gt;=Parametros!$B$14,4,IF(U869&gt;=Parametros!$B$13,3,IF(U869&gt;=Parametros!$B$12,2,1)))</f>
        <v>1</v>
      </c>
      <c r="W869" s="5">
        <f>MAX(V869,IF(K869=5,Parametros!$B$17,0),IF(P869="Sim",Parametros!$B$18,0))</f>
        <v>1</v>
      </c>
      <c r="X869" s="5" t="str">
        <f t="shared" si="54"/>
        <v>Baixa</v>
      </c>
      <c r="Y869" s="29">
        <f t="shared" si="55"/>
        <v>1012.799131</v>
      </c>
      <c r="Z869" s="4" t="s">
        <v>1213</v>
      </c>
    </row>
    <row r="870" spans="1:26" ht="28.05" customHeight="1" x14ac:dyDescent="0.3">
      <c r="A870" s="5">
        <f t="shared" si="52"/>
        <v>866</v>
      </c>
      <c r="B870" s="23" t="s">
        <v>1928</v>
      </c>
      <c r="C870" s="17" t="s">
        <v>1929</v>
      </c>
      <c r="D870" s="4" t="s">
        <v>49</v>
      </c>
      <c r="E870" s="4" t="s">
        <v>85</v>
      </c>
      <c r="F870" s="4" t="s">
        <v>85</v>
      </c>
      <c r="G870" s="4" t="s">
        <v>171</v>
      </c>
      <c r="H870" s="4" t="s">
        <v>172</v>
      </c>
      <c r="I870" s="24" t="s">
        <v>954</v>
      </c>
      <c r="J870" s="15">
        <v>2</v>
      </c>
      <c r="K870" s="15">
        <v>2</v>
      </c>
      <c r="L870" s="15">
        <v>1</v>
      </c>
      <c r="M870" s="15">
        <v>1</v>
      </c>
      <c r="N870" s="15">
        <v>1</v>
      </c>
      <c r="O870" s="15">
        <v>2</v>
      </c>
      <c r="P870" s="15" t="s">
        <v>415</v>
      </c>
      <c r="Q870" s="23" t="s">
        <v>838</v>
      </c>
      <c r="R870" s="25">
        <f>ROUND((K870*Parametros!$B$4+L870*Parametros!$B$5+M870*Parametros!$B$6+N870*Parametros!$B$7+O870*Parametros!$B$8)/SUM(Parametros!$B$4:$B$8),2)</f>
        <v>1.45</v>
      </c>
      <c r="S870" s="26">
        <f>IFERROR(INDEX(Parametros!$F$33:$F$42,MATCH(D870,Parametros!$A$33:$A$42,0)),1)</f>
        <v>1.1000000000000001</v>
      </c>
      <c r="T870" s="27">
        <f>IFERROR(INDEX(Parametros!$B$21:$B$26,MATCH(I870,Parametros!$A$21:$A$26,0)),0)</f>
        <v>-0.3</v>
      </c>
      <c r="U870" s="28">
        <f t="shared" si="53"/>
        <v>1.3</v>
      </c>
      <c r="V870" s="9">
        <f>IF(U870&gt;=Parametros!$B$14,4,IF(U870&gt;=Parametros!$B$13,3,IF(U870&gt;=Parametros!$B$12,2,1)))</f>
        <v>1</v>
      </c>
      <c r="W870" s="5">
        <f>MAX(V870,IF(K870=5,Parametros!$B$17,0),IF(P870="Sim",Parametros!$B$18,0))</f>
        <v>1</v>
      </c>
      <c r="X870" s="5" t="str">
        <f t="shared" si="54"/>
        <v>Baixa</v>
      </c>
      <c r="Y870" s="29">
        <f t="shared" si="55"/>
        <v>1012.79913</v>
      </c>
      <c r="Z870" s="4" t="s">
        <v>1213</v>
      </c>
    </row>
    <row r="871" spans="1:26" ht="28.05" customHeight="1" x14ac:dyDescent="0.3">
      <c r="A871" s="5">
        <f t="shared" si="52"/>
        <v>867</v>
      </c>
      <c r="B871" s="23" t="s">
        <v>1930</v>
      </c>
      <c r="C871" s="17" t="s">
        <v>1931</v>
      </c>
      <c r="D871" s="4" t="s">
        <v>49</v>
      </c>
      <c r="E871" s="4" t="s">
        <v>85</v>
      </c>
      <c r="F871" s="4" t="s">
        <v>85</v>
      </c>
      <c r="G871" s="4" t="s">
        <v>171</v>
      </c>
      <c r="H871" s="4" t="s">
        <v>172</v>
      </c>
      <c r="I871" s="24" t="s">
        <v>954</v>
      </c>
      <c r="J871" s="15">
        <v>2</v>
      </c>
      <c r="K871" s="15">
        <v>2</v>
      </c>
      <c r="L871" s="15">
        <v>1</v>
      </c>
      <c r="M871" s="15">
        <v>1</v>
      </c>
      <c r="N871" s="15">
        <v>1</v>
      </c>
      <c r="O871" s="15">
        <v>2</v>
      </c>
      <c r="P871" s="15" t="s">
        <v>415</v>
      </c>
      <c r="Q871" s="23" t="s">
        <v>838</v>
      </c>
      <c r="R871" s="25">
        <f>ROUND((K871*Parametros!$B$4+L871*Parametros!$B$5+M871*Parametros!$B$6+N871*Parametros!$B$7+O871*Parametros!$B$8)/SUM(Parametros!$B$4:$B$8),2)</f>
        <v>1.45</v>
      </c>
      <c r="S871" s="26">
        <f>IFERROR(INDEX(Parametros!$F$33:$F$42,MATCH(D871,Parametros!$A$33:$A$42,0)),1)</f>
        <v>1.1000000000000001</v>
      </c>
      <c r="T871" s="27">
        <f>IFERROR(INDEX(Parametros!$B$21:$B$26,MATCH(I871,Parametros!$A$21:$A$26,0)),0)</f>
        <v>-0.3</v>
      </c>
      <c r="U871" s="28">
        <f t="shared" si="53"/>
        <v>1.3</v>
      </c>
      <c r="V871" s="9">
        <f>IF(U871&gt;=Parametros!$B$14,4,IF(U871&gt;=Parametros!$B$13,3,IF(U871&gt;=Parametros!$B$12,2,1)))</f>
        <v>1</v>
      </c>
      <c r="W871" s="5">
        <f>MAX(V871,IF(K871=5,Parametros!$B$17,0),IF(P871="Sim",Parametros!$B$18,0))</f>
        <v>1</v>
      </c>
      <c r="X871" s="5" t="str">
        <f t="shared" si="54"/>
        <v>Baixa</v>
      </c>
      <c r="Y871" s="29">
        <f t="shared" si="55"/>
        <v>1012.799129</v>
      </c>
      <c r="Z871" s="4" t="s">
        <v>1213</v>
      </c>
    </row>
    <row r="872" spans="1:26" ht="28.05" customHeight="1" x14ac:dyDescent="0.3">
      <c r="A872" s="5">
        <f t="shared" si="52"/>
        <v>868</v>
      </c>
      <c r="B872" s="23" t="s">
        <v>1932</v>
      </c>
      <c r="C872" s="17" t="s">
        <v>1933</v>
      </c>
      <c r="D872" s="4" t="s">
        <v>49</v>
      </c>
      <c r="E872" s="4" t="s">
        <v>85</v>
      </c>
      <c r="F872" s="4" t="s">
        <v>85</v>
      </c>
      <c r="G872" s="4" t="s">
        <v>171</v>
      </c>
      <c r="H872" s="4" t="s">
        <v>172</v>
      </c>
      <c r="I872" s="24" t="s">
        <v>954</v>
      </c>
      <c r="J872" s="15">
        <v>2</v>
      </c>
      <c r="K872" s="15">
        <v>2</v>
      </c>
      <c r="L872" s="15">
        <v>1</v>
      </c>
      <c r="M872" s="15">
        <v>1</v>
      </c>
      <c r="N872" s="15">
        <v>1</v>
      </c>
      <c r="O872" s="15">
        <v>2</v>
      </c>
      <c r="P872" s="15" t="s">
        <v>415</v>
      </c>
      <c r="Q872" s="23" t="s">
        <v>838</v>
      </c>
      <c r="R872" s="25">
        <f>ROUND((K872*Parametros!$B$4+L872*Parametros!$B$5+M872*Parametros!$B$6+N872*Parametros!$B$7+O872*Parametros!$B$8)/SUM(Parametros!$B$4:$B$8),2)</f>
        <v>1.45</v>
      </c>
      <c r="S872" s="26">
        <f>IFERROR(INDEX(Parametros!$F$33:$F$42,MATCH(D872,Parametros!$A$33:$A$42,0)),1)</f>
        <v>1.1000000000000001</v>
      </c>
      <c r="T872" s="27">
        <f>IFERROR(INDEX(Parametros!$B$21:$B$26,MATCH(I872,Parametros!$A$21:$A$26,0)),0)</f>
        <v>-0.3</v>
      </c>
      <c r="U872" s="28">
        <f t="shared" si="53"/>
        <v>1.3</v>
      </c>
      <c r="V872" s="9">
        <f>IF(U872&gt;=Parametros!$B$14,4,IF(U872&gt;=Parametros!$B$13,3,IF(U872&gt;=Parametros!$B$12,2,1)))</f>
        <v>1</v>
      </c>
      <c r="W872" s="5">
        <f>MAX(V872,IF(K872=5,Parametros!$B$17,0),IF(P872="Sim",Parametros!$B$18,0))</f>
        <v>1</v>
      </c>
      <c r="X872" s="5" t="str">
        <f t="shared" si="54"/>
        <v>Baixa</v>
      </c>
      <c r="Y872" s="29">
        <f t="shared" si="55"/>
        <v>1012.799128</v>
      </c>
      <c r="Z872" s="4" t="s">
        <v>1213</v>
      </c>
    </row>
    <row r="873" spans="1:26" ht="28.05" customHeight="1" x14ac:dyDescent="0.3">
      <c r="A873" s="5">
        <f t="shared" si="52"/>
        <v>869</v>
      </c>
      <c r="B873" s="23" t="s">
        <v>1934</v>
      </c>
      <c r="C873" s="17" t="s">
        <v>1935</v>
      </c>
      <c r="D873" s="4" t="s">
        <v>49</v>
      </c>
      <c r="E873" s="4" t="s">
        <v>85</v>
      </c>
      <c r="F873" s="4" t="s">
        <v>85</v>
      </c>
      <c r="G873" s="4" t="s">
        <v>171</v>
      </c>
      <c r="H873" s="4" t="s">
        <v>172</v>
      </c>
      <c r="I873" s="24" t="s">
        <v>954</v>
      </c>
      <c r="J873" s="15">
        <v>2</v>
      </c>
      <c r="K873" s="15">
        <v>2</v>
      </c>
      <c r="L873" s="15">
        <v>1</v>
      </c>
      <c r="M873" s="15">
        <v>1</v>
      </c>
      <c r="N873" s="15">
        <v>1</v>
      </c>
      <c r="O873" s="15">
        <v>2</v>
      </c>
      <c r="P873" s="15" t="s">
        <v>415</v>
      </c>
      <c r="Q873" s="23" t="s">
        <v>838</v>
      </c>
      <c r="R873" s="25">
        <f>ROUND((K873*Parametros!$B$4+L873*Parametros!$B$5+M873*Parametros!$B$6+N873*Parametros!$B$7+O873*Parametros!$B$8)/SUM(Parametros!$B$4:$B$8),2)</f>
        <v>1.45</v>
      </c>
      <c r="S873" s="26">
        <f>IFERROR(INDEX(Parametros!$F$33:$F$42,MATCH(D873,Parametros!$A$33:$A$42,0)),1)</f>
        <v>1.1000000000000001</v>
      </c>
      <c r="T873" s="27">
        <f>IFERROR(INDEX(Parametros!$B$21:$B$26,MATCH(I873,Parametros!$A$21:$A$26,0)),0)</f>
        <v>-0.3</v>
      </c>
      <c r="U873" s="28">
        <f t="shared" si="53"/>
        <v>1.3</v>
      </c>
      <c r="V873" s="9">
        <f>IF(U873&gt;=Parametros!$B$14,4,IF(U873&gt;=Parametros!$B$13,3,IF(U873&gt;=Parametros!$B$12,2,1)))</f>
        <v>1</v>
      </c>
      <c r="W873" s="5">
        <f>MAX(V873,IF(K873=5,Parametros!$B$17,0),IF(P873="Sim",Parametros!$B$18,0))</f>
        <v>1</v>
      </c>
      <c r="X873" s="5" t="str">
        <f t="shared" si="54"/>
        <v>Baixa</v>
      </c>
      <c r="Y873" s="29">
        <f t="shared" si="55"/>
        <v>1012.799127</v>
      </c>
      <c r="Z873" s="4" t="s">
        <v>1213</v>
      </c>
    </row>
    <row r="874" spans="1:26" ht="28.05" customHeight="1" x14ac:dyDescent="0.3">
      <c r="A874" s="5">
        <f t="shared" si="52"/>
        <v>870</v>
      </c>
      <c r="B874" s="23" t="s">
        <v>1936</v>
      </c>
      <c r="C874" s="17" t="s">
        <v>1933</v>
      </c>
      <c r="D874" s="4" t="s">
        <v>48</v>
      </c>
      <c r="E874" s="4" t="s">
        <v>85</v>
      </c>
      <c r="F874" s="4" t="s">
        <v>85</v>
      </c>
      <c r="G874" s="4" t="s">
        <v>171</v>
      </c>
      <c r="H874" s="4" t="s">
        <v>172</v>
      </c>
      <c r="I874" s="24" t="s">
        <v>954</v>
      </c>
      <c r="J874" s="15">
        <v>2</v>
      </c>
      <c r="K874" s="15">
        <v>2</v>
      </c>
      <c r="L874" s="15">
        <v>1</v>
      </c>
      <c r="M874" s="15">
        <v>1</v>
      </c>
      <c r="N874" s="15">
        <v>1</v>
      </c>
      <c r="O874" s="15">
        <v>2</v>
      </c>
      <c r="P874" s="15" t="s">
        <v>415</v>
      </c>
      <c r="Q874" s="23" t="s">
        <v>838</v>
      </c>
      <c r="R874" s="25">
        <f>ROUND((K874*Parametros!$B$4+L874*Parametros!$B$5+M874*Parametros!$B$6+N874*Parametros!$B$7+O874*Parametros!$B$8)/SUM(Parametros!$B$4:$B$8),2)</f>
        <v>1.45</v>
      </c>
      <c r="S874" s="26">
        <f>IFERROR(INDEX(Parametros!$F$33:$F$42,MATCH(D874,Parametros!$A$33:$A$42,0)),1)</f>
        <v>1.1000000000000001</v>
      </c>
      <c r="T874" s="27">
        <f>IFERROR(INDEX(Parametros!$B$21:$B$26,MATCH(I874,Parametros!$A$21:$A$26,0)),0)</f>
        <v>-0.3</v>
      </c>
      <c r="U874" s="28">
        <f t="shared" si="53"/>
        <v>1.3</v>
      </c>
      <c r="V874" s="9">
        <f>IF(U874&gt;=Parametros!$B$14,4,IF(U874&gt;=Parametros!$B$13,3,IF(U874&gt;=Parametros!$B$12,2,1)))</f>
        <v>1</v>
      </c>
      <c r="W874" s="5">
        <f>MAX(V874,IF(K874=5,Parametros!$B$17,0),IF(P874="Sim",Parametros!$B$18,0))</f>
        <v>1</v>
      </c>
      <c r="X874" s="5" t="str">
        <f t="shared" si="54"/>
        <v>Baixa</v>
      </c>
      <c r="Y874" s="29">
        <f t="shared" si="55"/>
        <v>1012.799126</v>
      </c>
      <c r="Z874" s="4" t="s">
        <v>1213</v>
      </c>
    </row>
    <row r="875" spans="1:26" ht="28.05" customHeight="1" x14ac:dyDescent="0.3">
      <c r="A875" s="5">
        <f t="shared" si="52"/>
        <v>871</v>
      </c>
      <c r="B875" s="23" t="s">
        <v>1937</v>
      </c>
      <c r="C875" s="17" t="s">
        <v>1935</v>
      </c>
      <c r="D875" s="4" t="s">
        <v>48</v>
      </c>
      <c r="E875" s="4" t="s">
        <v>85</v>
      </c>
      <c r="F875" s="4" t="s">
        <v>85</v>
      </c>
      <c r="G875" s="4" t="s">
        <v>171</v>
      </c>
      <c r="H875" s="4" t="s">
        <v>172</v>
      </c>
      <c r="I875" s="24" t="s">
        <v>954</v>
      </c>
      <c r="J875" s="15">
        <v>2</v>
      </c>
      <c r="K875" s="15">
        <v>2</v>
      </c>
      <c r="L875" s="15">
        <v>1</v>
      </c>
      <c r="M875" s="15">
        <v>1</v>
      </c>
      <c r="N875" s="15">
        <v>1</v>
      </c>
      <c r="O875" s="15">
        <v>2</v>
      </c>
      <c r="P875" s="15" t="s">
        <v>415</v>
      </c>
      <c r="Q875" s="23" t="s">
        <v>838</v>
      </c>
      <c r="R875" s="25">
        <f>ROUND((K875*Parametros!$B$4+L875*Parametros!$B$5+M875*Parametros!$B$6+N875*Parametros!$B$7+O875*Parametros!$B$8)/SUM(Parametros!$B$4:$B$8),2)</f>
        <v>1.45</v>
      </c>
      <c r="S875" s="26">
        <f>IFERROR(INDEX(Parametros!$F$33:$F$42,MATCH(D875,Parametros!$A$33:$A$42,0)),1)</f>
        <v>1.1000000000000001</v>
      </c>
      <c r="T875" s="27">
        <f>IFERROR(INDEX(Parametros!$B$21:$B$26,MATCH(I875,Parametros!$A$21:$A$26,0)),0)</f>
        <v>-0.3</v>
      </c>
      <c r="U875" s="28">
        <f t="shared" si="53"/>
        <v>1.3</v>
      </c>
      <c r="V875" s="9">
        <f>IF(U875&gt;=Parametros!$B$14,4,IF(U875&gt;=Parametros!$B$13,3,IF(U875&gt;=Parametros!$B$12,2,1)))</f>
        <v>1</v>
      </c>
      <c r="W875" s="5">
        <f>MAX(V875,IF(K875=5,Parametros!$B$17,0),IF(P875="Sim",Parametros!$B$18,0))</f>
        <v>1</v>
      </c>
      <c r="X875" s="5" t="str">
        <f t="shared" si="54"/>
        <v>Baixa</v>
      </c>
      <c r="Y875" s="29">
        <f t="shared" si="55"/>
        <v>1012.799125</v>
      </c>
      <c r="Z875" s="4" t="s">
        <v>1213</v>
      </c>
    </row>
    <row r="876" spans="1:26" ht="28.05" customHeight="1" x14ac:dyDescent="0.3">
      <c r="A876" s="5">
        <f t="shared" si="52"/>
        <v>872</v>
      </c>
      <c r="B876" s="23" t="s">
        <v>1938</v>
      </c>
      <c r="C876" s="17" t="s">
        <v>1939</v>
      </c>
      <c r="D876" s="4" t="s">
        <v>48</v>
      </c>
      <c r="E876" s="4" t="s">
        <v>85</v>
      </c>
      <c r="F876" s="4" t="s">
        <v>85</v>
      </c>
      <c r="G876" s="4" t="s">
        <v>171</v>
      </c>
      <c r="H876" s="4" t="s">
        <v>172</v>
      </c>
      <c r="I876" s="24" t="s">
        <v>954</v>
      </c>
      <c r="J876" s="15">
        <v>2</v>
      </c>
      <c r="K876" s="15">
        <v>2</v>
      </c>
      <c r="L876" s="15">
        <v>1</v>
      </c>
      <c r="M876" s="15">
        <v>1</v>
      </c>
      <c r="N876" s="15">
        <v>1</v>
      </c>
      <c r="O876" s="15">
        <v>2</v>
      </c>
      <c r="P876" s="15" t="s">
        <v>415</v>
      </c>
      <c r="Q876" s="23" t="s">
        <v>838</v>
      </c>
      <c r="R876" s="25">
        <f>ROUND((K876*Parametros!$B$4+L876*Parametros!$B$5+M876*Parametros!$B$6+N876*Parametros!$B$7+O876*Parametros!$B$8)/SUM(Parametros!$B$4:$B$8),2)</f>
        <v>1.45</v>
      </c>
      <c r="S876" s="26">
        <f>IFERROR(INDEX(Parametros!$F$33:$F$42,MATCH(D876,Parametros!$A$33:$A$42,0)),1)</f>
        <v>1.1000000000000001</v>
      </c>
      <c r="T876" s="27">
        <f>IFERROR(INDEX(Parametros!$B$21:$B$26,MATCH(I876,Parametros!$A$21:$A$26,0)),0)</f>
        <v>-0.3</v>
      </c>
      <c r="U876" s="28">
        <f t="shared" si="53"/>
        <v>1.3</v>
      </c>
      <c r="V876" s="9">
        <f>IF(U876&gt;=Parametros!$B$14,4,IF(U876&gt;=Parametros!$B$13,3,IF(U876&gt;=Parametros!$B$12,2,1)))</f>
        <v>1</v>
      </c>
      <c r="W876" s="5">
        <f>MAX(V876,IF(K876=5,Parametros!$B$17,0),IF(P876="Sim",Parametros!$B$18,0))</f>
        <v>1</v>
      </c>
      <c r="X876" s="5" t="str">
        <f t="shared" si="54"/>
        <v>Baixa</v>
      </c>
      <c r="Y876" s="29">
        <f t="shared" si="55"/>
        <v>1012.799124</v>
      </c>
      <c r="Z876" s="4" t="s">
        <v>1213</v>
      </c>
    </row>
    <row r="877" spans="1:26" ht="28.05" customHeight="1" x14ac:dyDescent="0.3">
      <c r="A877" s="5">
        <f t="shared" si="52"/>
        <v>873</v>
      </c>
      <c r="B877" s="23" t="s">
        <v>1940</v>
      </c>
      <c r="C877" s="17" t="s">
        <v>1941</v>
      </c>
      <c r="D877" s="4" t="s">
        <v>48</v>
      </c>
      <c r="E877" s="4" t="s">
        <v>85</v>
      </c>
      <c r="F877" s="4" t="s">
        <v>85</v>
      </c>
      <c r="G877" s="4" t="s">
        <v>171</v>
      </c>
      <c r="H877" s="4" t="s">
        <v>172</v>
      </c>
      <c r="I877" s="24" t="s">
        <v>954</v>
      </c>
      <c r="J877" s="15">
        <v>2</v>
      </c>
      <c r="K877" s="15">
        <v>2</v>
      </c>
      <c r="L877" s="15">
        <v>1</v>
      </c>
      <c r="M877" s="15">
        <v>1</v>
      </c>
      <c r="N877" s="15">
        <v>1</v>
      </c>
      <c r="O877" s="15">
        <v>2</v>
      </c>
      <c r="P877" s="15" t="s">
        <v>415</v>
      </c>
      <c r="Q877" s="23" t="s">
        <v>838</v>
      </c>
      <c r="R877" s="25">
        <f>ROUND((K877*Parametros!$B$4+L877*Parametros!$B$5+M877*Parametros!$B$6+N877*Parametros!$B$7+O877*Parametros!$B$8)/SUM(Parametros!$B$4:$B$8),2)</f>
        <v>1.45</v>
      </c>
      <c r="S877" s="26">
        <f>IFERROR(INDEX(Parametros!$F$33:$F$42,MATCH(D877,Parametros!$A$33:$A$42,0)),1)</f>
        <v>1.1000000000000001</v>
      </c>
      <c r="T877" s="27">
        <f>IFERROR(INDEX(Parametros!$B$21:$B$26,MATCH(I877,Parametros!$A$21:$A$26,0)),0)</f>
        <v>-0.3</v>
      </c>
      <c r="U877" s="28">
        <f t="shared" si="53"/>
        <v>1.3</v>
      </c>
      <c r="V877" s="9">
        <f>IF(U877&gt;=Parametros!$B$14,4,IF(U877&gt;=Parametros!$B$13,3,IF(U877&gt;=Parametros!$B$12,2,1)))</f>
        <v>1</v>
      </c>
      <c r="W877" s="5">
        <f>MAX(V877,IF(K877=5,Parametros!$B$17,0),IF(P877="Sim",Parametros!$B$18,0))</f>
        <v>1</v>
      </c>
      <c r="X877" s="5" t="str">
        <f t="shared" si="54"/>
        <v>Baixa</v>
      </c>
      <c r="Y877" s="29">
        <f t="shared" si="55"/>
        <v>1012.799123</v>
      </c>
      <c r="Z877" s="4" t="s">
        <v>1213</v>
      </c>
    </row>
    <row r="878" spans="1:26" ht="28.05" customHeight="1" x14ac:dyDescent="0.3">
      <c r="A878" s="5">
        <f t="shared" si="52"/>
        <v>874</v>
      </c>
      <c r="B878" s="23" t="s">
        <v>1942</v>
      </c>
      <c r="C878" s="17" t="s">
        <v>1943</v>
      </c>
      <c r="D878" s="4" t="s">
        <v>48</v>
      </c>
      <c r="E878" s="4" t="s">
        <v>85</v>
      </c>
      <c r="F878" s="4" t="s">
        <v>85</v>
      </c>
      <c r="G878" s="4" t="s">
        <v>171</v>
      </c>
      <c r="H878" s="4" t="s">
        <v>172</v>
      </c>
      <c r="I878" s="24" t="s">
        <v>954</v>
      </c>
      <c r="J878" s="15">
        <v>2</v>
      </c>
      <c r="K878" s="15">
        <v>2</v>
      </c>
      <c r="L878" s="15">
        <v>1</v>
      </c>
      <c r="M878" s="15">
        <v>1</v>
      </c>
      <c r="N878" s="15">
        <v>1</v>
      </c>
      <c r="O878" s="15">
        <v>2</v>
      </c>
      <c r="P878" s="15" t="s">
        <v>415</v>
      </c>
      <c r="Q878" s="23" t="s">
        <v>838</v>
      </c>
      <c r="R878" s="25">
        <f>ROUND((K878*Parametros!$B$4+L878*Parametros!$B$5+M878*Parametros!$B$6+N878*Parametros!$B$7+O878*Parametros!$B$8)/SUM(Parametros!$B$4:$B$8),2)</f>
        <v>1.45</v>
      </c>
      <c r="S878" s="26">
        <f>IFERROR(INDEX(Parametros!$F$33:$F$42,MATCH(D878,Parametros!$A$33:$A$42,0)),1)</f>
        <v>1.1000000000000001</v>
      </c>
      <c r="T878" s="27">
        <f>IFERROR(INDEX(Parametros!$B$21:$B$26,MATCH(I878,Parametros!$A$21:$A$26,0)),0)</f>
        <v>-0.3</v>
      </c>
      <c r="U878" s="28">
        <f t="shared" si="53"/>
        <v>1.3</v>
      </c>
      <c r="V878" s="9">
        <f>IF(U878&gt;=Parametros!$B$14,4,IF(U878&gt;=Parametros!$B$13,3,IF(U878&gt;=Parametros!$B$12,2,1)))</f>
        <v>1</v>
      </c>
      <c r="W878" s="5">
        <f>MAX(V878,IF(K878=5,Parametros!$B$17,0),IF(P878="Sim",Parametros!$B$18,0))</f>
        <v>1</v>
      </c>
      <c r="X878" s="5" t="str">
        <f t="shared" si="54"/>
        <v>Baixa</v>
      </c>
      <c r="Y878" s="29">
        <f t="shared" si="55"/>
        <v>1012.799122</v>
      </c>
      <c r="Z878" s="4" t="s">
        <v>1213</v>
      </c>
    </row>
    <row r="879" spans="1:26" ht="28.05" customHeight="1" x14ac:dyDescent="0.3">
      <c r="A879" s="5">
        <f t="shared" si="52"/>
        <v>875</v>
      </c>
      <c r="B879" s="23" t="s">
        <v>1944</v>
      </c>
      <c r="C879" s="17" t="s">
        <v>1945</v>
      </c>
      <c r="D879" s="4" t="s">
        <v>48</v>
      </c>
      <c r="E879" s="4" t="s">
        <v>85</v>
      </c>
      <c r="F879" s="4" t="s">
        <v>85</v>
      </c>
      <c r="G879" s="4" t="s">
        <v>171</v>
      </c>
      <c r="H879" s="4" t="s">
        <v>172</v>
      </c>
      <c r="I879" s="24" t="s">
        <v>954</v>
      </c>
      <c r="J879" s="15">
        <v>2</v>
      </c>
      <c r="K879" s="15">
        <v>2</v>
      </c>
      <c r="L879" s="15">
        <v>1</v>
      </c>
      <c r="M879" s="15">
        <v>1</v>
      </c>
      <c r="N879" s="15">
        <v>1</v>
      </c>
      <c r="O879" s="15">
        <v>2</v>
      </c>
      <c r="P879" s="15" t="s">
        <v>415</v>
      </c>
      <c r="Q879" s="23" t="s">
        <v>838</v>
      </c>
      <c r="R879" s="25">
        <f>ROUND((K879*Parametros!$B$4+L879*Parametros!$B$5+M879*Parametros!$B$6+N879*Parametros!$B$7+O879*Parametros!$B$8)/SUM(Parametros!$B$4:$B$8),2)</f>
        <v>1.45</v>
      </c>
      <c r="S879" s="26">
        <f>IFERROR(INDEX(Parametros!$F$33:$F$42,MATCH(D879,Parametros!$A$33:$A$42,0)),1)</f>
        <v>1.1000000000000001</v>
      </c>
      <c r="T879" s="27">
        <f>IFERROR(INDEX(Parametros!$B$21:$B$26,MATCH(I879,Parametros!$A$21:$A$26,0)),0)</f>
        <v>-0.3</v>
      </c>
      <c r="U879" s="28">
        <f t="shared" si="53"/>
        <v>1.3</v>
      </c>
      <c r="V879" s="9">
        <f>IF(U879&gt;=Parametros!$B$14,4,IF(U879&gt;=Parametros!$B$13,3,IF(U879&gt;=Parametros!$B$12,2,1)))</f>
        <v>1</v>
      </c>
      <c r="W879" s="5">
        <f>MAX(V879,IF(K879=5,Parametros!$B$17,0),IF(P879="Sim",Parametros!$B$18,0))</f>
        <v>1</v>
      </c>
      <c r="X879" s="5" t="str">
        <f t="shared" si="54"/>
        <v>Baixa</v>
      </c>
      <c r="Y879" s="29">
        <f t="shared" si="55"/>
        <v>1012.7991209999999</v>
      </c>
      <c r="Z879" s="4" t="s">
        <v>1213</v>
      </c>
    </row>
    <row r="880" spans="1:26" ht="28.05" customHeight="1" x14ac:dyDescent="0.3">
      <c r="A880" s="5">
        <f t="shared" si="52"/>
        <v>876</v>
      </c>
      <c r="B880" s="23" t="s">
        <v>1946</v>
      </c>
      <c r="C880" s="17" t="s">
        <v>1947</v>
      </c>
      <c r="D880" s="4" t="s">
        <v>48</v>
      </c>
      <c r="E880" s="4" t="s">
        <v>85</v>
      </c>
      <c r="F880" s="4" t="s">
        <v>85</v>
      </c>
      <c r="G880" s="4" t="s">
        <v>171</v>
      </c>
      <c r="H880" s="4" t="s">
        <v>172</v>
      </c>
      <c r="I880" s="24" t="s">
        <v>954</v>
      </c>
      <c r="J880" s="15">
        <v>2</v>
      </c>
      <c r="K880" s="15">
        <v>2</v>
      </c>
      <c r="L880" s="15">
        <v>1</v>
      </c>
      <c r="M880" s="15">
        <v>1</v>
      </c>
      <c r="N880" s="15">
        <v>1</v>
      </c>
      <c r="O880" s="15">
        <v>2</v>
      </c>
      <c r="P880" s="15" t="s">
        <v>415</v>
      </c>
      <c r="Q880" s="23" t="s">
        <v>838</v>
      </c>
      <c r="R880" s="25">
        <f>ROUND((K880*Parametros!$B$4+L880*Parametros!$B$5+M880*Parametros!$B$6+N880*Parametros!$B$7+O880*Parametros!$B$8)/SUM(Parametros!$B$4:$B$8),2)</f>
        <v>1.45</v>
      </c>
      <c r="S880" s="26">
        <f>IFERROR(INDEX(Parametros!$F$33:$F$42,MATCH(D880,Parametros!$A$33:$A$42,0)),1)</f>
        <v>1.1000000000000001</v>
      </c>
      <c r="T880" s="27">
        <f>IFERROR(INDEX(Parametros!$B$21:$B$26,MATCH(I880,Parametros!$A$21:$A$26,0)),0)</f>
        <v>-0.3</v>
      </c>
      <c r="U880" s="28">
        <f t="shared" si="53"/>
        <v>1.3</v>
      </c>
      <c r="V880" s="9">
        <f>IF(U880&gt;=Parametros!$B$14,4,IF(U880&gt;=Parametros!$B$13,3,IF(U880&gt;=Parametros!$B$12,2,1)))</f>
        <v>1</v>
      </c>
      <c r="W880" s="5">
        <f>MAX(V880,IF(K880=5,Parametros!$B$17,0),IF(P880="Sim",Parametros!$B$18,0))</f>
        <v>1</v>
      </c>
      <c r="X880" s="5" t="str">
        <f t="shared" si="54"/>
        <v>Baixa</v>
      </c>
      <c r="Y880" s="29">
        <f t="shared" si="55"/>
        <v>1012.7991199999999</v>
      </c>
      <c r="Z880" s="4" t="s">
        <v>1213</v>
      </c>
    </row>
    <row r="881" spans="1:26" ht="28.05" customHeight="1" x14ac:dyDescent="0.3">
      <c r="A881" s="5">
        <f t="shared" si="52"/>
        <v>877</v>
      </c>
      <c r="B881" s="23" t="s">
        <v>1948</v>
      </c>
      <c r="C881" s="17" t="s">
        <v>1949</v>
      </c>
      <c r="D881" s="4" t="s">
        <v>48</v>
      </c>
      <c r="E881" s="4" t="s">
        <v>85</v>
      </c>
      <c r="F881" s="4" t="s">
        <v>85</v>
      </c>
      <c r="G881" s="4" t="s">
        <v>171</v>
      </c>
      <c r="H881" s="4" t="s">
        <v>172</v>
      </c>
      <c r="I881" s="24" t="s">
        <v>954</v>
      </c>
      <c r="J881" s="15">
        <v>2</v>
      </c>
      <c r="K881" s="15">
        <v>2</v>
      </c>
      <c r="L881" s="15">
        <v>1</v>
      </c>
      <c r="M881" s="15">
        <v>1</v>
      </c>
      <c r="N881" s="15">
        <v>1</v>
      </c>
      <c r="O881" s="15">
        <v>2</v>
      </c>
      <c r="P881" s="15" t="s">
        <v>415</v>
      </c>
      <c r="Q881" s="23" t="s">
        <v>838</v>
      </c>
      <c r="R881" s="25">
        <f>ROUND((K881*Parametros!$B$4+L881*Parametros!$B$5+M881*Parametros!$B$6+N881*Parametros!$B$7+O881*Parametros!$B$8)/SUM(Parametros!$B$4:$B$8),2)</f>
        <v>1.45</v>
      </c>
      <c r="S881" s="26">
        <f>IFERROR(INDEX(Parametros!$F$33:$F$42,MATCH(D881,Parametros!$A$33:$A$42,0)),1)</f>
        <v>1.1000000000000001</v>
      </c>
      <c r="T881" s="27">
        <f>IFERROR(INDEX(Parametros!$B$21:$B$26,MATCH(I881,Parametros!$A$21:$A$26,0)),0)</f>
        <v>-0.3</v>
      </c>
      <c r="U881" s="28">
        <f t="shared" si="53"/>
        <v>1.3</v>
      </c>
      <c r="V881" s="9">
        <f>IF(U881&gt;=Parametros!$B$14,4,IF(U881&gt;=Parametros!$B$13,3,IF(U881&gt;=Parametros!$B$12,2,1)))</f>
        <v>1</v>
      </c>
      <c r="W881" s="5">
        <f>MAX(V881,IF(K881=5,Parametros!$B$17,0),IF(P881="Sim",Parametros!$B$18,0))</f>
        <v>1</v>
      </c>
      <c r="X881" s="5" t="str">
        <f t="shared" si="54"/>
        <v>Baixa</v>
      </c>
      <c r="Y881" s="29">
        <f t="shared" si="55"/>
        <v>1012.7991189999999</v>
      </c>
      <c r="Z881" s="4" t="s">
        <v>1213</v>
      </c>
    </row>
    <row r="882" spans="1:26" ht="28.05" customHeight="1" x14ac:dyDescent="0.3">
      <c r="A882" s="5">
        <f t="shared" si="52"/>
        <v>878</v>
      </c>
      <c r="B882" s="23" t="s">
        <v>1950</v>
      </c>
      <c r="C882" s="17" t="s">
        <v>1951</v>
      </c>
      <c r="D882" s="4" t="s">
        <v>48</v>
      </c>
      <c r="E882" s="4" t="s">
        <v>85</v>
      </c>
      <c r="F882" s="4" t="s">
        <v>85</v>
      </c>
      <c r="G882" s="4" t="s">
        <v>171</v>
      </c>
      <c r="H882" s="4" t="s">
        <v>172</v>
      </c>
      <c r="I882" s="24" t="s">
        <v>954</v>
      </c>
      <c r="J882" s="15">
        <v>2</v>
      </c>
      <c r="K882" s="15">
        <v>2</v>
      </c>
      <c r="L882" s="15">
        <v>1</v>
      </c>
      <c r="M882" s="15">
        <v>1</v>
      </c>
      <c r="N882" s="15">
        <v>1</v>
      </c>
      <c r="O882" s="15">
        <v>2</v>
      </c>
      <c r="P882" s="15" t="s">
        <v>415</v>
      </c>
      <c r="Q882" s="23" t="s">
        <v>838</v>
      </c>
      <c r="R882" s="25">
        <f>ROUND((K882*Parametros!$B$4+L882*Parametros!$B$5+M882*Parametros!$B$6+N882*Parametros!$B$7+O882*Parametros!$B$8)/SUM(Parametros!$B$4:$B$8),2)</f>
        <v>1.45</v>
      </c>
      <c r="S882" s="26">
        <f>IFERROR(INDEX(Parametros!$F$33:$F$42,MATCH(D882,Parametros!$A$33:$A$42,0)),1)</f>
        <v>1.1000000000000001</v>
      </c>
      <c r="T882" s="27">
        <f>IFERROR(INDEX(Parametros!$B$21:$B$26,MATCH(I882,Parametros!$A$21:$A$26,0)),0)</f>
        <v>-0.3</v>
      </c>
      <c r="U882" s="28">
        <f t="shared" si="53"/>
        <v>1.3</v>
      </c>
      <c r="V882" s="9">
        <f>IF(U882&gt;=Parametros!$B$14,4,IF(U882&gt;=Parametros!$B$13,3,IF(U882&gt;=Parametros!$B$12,2,1)))</f>
        <v>1</v>
      </c>
      <c r="W882" s="5">
        <f>MAX(V882,IF(K882=5,Parametros!$B$17,0),IF(P882="Sim",Parametros!$B$18,0))</f>
        <v>1</v>
      </c>
      <c r="X882" s="5" t="str">
        <f t="shared" si="54"/>
        <v>Baixa</v>
      </c>
      <c r="Y882" s="29">
        <f t="shared" si="55"/>
        <v>1012.7991179999999</v>
      </c>
      <c r="Z882" s="4" t="s">
        <v>1213</v>
      </c>
    </row>
    <row r="883" spans="1:26" ht="28.05" customHeight="1" x14ac:dyDescent="0.3">
      <c r="A883" s="5">
        <f t="shared" si="52"/>
        <v>879</v>
      </c>
      <c r="B883" s="23" t="s">
        <v>1952</v>
      </c>
      <c r="C883" s="17" t="s">
        <v>1953</v>
      </c>
      <c r="D883" s="4" t="s">
        <v>57</v>
      </c>
      <c r="E883" s="4" t="s">
        <v>170</v>
      </c>
      <c r="F883" s="4" t="s">
        <v>170</v>
      </c>
      <c r="G883" s="4" t="s">
        <v>107</v>
      </c>
      <c r="H883" s="4" t="s">
        <v>108</v>
      </c>
      <c r="I883" s="24" t="s">
        <v>152</v>
      </c>
      <c r="J883" s="15">
        <v>2</v>
      </c>
      <c r="K883" s="15">
        <v>1</v>
      </c>
      <c r="L883" s="15">
        <v>1</v>
      </c>
      <c r="M883" s="15">
        <v>1</v>
      </c>
      <c r="N883" s="15">
        <v>1</v>
      </c>
      <c r="O883" s="15">
        <v>3</v>
      </c>
      <c r="P883" s="15" t="s">
        <v>415</v>
      </c>
      <c r="Q883" s="23" t="s">
        <v>838</v>
      </c>
      <c r="R883" s="25">
        <f>ROUND((K883*Parametros!$B$4+L883*Parametros!$B$5+M883*Parametros!$B$6+N883*Parametros!$B$7+O883*Parametros!$B$8)/SUM(Parametros!$B$4:$B$8),2)</f>
        <v>1.3</v>
      </c>
      <c r="S883" s="26">
        <f>IFERROR(INDEX(Parametros!$F$33:$F$42,MATCH(D883,Parametros!$A$33:$A$42,0)),1)</f>
        <v>1</v>
      </c>
      <c r="T883" s="27">
        <f>IFERROR(INDEX(Parametros!$B$21:$B$26,MATCH(I883,Parametros!$A$21:$A$26,0)),0)</f>
        <v>0</v>
      </c>
      <c r="U883" s="28">
        <f t="shared" si="53"/>
        <v>1.3</v>
      </c>
      <c r="V883" s="9">
        <f>IF(U883&gt;=Parametros!$B$14,4,IF(U883&gt;=Parametros!$B$13,3,IF(U883&gt;=Parametros!$B$12,2,1)))</f>
        <v>1</v>
      </c>
      <c r="W883" s="5">
        <f>MAX(V883,IF(K883=5,Parametros!$B$17,0),IF(P883="Sim",Parametros!$B$18,0))</f>
        <v>1</v>
      </c>
      <c r="X883" s="5" t="str">
        <f t="shared" si="54"/>
        <v>Baixa</v>
      </c>
      <c r="Y883" s="29">
        <f t="shared" si="55"/>
        <v>1012.7991169999999</v>
      </c>
      <c r="Z883" s="4" t="s">
        <v>659</v>
      </c>
    </row>
    <row r="884" spans="1:26" ht="28.05" customHeight="1" x14ac:dyDescent="0.3">
      <c r="A884" s="5">
        <f t="shared" si="52"/>
        <v>880</v>
      </c>
      <c r="B884" s="23" t="s">
        <v>1954</v>
      </c>
      <c r="C884" s="17" t="s">
        <v>1955</v>
      </c>
      <c r="D884" s="4" t="s">
        <v>50</v>
      </c>
      <c r="E884" s="4" t="s">
        <v>75</v>
      </c>
      <c r="F884" s="4" t="s">
        <v>75</v>
      </c>
      <c r="G884" s="4" t="s">
        <v>112</v>
      </c>
      <c r="H884" s="4" t="s">
        <v>108</v>
      </c>
      <c r="I884" s="24" t="s">
        <v>954</v>
      </c>
      <c r="J884" s="15">
        <v>2</v>
      </c>
      <c r="K884" s="15">
        <v>2</v>
      </c>
      <c r="L884" s="15">
        <v>1</v>
      </c>
      <c r="M884" s="15">
        <v>1</v>
      </c>
      <c r="N884" s="15">
        <v>1</v>
      </c>
      <c r="O884" s="15">
        <v>2</v>
      </c>
      <c r="P884" s="15" t="s">
        <v>415</v>
      </c>
      <c r="Q884" s="23" t="s">
        <v>838</v>
      </c>
      <c r="R884" s="25">
        <f>ROUND((K884*Parametros!$B$4+L884*Parametros!$B$5+M884*Parametros!$B$6+N884*Parametros!$B$7+O884*Parametros!$B$8)/SUM(Parametros!$B$4:$B$8),2)</f>
        <v>1.45</v>
      </c>
      <c r="S884" s="26">
        <f>IFERROR(INDEX(Parametros!$F$33:$F$42,MATCH(D884,Parametros!$A$33:$A$42,0)),1)</f>
        <v>1.0840000000000001</v>
      </c>
      <c r="T884" s="27">
        <f>IFERROR(INDEX(Parametros!$B$21:$B$26,MATCH(I884,Parametros!$A$21:$A$26,0)),0)</f>
        <v>-0.3</v>
      </c>
      <c r="U884" s="28">
        <f t="shared" si="53"/>
        <v>1.27</v>
      </c>
      <c r="V884" s="9">
        <f>IF(U884&gt;=Parametros!$B$14,4,IF(U884&gt;=Parametros!$B$13,3,IF(U884&gt;=Parametros!$B$12,2,1)))</f>
        <v>1</v>
      </c>
      <c r="W884" s="5">
        <f>MAX(V884,IF(K884=5,Parametros!$B$17,0),IF(P884="Sim",Parametros!$B$18,0))</f>
        <v>1</v>
      </c>
      <c r="X884" s="5" t="str">
        <f t="shared" si="54"/>
        <v>Baixa</v>
      </c>
      <c r="Y884" s="29">
        <f t="shared" si="55"/>
        <v>1012.499116</v>
      </c>
      <c r="Z884" s="4" t="s">
        <v>1213</v>
      </c>
    </row>
    <row r="885" spans="1:26" ht="28.05" customHeight="1" x14ac:dyDescent="0.3">
      <c r="A885" s="5">
        <f t="shared" si="52"/>
        <v>881</v>
      </c>
      <c r="B885" s="23" t="s">
        <v>1956</v>
      </c>
      <c r="C885" s="17" t="s">
        <v>1957</v>
      </c>
      <c r="D885" s="4" t="s">
        <v>50</v>
      </c>
      <c r="E885" s="4" t="s">
        <v>1351</v>
      </c>
      <c r="F885" s="4" t="s">
        <v>1351</v>
      </c>
      <c r="G885" s="4" t="s">
        <v>171</v>
      </c>
      <c r="H885" s="4" t="s">
        <v>172</v>
      </c>
      <c r="I885" s="24" t="s">
        <v>954</v>
      </c>
      <c r="J885" s="15">
        <v>2</v>
      </c>
      <c r="K885" s="15">
        <v>2</v>
      </c>
      <c r="L885" s="15">
        <v>1</v>
      </c>
      <c r="M885" s="15">
        <v>1</v>
      </c>
      <c r="N885" s="15">
        <v>1</v>
      </c>
      <c r="O885" s="15">
        <v>2</v>
      </c>
      <c r="P885" s="15" t="s">
        <v>415</v>
      </c>
      <c r="Q885" s="23" t="s">
        <v>838</v>
      </c>
      <c r="R885" s="25">
        <f>ROUND((K885*Parametros!$B$4+L885*Parametros!$B$5+M885*Parametros!$B$6+N885*Parametros!$B$7+O885*Parametros!$B$8)/SUM(Parametros!$B$4:$B$8),2)</f>
        <v>1.45</v>
      </c>
      <c r="S885" s="26">
        <f>IFERROR(INDEX(Parametros!$F$33:$F$42,MATCH(D885,Parametros!$A$33:$A$42,0)),1)</f>
        <v>1.0840000000000001</v>
      </c>
      <c r="T885" s="27">
        <f>IFERROR(INDEX(Parametros!$B$21:$B$26,MATCH(I885,Parametros!$A$21:$A$26,0)),0)</f>
        <v>-0.3</v>
      </c>
      <c r="U885" s="28">
        <f t="shared" si="53"/>
        <v>1.27</v>
      </c>
      <c r="V885" s="9">
        <f>IF(U885&gt;=Parametros!$B$14,4,IF(U885&gt;=Parametros!$B$13,3,IF(U885&gt;=Parametros!$B$12,2,1)))</f>
        <v>1</v>
      </c>
      <c r="W885" s="5">
        <f>MAX(V885,IF(K885=5,Parametros!$B$17,0),IF(P885="Sim",Parametros!$B$18,0))</f>
        <v>1</v>
      </c>
      <c r="X885" s="5" t="str">
        <f t="shared" si="54"/>
        <v>Baixa</v>
      </c>
      <c r="Y885" s="29">
        <f t="shared" si="55"/>
        <v>1012.499115</v>
      </c>
      <c r="Z885" s="4" t="s">
        <v>1213</v>
      </c>
    </row>
    <row r="886" spans="1:26" ht="28.05" customHeight="1" x14ac:dyDescent="0.3">
      <c r="A886" s="5">
        <f t="shared" si="52"/>
        <v>882</v>
      </c>
      <c r="B886" s="23" t="s">
        <v>1958</v>
      </c>
      <c r="C886" s="17" t="s">
        <v>1959</v>
      </c>
      <c r="D886" s="4" t="s">
        <v>50</v>
      </c>
      <c r="E886" s="4" t="s">
        <v>1351</v>
      </c>
      <c r="F886" s="4" t="s">
        <v>1351</v>
      </c>
      <c r="G886" s="4" t="s">
        <v>171</v>
      </c>
      <c r="H886" s="4" t="s">
        <v>172</v>
      </c>
      <c r="I886" s="24" t="s">
        <v>954</v>
      </c>
      <c r="J886" s="15">
        <v>2</v>
      </c>
      <c r="K886" s="15">
        <v>2</v>
      </c>
      <c r="L886" s="15">
        <v>1</v>
      </c>
      <c r="M886" s="15">
        <v>1</v>
      </c>
      <c r="N886" s="15">
        <v>1</v>
      </c>
      <c r="O886" s="15">
        <v>2</v>
      </c>
      <c r="P886" s="15" t="s">
        <v>415</v>
      </c>
      <c r="Q886" s="23" t="s">
        <v>838</v>
      </c>
      <c r="R886" s="25">
        <f>ROUND((K886*Parametros!$B$4+L886*Parametros!$B$5+M886*Parametros!$B$6+N886*Parametros!$B$7+O886*Parametros!$B$8)/SUM(Parametros!$B$4:$B$8),2)</f>
        <v>1.45</v>
      </c>
      <c r="S886" s="26">
        <f>IFERROR(INDEX(Parametros!$F$33:$F$42,MATCH(D886,Parametros!$A$33:$A$42,0)),1)</f>
        <v>1.0840000000000001</v>
      </c>
      <c r="T886" s="27">
        <f>IFERROR(INDEX(Parametros!$B$21:$B$26,MATCH(I886,Parametros!$A$21:$A$26,0)),0)</f>
        <v>-0.3</v>
      </c>
      <c r="U886" s="28">
        <f t="shared" si="53"/>
        <v>1.27</v>
      </c>
      <c r="V886" s="9">
        <f>IF(U886&gt;=Parametros!$B$14,4,IF(U886&gt;=Parametros!$B$13,3,IF(U886&gt;=Parametros!$B$12,2,1)))</f>
        <v>1</v>
      </c>
      <c r="W886" s="5">
        <f>MAX(V886,IF(K886=5,Parametros!$B$17,0),IF(P886="Sim",Parametros!$B$18,0))</f>
        <v>1</v>
      </c>
      <c r="X886" s="5" t="str">
        <f t="shared" si="54"/>
        <v>Baixa</v>
      </c>
      <c r="Y886" s="29">
        <f t="shared" si="55"/>
        <v>1012.499114</v>
      </c>
      <c r="Z886" s="4" t="s">
        <v>1213</v>
      </c>
    </row>
    <row r="887" spans="1:26" ht="28.05" customHeight="1" x14ac:dyDescent="0.3">
      <c r="A887" s="5">
        <f t="shared" si="52"/>
        <v>883</v>
      </c>
      <c r="B887" s="23" t="s">
        <v>1960</v>
      </c>
      <c r="C887" s="17" t="s">
        <v>1961</v>
      </c>
      <c r="D887" s="4" t="s">
        <v>50</v>
      </c>
      <c r="E887" s="4" t="s">
        <v>1351</v>
      </c>
      <c r="F887" s="4" t="s">
        <v>1351</v>
      </c>
      <c r="G887" s="4" t="s">
        <v>171</v>
      </c>
      <c r="H887" s="4" t="s">
        <v>172</v>
      </c>
      <c r="I887" s="24" t="s">
        <v>954</v>
      </c>
      <c r="J887" s="15">
        <v>2</v>
      </c>
      <c r="K887" s="15">
        <v>2</v>
      </c>
      <c r="L887" s="15">
        <v>1</v>
      </c>
      <c r="M887" s="15">
        <v>1</v>
      </c>
      <c r="N887" s="15">
        <v>1</v>
      </c>
      <c r="O887" s="15">
        <v>2</v>
      </c>
      <c r="P887" s="15" t="s">
        <v>415</v>
      </c>
      <c r="Q887" s="23" t="s">
        <v>838</v>
      </c>
      <c r="R887" s="25">
        <f>ROUND((K887*Parametros!$B$4+L887*Parametros!$B$5+M887*Parametros!$B$6+N887*Parametros!$B$7+O887*Parametros!$B$8)/SUM(Parametros!$B$4:$B$8),2)</f>
        <v>1.45</v>
      </c>
      <c r="S887" s="26">
        <f>IFERROR(INDEX(Parametros!$F$33:$F$42,MATCH(D887,Parametros!$A$33:$A$42,0)),1)</f>
        <v>1.0840000000000001</v>
      </c>
      <c r="T887" s="27">
        <f>IFERROR(INDEX(Parametros!$B$21:$B$26,MATCH(I887,Parametros!$A$21:$A$26,0)),0)</f>
        <v>-0.3</v>
      </c>
      <c r="U887" s="28">
        <f t="shared" si="53"/>
        <v>1.27</v>
      </c>
      <c r="V887" s="9">
        <f>IF(U887&gt;=Parametros!$B$14,4,IF(U887&gt;=Parametros!$B$13,3,IF(U887&gt;=Parametros!$B$12,2,1)))</f>
        <v>1</v>
      </c>
      <c r="W887" s="5">
        <f>MAX(V887,IF(K887=5,Parametros!$B$17,0),IF(P887="Sim",Parametros!$B$18,0))</f>
        <v>1</v>
      </c>
      <c r="X887" s="5" t="str">
        <f t="shared" si="54"/>
        <v>Baixa</v>
      </c>
      <c r="Y887" s="29">
        <f t="shared" si="55"/>
        <v>1012.499113</v>
      </c>
      <c r="Z887" s="4" t="s">
        <v>1213</v>
      </c>
    </row>
    <row r="888" spans="1:26" ht="28.05" customHeight="1" x14ac:dyDescent="0.3">
      <c r="A888" s="5">
        <f t="shared" si="52"/>
        <v>884</v>
      </c>
      <c r="B888" s="23" t="s">
        <v>1962</v>
      </c>
      <c r="C888" s="17" t="s">
        <v>1963</v>
      </c>
      <c r="D888" s="4" t="s">
        <v>50</v>
      </c>
      <c r="E888" s="4" t="s">
        <v>1351</v>
      </c>
      <c r="F888" s="4" t="s">
        <v>1351</v>
      </c>
      <c r="G888" s="4" t="s">
        <v>171</v>
      </c>
      <c r="H888" s="4" t="s">
        <v>172</v>
      </c>
      <c r="I888" s="24" t="s">
        <v>954</v>
      </c>
      <c r="J888" s="15">
        <v>2</v>
      </c>
      <c r="K888" s="15">
        <v>2</v>
      </c>
      <c r="L888" s="15">
        <v>1</v>
      </c>
      <c r="M888" s="15">
        <v>1</v>
      </c>
      <c r="N888" s="15">
        <v>1</v>
      </c>
      <c r="O888" s="15">
        <v>2</v>
      </c>
      <c r="P888" s="15" t="s">
        <v>415</v>
      </c>
      <c r="Q888" s="23" t="s">
        <v>838</v>
      </c>
      <c r="R888" s="25">
        <f>ROUND((K888*Parametros!$B$4+L888*Parametros!$B$5+M888*Parametros!$B$6+N888*Parametros!$B$7+O888*Parametros!$B$8)/SUM(Parametros!$B$4:$B$8),2)</f>
        <v>1.45</v>
      </c>
      <c r="S888" s="26">
        <f>IFERROR(INDEX(Parametros!$F$33:$F$42,MATCH(D888,Parametros!$A$33:$A$42,0)),1)</f>
        <v>1.0840000000000001</v>
      </c>
      <c r="T888" s="27">
        <f>IFERROR(INDEX(Parametros!$B$21:$B$26,MATCH(I888,Parametros!$A$21:$A$26,0)),0)</f>
        <v>-0.3</v>
      </c>
      <c r="U888" s="28">
        <f t="shared" si="53"/>
        <v>1.27</v>
      </c>
      <c r="V888" s="9">
        <f>IF(U888&gt;=Parametros!$B$14,4,IF(U888&gt;=Parametros!$B$13,3,IF(U888&gt;=Parametros!$B$12,2,1)))</f>
        <v>1</v>
      </c>
      <c r="W888" s="5">
        <f>MAX(V888,IF(K888=5,Parametros!$B$17,0),IF(P888="Sim",Parametros!$B$18,0))</f>
        <v>1</v>
      </c>
      <c r="X888" s="5" t="str">
        <f t="shared" si="54"/>
        <v>Baixa</v>
      </c>
      <c r="Y888" s="29">
        <f t="shared" si="55"/>
        <v>1012.499112</v>
      </c>
      <c r="Z888" s="4" t="s">
        <v>1213</v>
      </c>
    </row>
    <row r="889" spans="1:26" ht="28.05" customHeight="1" x14ac:dyDescent="0.3">
      <c r="A889" s="5">
        <f t="shared" si="52"/>
        <v>885</v>
      </c>
      <c r="B889" s="23" t="s">
        <v>1964</v>
      </c>
      <c r="C889" s="17" t="s">
        <v>1965</v>
      </c>
      <c r="D889" s="4" t="s">
        <v>50</v>
      </c>
      <c r="E889" s="4" t="s">
        <v>70</v>
      </c>
      <c r="F889" s="4" t="s">
        <v>70</v>
      </c>
      <c r="G889" s="4" t="s">
        <v>119</v>
      </c>
      <c r="H889" s="4" t="s">
        <v>108</v>
      </c>
      <c r="I889" s="24" t="s">
        <v>954</v>
      </c>
      <c r="J889" s="15">
        <v>2</v>
      </c>
      <c r="K889" s="15">
        <v>2</v>
      </c>
      <c r="L889" s="15">
        <v>1</v>
      </c>
      <c r="M889" s="15">
        <v>1</v>
      </c>
      <c r="N889" s="15">
        <v>1</v>
      </c>
      <c r="O889" s="15">
        <v>2</v>
      </c>
      <c r="P889" s="15" t="s">
        <v>415</v>
      </c>
      <c r="Q889" s="23" t="s">
        <v>838</v>
      </c>
      <c r="R889" s="25">
        <f>ROUND((K889*Parametros!$B$4+L889*Parametros!$B$5+M889*Parametros!$B$6+N889*Parametros!$B$7+O889*Parametros!$B$8)/SUM(Parametros!$B$4:$B$8),2)</f>
        <v>1.45</v>
      </c>
      <c r="S889" s="26">
        <f>IFERROR(INDEX(Parametros!$F$33:$F$42,MATCH(D889,Parametros!$A$33:$A$42,0)),1)</f>
        <v>1.0840000000000001</v>
      </c>
      <c r="T889" s="27">
        <f>IFERROR(INDEX(Parametros!$B$21:$B$26,MATCH(I889,Parametros!$A$21:$A$26,0)),0)</f>
        <v>-0.3</v>
      </c>
      <c r="U889" s="28">
        <f t="shared" si="53"/>
        <v>1.27</v>
      </c>
      <c r="V889" s="9">
        <f>IF(U889&gt;=Parametros!$B$14,4,IF(U889&gt;=Parametros!$B$13,3,IF(U889&gt;=Parametros!$B$12,2,1)))</f>
        <v>1</v>
      </c>
      <c r="W889" s="5">
        <f>MAX(V889,IF(K889=5,Parametros!$B$17,0),IF(P889="Sim",Parametros!$B$18,0))</f>
        <v>1</v>
      </c>
      <c r="X889" s="5" t="str">
        <f t="shared" si="54"/>
        <v>Baixa</v>
      </c>
      <c r="Y889" s="29">
        <f t="shared" si="55"/>
        <v>1012.499111</v>
      </c>
      <c r="Z889" s="4" t="s">
        <v>1213</v>
      </c>
    </row>
    <row r="890" spans="1:26" ht="28.05" customHeight="1" x14ac:dyDescent="0.3">
      <c r="A890" s="5">
        <f t="shared" si="52"/>
        <v>886</v>
      </c>
      <c r="B890" s="23" t="s">
        <v>1966</v>
      </c>
      <c r="C890" s="17" t="s">
        <v>1967</v>
      </c>
      <c r="D890" s="4" t="s">
        <v>50</v>
      </c>
      <c r="E890" s="4" t="s">
        <v>70</v>
      </c>
      <c r="F890" s="4" t="s">
        <v>70</v>
      </c>
      <c r="G890" s="4" t="s">
        <v>171</v>
      </c>
      <c r="H890" s="4" t="s">
        <v>172</v>
      </c>
      <c r="I890" s="24" t="s">
        <v>954</v>
      </c>
      <c r="J890" s="15">
        <v>2</v>
      </c>
      <c r="K890" s="15">
        <v>2</v>
      </c>
      <c r="L890" s="15">
        <v>1</v>
      </c>
      <c r="M890" s="15">
        <v>1</v>
      </c>
      <c r="N890" s="15">
        <v>1</v>
      </c>
      <c r="O890" s="15">
        <v>2</v>
      </c>
      <c r="P890" s="15" t="s">
        <v>415</v>
      </c>
      <c r="Q890" s="23" t="s">
        <v>838</v>
      </c>
      <c r="R890" s="25">
        <f>ROUND((K890*Parametros!$B$4+L890*Parametros!$B$5+M890*Parametros!$B$6+N890*Parametros!$B$7+O890*Parametros!$B$8)/SUM(Parametros!$B$4:$B$8),2)</f>
        <v>1.45</v>
      </c>
      <c r="S890" s="26">
        <f>IFERROR(INDEX(Parametros!$F$33:$F$42,MATCH(D890,Parametros!$A$33:$A$42,0)),1)</f>
        <v>1.0840000000000001</v>
      </c>
      <c r="T890" s="27">
        <f>IFERROR(INDEX(Parametros!$B$21:$B$26,MATCH(I890,Parametros!$A$21:$A$26,0)),0)</f>
        <v>-0.3</v>
      </c>
      <c r="U890" s="28">
        <f t="shared" si="53"/>
        <v>1.27</v>
      </c>
      <c r="V890" s="9">
        <f>IF(U890&gt;=Parametros!$B$14,4,IF(U890&gt;=Parametros!$B$13,3,IF(U890&gt;=Parametros!$B$12,2,1)))</f>
        <v>1</v>
      </c>
      <c r="W890" s="5">
        <f>MAX(V890,IF(K890=5,Parametros!$B$17,0),IF(P890="Sim",Parametros!$B$18,0))</f>
        <v>1</v>
      </c>
      <c r="X890" s="5" t="str">
        <f t="shared" si="54"/>
        <v>Baixa</v>
      </c>
      <c r="Y890" s="29">
        <f t="shared" si="55"/>
        <v>1012.49911</v>
      </c>
      <c r="Z890" s="4" t="s">
        <v>1213</v>
      </c>
    </row>
    <row r="891" spans="1:26" ht="28.05" customHeight="1" x14ac:dyDescent="0.3">
      <c r="A891" s="5">
        <f t="shared" si="52"/>
        <v>887</v>
      </c>
      <c r="B891" s="23" t="s">
        <v>1968</v>
      </c>
      <c r="C891" s="17" t="s">
        <v>1969</v>
      </c>
      <c r="D891" s="4" t="s">
        <v>50</v>
      </c>
      <c r="E891" s="4" t="s">
        <v>70</v>
      </c>
      <c r="F891" s="4" t="s">
        <v>70</v>
      </c>
      <c r="G891" s="4" t="s">
        <v>171</v>
      </c>
      <c r="H891" s="4" t="s">
        <v>172</v>
      </c>
      <c r="I891" s="24" t="s">
        <v>954</v>
      </c>
      <c r="J891" s="15">
        <v>2</v>
      </c>
      <c r="K891" s="15">
        <v>2</v>
      </c>
      <c r="L891" s="15">
        <v>1</v>
      </c>
      <c r="M891" s="15">
        <v>1</v>
      </c>
      <c r="N891" s="15">
        <v>1</v>
      </c>
      <c r="O891" s="15">
        <v>2</v>
      </c>
      <c r="P891" s="15" t="s">
        <v>415</v>
      </c>
      <c r="Q891" s="23" t="s">
        <v>838</v>
      </c>
      <c r="R891" s="25">
        <f>ROUND((K891*Parametros!$B$4+L891*Parametros!$B$5+M891*Parametros!$B$6+N891*Parametros!$B$7+O891*Parametros!$B$8)/SUM(Parametros!$B$4:$B$8),2)</f>
        <v>1.45</v>
      </c>
      <c r="S891" s="26">
        <f>IFERROR(INDEX(Parametros!$F$33:$F$42,MATCH(D891,Parametros!$A$33:$A$42,0)),1)</f>
        <v>1.0840000000000001</v>
      </c>
      <c r="T891" s="27">
        <f>IFERROR(INDEX(Parametros!$B$21:$B$26,MATCH(I891,Parametros!$A$21:$A$26,0)),0)</f>
        <v>-0.3</v>
      </c>
      <c r="U891" s="28">
        <f t="shared" si="53"/>
        <v>1.27</v>
      </c>
      <c r="V891" s="9">
        <f>IF(U891&gt;=Parametros!$B$14,4,IF(U891&gt;=Parametros!$B$13,3,IF(U891&gt;=Parametros!$B$12,2,1)))</f>
        <v>1</v>
      </c>
      <c r="W891" s="5">
        <f>MAX(V891,IF(K891=5,Parametros!$B$17,0),IF(P891="Sim",Parametros!$B$18,0))</f>
        <v>1</v>
      </c>
      <c r="X891" s="5" t="str">
        <f t="shared" si="54"/>
        <v>Baixa</v>
      </c>
      <c r="Y891" s="29">
        <f t="shared" si="55"/>
        <v>1012.499109</v>
      </c>
      <c r="Z891" s="4" t="s">
        <v>1213</v>
      </c>
    </row>
    <row r="892" spans="1:26" ht="28.05" customHeight="1" x14ac:dyDescent="0.3">
      <c r="A892" s="5">
        <f t="shared" si="52"/>
        <v>888</v>
      </c>
      <c r="B892" s="23" t="s">
        <v>1970</v>
      </c>
      <c r="C892" s="17" t="s">
        <v>1971</v>
      </c>
      <c r="D892" s="4" t="s">
        <v>50</v>
      </c>
      <c r="E892" s="4" t="s">
        <v>70</v>
      </c>
      <c r="F892" s="4" t="s">
        <v>70</v>
      </c>
      <c r="G892" s="4" t="s">
        <v>171</v>
      </c>
      <c r="H892" s="4" t="s">
        <v>172</v>
      </c>
      <c r="I892" s="24" t="s">
        <v>954</v>
      </c>
      <c r="J892" s="15">
        <v>2</v>
      </c>
      <c r="K892" s="15">
        <v>2</v>
      </c>
      <c r="L892" s="15">
        <v>1</v>
      </c>
      <c r="M892" s="15">
        <v>1</v>
      </c>
      <c r="N892" s="15">
        <v>1</v>
      </c>
      <c r="O892" s="15">
        <v>2</v>
      </c>
      <c r="P892" s="15" t="s">
        <v>415</v>
      </c>
      <c r="Q892" s="23" t="s">
        <v>838</v>
      </c>
      <c r="R892" s="25">
        <f>ROUND((K892*Parametros!$B$4+L892*Parametros!$B$5+M892*Parametros!$B$6+N892*Parametros!$B$7+O892*Parametros!$B$8)/SUM(Parametros!$B$4:$B$8),2)</f>
        <v>1.45</v>
      </c>
      <c r="S892" s="26">
        <f>IFERROR(INDEX(Parametros!$F$33:$F$42,MATCH(D892,Parametros!$A$33:$A$42,0)),1)</f>
        <v>1.0840000000000001</v>
      </c>
      <c r="T892" s="27">
        <f>IFERROR(INDEX(Parametros!$B$21:$B$26,MATCH(I892,Parametros!$A$21:$A$26,0)),0)</f>
        <v>-0.3</v>
      </c>
      <c r="U892" s="28">
        <f t="shared" si="53"/>
        <v>1.27</v>
      </c>
      <c r="V892" s="9">
        <f>IF(U892&gt;=Parametros!$B$14,4,IF(U892&gt;=Parametros!$B$13,3,IF(U892&gt;=Parametros!$B$12,2,1)))</f>
        <v>1</v>
      </c>
      <c r="W892" s="5">
        <f>MAX(V892,IF(K892=5,Parametros!$B$17,0),IF(P892="Sim",Parametros!$B$18,0))</f>
        <v>1</v>
      </c>
      <c r="X892" s="5" t="str">
        <f t="shared" si="54"/>
        <v>Baixa</v>
      </c>
      <c r="Y892" s="29">
        <f t="shared" si="55"/>
        <v>1012.499108</v>
      </c>
      <c r="Z892" s="4" t="s">
        <v>1213</v>
      </c>
    </row>
    <row r="893" spans="1:26" ht="28.05" customHeight="1" x14ac:dyDescent="0.3">
      <c r="A893" s="5">
        <f t="shared" si="52"/>
        <v>889</v>
      </c>
      <c r="B893" s="23" t="s">
        <v>1972</v>
      </c>
      <c r="C893" s="17" t="s">
        <v>1973</v>
      </c>
      <c r="D893" s="4" t="s">
        <v>50</v>
      </c>
      <c r="E893" s="4" t="s">
        <v>70</v>
      </c>
      <c r="F893" s="4" t="s">
        <v>70</v>
      </c>
      <c r="G893" s="4" t="s">
        <v>171</v>
      </c>
      <c r="H893" s="4" t="s">
        <v>172</v>
      </c>
      <c r="I893" s="24" t="s">
        <v>954</v>
      </c>
      <c r="J893" s="15">
        <v>2</v>
      </c>
      <c r="K893" s="15">
        <v>2</v>
      </c>
      <c r="L893" s="15">
        <v>1</v>
      </c>
      <c r="M893" s="15">
        <v>1</v>
      </c>
      <c r="N893" s="15">
        <v>1</v>
      </c>
      <c r="O893" s="15">
        <v>2</v>
      </c>
      <c r="P893" s="15" t="s">
        <v>415</v>
      </c>
      <c r="Q893" s="23" t="s">
        <v>838</v>
      </c>
      <c r="R893" s="25">
        <f>ROUND((K893*Parametros!$B$4+L893*Parametros!$B$5+M893*Parametros!$B$6+N893*Parametros!$B$7+O893*Parametros!$B$8)/SUM(Parametros!$B$4:$B$8),2)</f>
        <v>1.45</v>
      </c>
      <c r="S893" s="26">
        <f>IFERROR(INDEX(Parametros!$F$33:$F$42,MATCH(D893,Parametros!$A$33:$A$42,0)),1)</f>
        <v>1.0840000000000001</v>
      </c>
      <c r="T893" s="27">
        <f>IFERROR(INDEX(Parametros!$B$21:$B$26,MATCH(I893,Parametros!$A$21:$A$26,0)),0)</f>
        <v>-0.3</v>
      </c>
      <c r="U893" s="28">
        <f t="shared" si="53"/>
        <v>1.27</v>
      </c>
      <c r="V893" s="9">
        <f>IF(U893&gt;=Parametros!$B$14,4,IF(U893&gt;=Parametros!$B$13,3,IF(U893&gt;=Parametros!$B$12,2,1)))</f>
        <v>1</v>
      </c>
      <c r="W893" s="5">
        <f>MAX(V893,IF(K893=5,Parametros!$B$17,0),IF(P893="Sim",Parametros!$B$18,0))</f>
        <v>1</v>
      </c>
      <c r="X893" s="5" t="str">
        <f t="shared" si="54"/>
        <v>Baixa</v>
      </c>
      <c r="Y893" s="29">
        <f t="shared" si="55"/>
        <v>1012.499107</v>
      </c>
      <c r="Z893" s="4" t="s">
        <v>1213</v>
      </c>
    </row>
    <row r="894" spans="1:26" ht="28.05" customHeight="1" x14ac:dyDescent="0.3">
      <c r="A894" s="5">
        <f t="shared" si="52"/>
        <v>890</v>
      </c>
      <c r="B894" s="23" t="s">
        <v>1974</v>
      </c>
      <c r="C894" s="17" t="s">
        <v>1975</v>
      </c>
      <c r="D894" s="4" t="s">
        <v>50</v>
      </c>
      <c r="E894" s="4" t="s">
        <v>65</v>
      </c>
      <c r="F894" s="4" t="s">
        <v>65</v>
      </c>
      <c r="G894" s="4" t="s">
        <v>184</v>
      </c>
      <c r="H894" s="4" t="s">
        <v>185</v>
      </c>
      <c r="I894" s="24" t="s">
        <v>954</v>
      </c>
      <c r="J894" s="15">
        <v>2</v>
      </c>
      <c r="K894" s="15">
        <v>2</v>
      </c>
      <c r="L894" s="15">
        <v>1</v>
      </c>
      <c r="M894" s="15">
        <v>1</v>
      </c>
      <c r="N894" s="15">
        <v>1</v>
      </c>
      <c r="O894" s="15">
        <v>2</v>
      </c>
      <c r="P894" s="15" t="s">
        <v>415</v>
      </c>
      <c r="Q894" s="23" t="s">
        <v>838</v>
      </c>
      <c r="R894" s="25">
        <f>ROUND((K894*Parametros!$B$4+L894*Parametros!$B$5+M894*Parametros!$B$6+N894*Parametros!$B$7+O894*Parametros!$B$8)/SUM(Parametros!$B$4:$B$8),2)</f>
        <v>1.45</v>
      </c>
      <c r="S894" s="26">
        <f>IFERROR(INDEX(Parametros!$F$33:$F$42,MATCH(D894,Parametros!$A$33:$A$42,0)),1)</f>
        <v>1.0840000000000001</v>
      </c>
      <c r="T894" s="27">
        <f>IFERROR(INDEX(Parametros!$B$21:$B$26,MATCH(I894,Parametros!$A$21:$A$26,0)),0)</f>
        <v>-0.3</v>
      </c>
      <c r="U894" s="28">
        <f t="shared" si="53"/>
        <v>1.27</v>
      </c>
      <c r="V894" s="9">
        <f>IF(U894&gt;=Parametros!$B$14,4,IF(U894&gt;=Parametros!$B$13,3,IF(U894&gt;=Parametros!$B$12,2,1)))</f>
        <v>1</v>
      </c>
      <c r="W894" s="5">
        <f>MAX(V894,IF(K894=5,Parametros!$B$17,0),IF(P894="Sim",Parametros!$B$18,0))</f>
        <v>1</v>
      </c>
      <c r="X894" s="5" t="str">
        <f t="shared" si="54"/>
        <v>Baixa</v>
      </c>
      <c r="Y894" s="29">
        <f t="shared" si="55"/>
        <v>1012.499106</v>
      </c>
      <c r="Z894" s="4" t="s">
        <v>1213</v>
      </c>
    </row>
    <row r="895" spans="1:26" ht="28.05" customHeight="1" x14ac:dyDescent="0.3">
      <c r="A895" s="5">
        <f t="shared" si="52"/>
        <v>891</v>
      </c>
      <c r="B895" s="23" t="s">
        <v>1976</v>
      </c>
      <c r="C895" s="17" t="s">
        <v>1977</v>
      </c>
      <c r="D895" s="4" t="s">
        <v>48</v>
      </c>
      <c r="E895" s="4" t="s">
        <v>82</v>
      </c>
      <c r="F895" s="4" t="s">
        <v>82</v>
      </c>
      <c r="G895" s="4" t="s">
        <v>171</v>
      </c>
      <c r="H895" s="4" t="s">
        <v>172</v>
      </c>
      <c r="I895" s="24" t="s">
        <v>152</v>
      </c>
      <c r="J895" s="15">
        <v>2</v>
      </c>
      <c r="K895" s="15">
        <v>1</v>
      </c>
      <c r="L895" s="15">
        <v>1</v>
      </c>
      <c r="M895" s="15">
        <v>1</v>
      </c>
      <c r="N895" s="15">
        <v>1</v>
      </c>
      <c r="O895" s="15">
        <v>2</v>
      </c>
      <c r="P895" s="15" t="s">
        <v>415</v>
      </c>
      <c r="Q895" s="23" t="s">
        <v>838</v>
      </c>
      <c r="R895" s="25">
        <f>ROUND((K895*Parametros!$B$4+L895*Parametros!$B$5+M895*Parametros!$B$6+N895*Parametros!$B$7+O895*Parametros!$B$8)/SUM(Parametros!$B$4:$B$8),2)</f>
        <v>1.1499999999999999</v>
      </c>
      <c r="S895" s="26">
        <f>IFERROR(INDEX(Parametros!$F$33:$F$42,MATCH(D895,Parametros!$A$33:$A$42,0)),1)</f>
        <v>1.1000000000000001</v>
      </c>
      <c r="T895" s="27">
        <f>IFERROR(INDEX(Parametros!$B$21:$B$26,MATCH(I895,Parametros!$A$21:$A$26,0)),0)</f>
        <v>0</v>
      </c>
      <c r="U895" s="28">
        <f t="shared" si="53"/>
        <v>1.27</v>
      </c>
      <c r="V895" s="9">
        <f>IF(U895&gt;=Parametros!$B$14,4,IF(U895&gt;=Parametros!$B$13,3,IF(U895&gt;=Parametros!$B$12,2,1)))</f>
        <v>1</v>
      </c>
      <c r="W895" s="5">
        <f>MAX(V895,IF(K895=5,Parametros!$B$17,0),IF(P895="Sim",Parametros!$B$18,0))</f>
        <v>1</v>
      </c>
      <c r="X895" s="5" t="str">
        <f t="shared" si="54"/>
        <v>Baixa</v>
      </c>
      <c r="Y895" s="29">
        <f t="shared" si="55"/>
        <v>1012.499105</v>
      </c>
      <c r="Z895" s="4" t="s">
        <v>659</v>
      </c>
    </row>
    <row r="896" spans="1:26" ht="28.05" customHeight="1" x14ac:dyDescent="0.3">
      <c r="A896" s="5">
        <f t="shared" si="52"/>
        <v>892</v>
      </c>
      <c r="B896" s="23" t="s">
        <v>1978</v>
      </c>
      <c r="C896" s="17" t="s">
        <v>1979</v>
      </c>
      <c r="D896" s="4" t="s">
        <v>49</v>
      </c>
      <c r="E896" s="4" t="s">
        <v>81</v>
      </c>
      <c r="F896" s="4" t="s">
        <v>81</v>
      </c>
      <c r="G896" s="4" t="s">
        <v>171</v>
      </c>
      <c r="H896" s="4" t="s">
        <v>172</v>
      </c>
      <c r="I896" s="24" t="s">
        <v>152</v>
      </c>
      <c r="J896" s="15">
        <v>2</v>
      </c>
      <c r="K896" s="15">
        <v>1</v>
      </c>
      <c r="L896" s="15">
        <v>1</v>
      </c>
      <c r="M896" s="15">
        <v>1</v>
      </c>
      <c r="N896" s="15">
        <v>1</v>
      </c>
      <c r="O896" s="15">
        <v>2</v>
      </c>
      <c r="P896" s="15" t="s">
        <v>415</v>
      </c>
      <c r="Q896" s="23" t="s">
        <v>838</v>
      </c>
      <c r="R896" s="25">
        <f>ROUND((K896*Parametros!$B$4+L896*Parametros!$B$5+M896*Parametros!$B$6+N896*Parametros!$B$7+O896*Parametros!$B$8)/SUM(Parametros!$B$4:$B$8),2)</f>
        <v>1.1499999999999999</v>
      </c>
      <c r="S896" s="26">
        <f>IFERROR(INDEX(Parametros!$F$33:$F$42,MATCH(D896,Parametros!$A$33:$A$42,0)),1)</f>
        <v>1.1000000000000001</v>
      </c>
      <c r="T896" s="27">
        <f>IFERROR(INDEX(Parametros!$B$21:$B$26,MATCH(I896,Parametros!$A$21:$A$26,0)),0)</f>
        <v>0</v>
      </c>
      <c r="U896" s="28">
        <f t="shared" si="53"/>
        <v>1.27</v>
      </c>
      <c r="V896" s="9">
        <f>IF(U896&gt;=Parametros!$B$14,4,IF(U896&gt;=Parametros!$B$13,3,IF(U896&gt;=Parametros!$B$12,2,1)))</f>
        <v>1</v>
      </c>
      <c r="W896" s="5">
        <f>MAX(V896,IF(K896=5,Parametros!$B$17,0),IF(P896="Sim",Parametros!$B$18,0))</f>
        <v>1</v>
      </c>
      <c r="X896" s="5" t="str">
        <f t="shared" si="54"/>
        <v>Baixa</v>
      </c>
      <c r="Y896" s="29">
        <f t="shared" si="55"/>
        <v>1012.499104</v>
      </c>
      <c r="Z896" s="4" t="s">
        <v>659</v>
      </c>
    </row>
    <row r="897" spans="1:26" ht="28.05" customHeight="1" x14ac:dyDescent="0.3">
      <c r="A897" s="5">
        <f t="shared" si="52"/>
        <v>893</v>
      </c>
      <c r="B897" s="23" t="s">
        <v>1980</v>
      </c>
      <c r="C897" s="17" t="s">
        <v>1981</v>
      </c>
      <c r="D897" s="4" t="s">
        <v>49</v>
      </c>
      <c r="E897" s="4" t="s">
        <v>81</v>
      </c>
      <c r="F897" s="4" t="s">
        <v>81</v>
      </c>
      <c r="G897" s="4" t="s">
        <v>171</v>
      </c>
      <c r="H897" s="4" t="s">
        <v>172</v>
      </c>
      <c r="I897" s="24" t="s">
        <v>152</v>
      </c>
      <c r="J897" s="15">
        <v>2</v>
      </c>
      <c r="K897" s="15">
        <v>1</v>
      </c>
      <c r="L897" s="15">
        <v>1</v>
      </c>
      <c r="M897" s="15">
        <v>1</v>
      </c>
      <c r="N897" s="15">
        <v>1</v>
      </c>
      <c r="O897" s="15">
        <v>2</v>
      </c>
      <c r="P897" s="15" t="s">
        <v>415</v>
      </c>
      <c r="Q897" s="23" t="s">
        <v>838</v>
      </c>
      <c r="R897" s="25">
        <f>ROUND((K897*Parametros!$B$4+L897*Parametros!$B$5+M897*Parametros!$B$6+N897*Parametros!$B$7+O897*Parametros!$B$8)/SUM(Parametros!$B$4:$B$8),2)</f>
        <v>1.1499999999999999</v>
      </c>
      <c r="S897" s="26">
        <f>IFERROR(INDEX(Parametros!$F$33:$F$42,MATCH(D897,Parametros!$A$33:$A$42,0)),1)</f>
        <v>1.1000000000000001</v>
      </c>
      <c r="T897" s="27">
        <f>IFERROR(INDEX(Parametros!$B$21:$B$26,MATCH(I897,Parametros!$A$21:$A$26,0)),0)</f>
        <v>0</v>
      </c>
      <c r="U897" s="28">
        <f t="shared" si="53"/>
        <v>1.27</v>
      </c>
      <c r="V897" s="9">
        <f>IF(U897&gt;=Parametros!$B$14,4,IF(U897&gt;=Parametros!$B$13,3,IF(U897&gt;=Parametros!$B$12,2,1)))</f>
        <v>1</v>
      </c>
      <c r="W897" s="5">
        <f>MAX(V897,IF(K897=5,Parametros!$B$17,0),IF(P897="Sim",Parametros!$B$18,0))</f>
        <v>1</v>
      </c>
      <c r="X897" s="5" t="str">
        <f t="shared" si="54"/>
        <v>Baixa</v>
      </c>
      <c r="Y897" s="29">
        <f t="shared" si="55"/>
        <v>1012.499103</v>
      </c>
      <c r="Z897" s="4" t="s">
        <v>659</v>
      </c>
    </row>
    <row r="898" spans="1:26" ht="28.05" customHeight="1" x14ac:dyDescent="0.3">
      <c r="A898" s="5">
        <f t="shared" si="52"/>
        <v>894</v>
      </c>
      <c r="B898" s="23" t="s">
        <v>1982</v>
      </c>
      <c r="C898" s="17" t="s">
        <v>1983</v>
      </c>
      <c r="D898" s="4" t="s">
        <v>48</v>
      </c>
      <c r="E898" s="4" t="s">
        <v>64</v>
      </c>
      <c r="F898" s="4" t="s">
        <v>64</v>
      </c>
      <c r="G898" s="4" t="s">
        <v>184</v>
      </c>
      <c r="H898" s="4" t="s">
        <v>185</v>
      </c>
      <c r="I898" s="24" t="s">
        <v>152</v>
      </c>
      <c r="J898" s="15">
        <v>2</v>
      </c>
      <c r="K898" s="15">
        <v>1</v>
      </c>
      <c r="L898" s="15">
        <v>1</v>
      </c>
      <c r="M898" s="15">
        <v>1</v>
      </c>
      <c r="N898" s="15">
        <v>1</v>
      </c>
      <c r="O898" s="15">
        <v>2</v>
      </c>
      <c r="P898" s="15" t="s">
        <v>415</v>
      </c>
      <c r="Q898" s="23" t="s">
        <v>838</v>
      </c>
      <c r="R898" s="25">
        <f>ROUND((K898*Parametros!$B$4+L898*Parametros!$B$5+M898*Parametros!$B$6+N898*Parametros!$B$7+O898*Parametros!$B$8)/SUM(Parametros!$B$4:$B$8),2)</f>
        <v>1.1499999999999999</v>
      </c>
      <c r="S898" s="26">
        <f>IFERROR(INDEX(Parametros!$F$33:$F$42,MATCH(D898,Parametros!$A$33:$A$42,0)),1)</f>
        <v>1.1000000000000001</v>
      </c>
      <c r="T898" s="27">
        <f>IFERROR(INDEX(Parametros!$B$21:$B$26,MATCH(I898,Parametros!$A$21:$A$26,0)),0)</f>
        <v>0</v>
      </c>
      <c r="U898" s="28">
        <f t="shared" si="53"/>
        <v>1.27</v>
      </c>
      <c r="V898" s="9">
        <f>IF(U898&gt;=Parametros!$B$14,4,IF(U898&gt;=Parametros!$B$13,3,IF(U898&gt;=Parametros!$B$12,2,1)))</f>
        <v>1</v>
      </c>
      <c r="W898" s="5">
        <f>MAX(V898,IF(K898=5,Parametros!$B$17,0),IF(P898="Sim",Parametros!$B$18,0))</f>
        <v>1</v>
      </c>
      <c r="X898" s="5" t="str">
        <f t="shared" si="54"/>
        <v>Baixa</v>
      </c>
      <c r="Y898" s="29">
        <f t="shared" si="55"/>
        <v>1012.499102</v>
      </c>
      <c r="Z898" s="4" t="s">
        <v>659</v>
      </c>
    </row>
    <row r="899" spans="1:26" ht="28.05" customHeight="1" x14ac:dyDescent="0.3">
      <c r="A899" s="5">
        <f t="shared" si="52"/>
        <v>895</v>
      </c>
      <c r="B899" s="23" t="s">
        <v>1984</v>
      </c>
      <c r="C899" s="17" t="s">
        <v>1985</v>
      </c>
      <c r="D899" s="4" t="s">
        <v>48</v>
      </c>
      <c r="E899" s="4" t="s">
        <v>64</v>
      </c>
      <c r="F899" s="4" t="s">
        <v>64</v>
      </c>
      <c r="G899" s="4" t="s">
        <v>184</v>
      </c>
      <c r="H899" s="4" t="s">
        <v>185</v>
      </c>
      <c r="I899" s="24" t="s">
        <v>152</v>
      </c>
      <c r="J899" s="15">
        <v>2</v>
      </c>
      <c r="K899" s="15">
        <v>1</v>
      </c>
      <c r="L899" s="15">
        <v>1</v>
      </c>
      <c r="M899" s="15">
        <v>1</v>
      </c>
      <c r="N899" s="15">
        <v>1</v>
      </c>
      <c r="O899" s="15">
        <v>2</v>
      </c>
      <c r="P899" s="15" t="s">
        <v>415</v>
      </c>
      <c r="Q899" s="23" t="s">
        <v>838</v>
      </c>
      <c r="R899" s="25">
        <f>ROUND((K899*Parametros!$B$4+L899*Parametros!$B$5+M899*Parametros!$B$6+N899*Parametros!$B$7+O899*Parametros!$B$8)/SUM(Parametros!$B$4:$B$8),2)</f>
        <v>1.1499999999999999</v>
      </c>
      <c r="S899" s="26">
        <f>IFERROR(INDEX(Parametros!$F$33:$F$42,MATCH(D899,Parametros!$A$33:$A$42,0)),1)</f>
        <v>1.1000000000000001</v>
      </c>
      <c r="T899" s="27">
        <f>IFERROR(INDEX(Parametros!$B$21:$B$26,MATCH(I899,Parametros!$A$21:$A$26,0)),0)</f>
        <v>0</v>
      </c>
      <c r="U899" s="28">
        <f t="shared" si="53"/>
        <v>1.27</v>
      </c>
      <c r="V899" s="9">
        <f>IF(U899&gt;=Parametros!$B$14,4,IF(U899&gt;=Parametros!$B$13,3,IF(U899&gt;=Parametros!$B$12,2,1)))</f>
        <v>1</v>
      </c>
      <c r="W899" s="5">
        <f>MAX(V899,IF(K899=5,Parametros!$B$17,0),IF(P899="Sim",Parametros!$B$18,0))</f>
        <v>1</v>
      </c>
      <c r="X899" s="5" t="str">
        <f t="shared" si="54"/>
        <v>Baixa</v>
      </c>
      <c r="Y899" s="29">
        <f t="shared" si="55"/>
        <v>1012.499101</v>
      </c>
      <c r="Z899" s="4" t="s">
        <v>659</v>
      </c>
    </row>
    <row r="900" spans="1:26" ht="28.05" customHeight="1" x14ac:dyDescent="0.3">
      <c r="A900" s="5">
        <f t="shared" si="52"/>
        <v>896</v>
      </c>
      <c r="B900" s="23" t="s">
        <v>1986</v>
      </c>
      <c r="C900" s="17" t="s">
        <v>1987</v>
      </c>
      <c r="D900" s="4" t="s">
        <v>55</v>
      </c>
      <c r="E900" s="4" t="s">
        <v>1628</v>
      </c>
      <c r="F900" s="4" t="s">
        <v>1628</v>
      </c>
      <c r="G900" s="4" t="s">
        <v>134</v>
      </c>
      <c r="H900" s="4" t="s">
        <v>108</v>
      </c>
      <c r="I900" s="24" t="s">
        <v>152</v>
      </c>
      <c r="J900" s="15">
        <v>1</v>
      </c>
      <c r="K900" s="15">
        <v>1</v>
      </c>
      <c r="L900" s="15">
        <v>1</v>
      </c>
      <c r="M900" s="15">
        <v>2</v>
      </c>
      <c r="N900" s="15">
        <v>1</v>
      </c>
      <c r="O900" s="15">
        <v>1</v>
      </c>
      <c r="P900" s="15" t="s">
        <v>415</v>
      </c>
      <c r="Q900" s="23" t="s">
        <v>416</v>
      </c>
      <c r="R900" s="25">
        <f>ROUND((K900*Parametros!$B$4+L900*Parametros!$B$5+M900*Parametros!$B$6+N900*Parametros!$B$7+O900*Parametros!$B$8)/SUM(Parametros!$B$4:$B$8),2)</f>
        <v>1.2</v>
      </c>
      <c r="S900" s="26">
        <f>IFERROR(INDEX(Parametros!$F$33:$F$42,MATCH(D900,Parametros!$A$33:$A$42,0)),1)</f>
        <v>1.034</v>
      </c>
      <c r="T900" s="27">
        <f>IFERROR(INDEX(Parametros!$B$21:$B$26,MATCH(I900,Parametros!$A$21:$A$26,0)),0)</f>
        <v>0</v>
      </c>
      <c r="U900" s="28">
        <f t="shared" si="53"/>
        <v>1.24</v>
      </c>
      <c r="V900" s="9">
        <f>IF(U900&gt;=Parametros!$B$14,4,IF(U900&gt;=Parametros!$B$13,3,IF(U900&gt;=Parametros!$B$12,2,1)))</f>
        <v>1</v>
      </c>
      <c r="W900" s="5">
        <f>MAX(V900,IF(K900=5,Parametros!$B$17,0),IF(P900="Sim",Parametros!$B$18,0))</f>
        <v>1</v>
      </c>
      <c r="X900" s="5" t="str">
        <f t="shared" si="54"/>
        <v>Baixa</v>
      </c>
      <c r="Y900" s="29">
        <f t="shared" si="55"/>
        <v>1012.2991</v>
      </c>
      <c r="Z900" s="4" t="s">
        <v>659</v>
      </c>
    </row>
    <row r="901" spans="1:26" ht="28.05" customHeight="1" x14ac:dyDescent="0.3">
      <c r="A901" s="5">
        <f t="shared" ref="A901:A964" si="56">IF(Y901="","",COUNTIF($Y$5:$Y$983,"&gt;"&amp;Y901)+1)</f>
        <v>897</v>
      </c>
      <c r="B901" s="23" t="s">
        <v>1988</v>
      </c>
      <c r="C901" s="17" t="s">
        <v>1989</v>
      </c>
      <c r="D901" s="4" t="s">
        <v>50</v>
      </c>
      <c r="E901" s="4" t="s">
        <v>86</v>
      </c>
      <c r="F901" s="4" t="s">
        <v>86</v>
      </c>
      <c r="G901" s="4" t="s">
        <v>112</v>
      </c>
      <c r="H901" s="4" t="s">
        <v>108</v>
      </c>
      <c r="I901" s="24" t="s">
        <v>152</v>
      </c>
      <c r="J901" s="15">
        <v>2</v>
      </c>
      <c r="K901" s="15">
        <v>1</v>
      </c>
      <c r="L901" s="15">
        <v>1</v>
      </c>
      <c r="M901" s="15">
        <v>1</v>
      </c>
      <c r="N901" s="15">
        <v>1</v>
      </c>
      <c r="O901" s="15">
        <v>2</v>
      </c>
      <c r="P901" s="15" t="s">
        <v>415</v>
      </c>
      <c r="Q901" s="23" t="s">
        <v>838</v>
      </c>
      <c r="R901" s="25">
        <f>ROUND((K901*Parametros!$B$4+L901*Parametros!$B$5+M901*Parametros!$B$6+N901*Parametros!$B$7+O901*Parametros!$B$8)/SUM(Parametros!$B$4:$B$8),2)</f>
        <v>1.1499999999999999</v>
      </c>
      <c r="S901" s="26">
        <f>IFERROR(INDEX(Parametros!$F$33:$F$42,MATCH(D901,Parametros!$A$33:$A$42,0)),1)</f>
        <v>1.0840000000000001</v>
      </c>
      <c r="T901" s="27">
        <f>IFERROR(INDEX(Parametros!$B$21:$B$26,MATCH(I901,Parametros!$A$21:$A$26,0)),0)</f>
        <v>0</v>
      </c>
      <c r="U901" s="28">
        <f t="shared" ref="U901:U964" si="57">ROUND(R901*S901+T901,2)</f>
        <v>1.25</v>
      </c>
      <c r="V901" s="9">
        <f>IF(U901&gt;=Parametros!$B$14,4,IF(U901&gt;=Parametros!$B$13,3,IF(U901&gt;=Parametros!$B$12,2,1)))</f>
        <v>1</v>
      </c>
      <c r="W901" s="5">
        <f>MAX(V901,IF(K901=5,Parametros!$B$17,0),IF(P901="Sim",Parametros!$B$18,0))</f>
        <v>1</v>
      </c>
      <c r="X901" s="5" t="str">
        <f t="shared" ref="X901:X964" si="58">CHOOSE(W901,"Baixa","Normal","Alta","Urgente")</f>
        <v>Baixa</v>
      </c>
      <c r="Y901" s="29">
        <f t="shared" ref="Y901:Y964" si="59">W901*1000+U901*10-J901/10-ROW()/1000000</f>
        <v>1012.299099</v>
      </c>
      <c r="Z901" s="4" t="s">
        <v>659</v>
      </c>
    </row>
    <row r="902" spans="1:26" ht="28.05" customHeight="1" x14ac:dyDescent="0.3">
      <c r="A902" s="5">
        <f t="shared" si="56"/>
        <v>898</v>
      </c>
      <c r="B902" s="23" t="s">
        <v>1990</v>
      </c>
      <c r="C902" s="17" t="s">
        <v>1991</v>
      </c>
      <c r="D902" s="4" t="s">
        <v>51</v>
      </c>
      <c r="E902" s="4" t="s">
        <v>194</v>
      </c>
      <c r="F902" s="4" t="s">
        <v>194</v>
      </c>
      <c r="G902" s="4" t="s">
        <v>171</v>
      </c>
      <c r="H902" s="4" t="s">
        <v>172</v>
      </c>
      <c r="I902" s="24" t="s">
        <v>954</v>
      </c>
      <c r="J902" s="15">
        <v>2</v>
      </c>
      <c r="K902" s="15">
        <v>2</v>
      </c>
      <c r="L902" s="15">
        <v>1</v>
      </c>
      <c r="M902" s="15">
        <v>1</v>
      </c>
      <c r="N902" s="15">
        <v>1</v>
      </c>
      <c r="O902" s="15">
        <v>2</v>
      </c>
      <c r="P902" s="15" t="s">
        <v>415</v>
      </c>
      <c r="Q902" s="23" t="s">
        <v>838</v>
      </c>
      <c r="R902" s="25">
        <f>ROUND((K902*Parametros!$B$4+L902*Parametros!$B$5+M902*Parametros!$B$6+N902*Parametros!$B$7+O902*Parametros!$B$8)/SUM(Parametros!$B$4:$B$8),2)</f>
        <v>1.45</v>
      </c>
      <c r="S902" s="26">
        <f>IFERROR(INDEX(Parametros!$F$33:$F$42,MATCH(D902,Parametros!$A$33:$A$42,0)),1)</f>
        <v>1.0669999999999999</v>
      </c>
      <c r="T902" s="27">
        <f>IFERROR(INDEX(Parametros!$B$21:$B$26,MATCH(I902,Parametros!$A$21:$A$26,0)),0)</f>
        <v>-0.3</v>
      </c>
      <c r="U902" s="28">
        <f t="shared" si="57"/>
        <v>1.25</v>
      </c>
      <c r="V902" s="9">
        <f>IF(U902&gt;=Parametros!$B$14,4,IF(U902&gt;=Parametros!$B$13,3,IF(U902&gt;=Parametros!$B$12,2,1)))</f>
        <v>1</v>
      </c>
      <c r="W902" s="5">
        <f>MAX(V902,IF(K902=5,Parametros!$B$17,0),IF(P902="Sim",Parametros!$B$18,0))</f>
        <v>1</v>
      </c>
      <c r="X902" s="5" t="str">
        <f t="shared" si="58"/>
        <v>Baixa</v>
      </c>
      <c r="Y902" s="29">
        <f t="shared" si="59"/>
        <v>1012.299098</v>
      </c>
      <c r="Z902" s="4" t="s">
        <v>1213</v>
      </c>
    </row>
    <row r="903" spans="1:26" ht="28.05" customHeight="1" x14ac:dyDescent="0.3">
      <c r="A903" s="5">
        <f t="shared" si="56"/>
        <v>899</v>
      </c>
      <c r="B903" s="23" t="s">
        <v>1992</v>
      </c>
      <c r="C903" s="17" t="s">
        <v>1993</v>
      </c>
      <c r="D903" s="4" t="s">
        <v>50</v>
      </c>
      <c r="E903" s="4" t="s">
        <v>64</v>
      </c>
      <c r="F903" s="4" t="s">
        <v>64</v>
      </c>
      <c r="G903" s="4" t="s">
        <v>134</v>
      </c>
      <c r="H903" s="4" t="s">
        <v>108</v>
      </c>
      <c r="I903" s="24" t="s">
        <v>152</v>
      </c>
      <c r="J903" s="15">
        <v>2</v>
      </c>
      <c r="K903" s="15">
        <v>1</v>
      </c>
      <c r="L903" s="15">
        <v>1</v>
      </c>
      <c r="M903" s="15">
        <v>1</v>
      </c>
      <c r="N903" s="15">
        <v>1</v>
      </c>
      <c r="O903" s="15">
        <v>2</v>
      </c>
      <c r="P903" s="15" t="s">
        <v>415</v>
      </c>
      <c r="Q903" s="23" t="s">
        <v>838</v>
      </c>
      <c r="R903" s="25">
        <f>ROUND((K903*Parametros!$B$4+L903*Parametros!$B$5+M903*Parametros!$B$6+N903*Parametros!$B$7+O903*Parametros!$B$8)/SUM(Parametros!$B$4:$B$8),2)</f>
        <v>1.1499999999999999</v>
      </c>
      <c r="S903" s="26">
        <f>IFERROR(INDEX(Parametros!$F$33:$F$42,MATCH(D903,Parametros!$A$33:$A$42,0)),1)</f>
        <v>1.0840000000000001</v>
      </c>
      <c r="T903" s="27">
        <f>IFERROR(INDEX(Parametros!$B$21:$B$26,MATCH(I903,Parametros!$A$21:$A$26,0)),0)</f>
        <v>0</v>
      </c>
      <c r="U903" s="28">
        <f t="shared" si="57"/>
        <v>1.25</v>
      </c>
      <c r="V903" s="9">
        <f>IF(U903&gt;=Parametros!$B$14,4,IF(U903&gt;=Parametros!$B$13,3,IF(U903&gt;=Parametros!$B$12,2,1)))</f>
        <v>1</v>
      </c>
      <c r="W903" s="5">
        <f>MAX(V903,IF(K903=5,Parametros!$B$17,0),IF(P903="Sim",Parametros!$B$18,0))</f>
        <v>1</v>
      </c>
      <c r="X903" s="5" t="str">
        <f t="shared" si="58"/>
        <v>Baixa</v>
      </c>
      <c r="Y903" s="29">
        <f t="shared" si="59"/>
        <v>1012.299097</v>
      </c>
      <c r="Z903" s="4" t="s">
        <v>659</v>
      </c>
    </row>
    <row r="904" spans="1:26" ht="28.05" customHeight="1" x14ac:dyDescent="0.3">
      <c r="A904" s="5">
        <f t="shared" si="56"/>
        <v>900</v>
      </c>
      <c r="B904" s="23" t="s">
        <v>1994</v>
      </c>
      <c r="C904" s="17" t="s">
        <v>1995</v>
      </c>
      <c r="D904" s="4" t="s">
        <v>50</v>
      </c>
      <c r="E904" s="4" t="s">
        <v>75</v>
      </c>
      <c r="F904" s="4" t="s">
        <v>75</v>
      </c>
      <c r="G904" s="4" t="s">
        <v>171</v>
      </c>
      <c r="H904" s="4" t="s">
        <v>172</v>
      </c>
      <c r="I904" s="24" t="s">
        <v>152</v>
      </c>
      <c r="J904" s="15">
        <v>2</v>
      </c>
      <c r="K904" s="15">
        <v>1</v>
      </c>
      <c r="L904" s="15">
        <v>1</v>
      </c>
      <c r="M904" s="15">
        <v>1</v>
      </c>
      <c r="N904" s="15">
        <v>1</v>
      </c>
      <c r="O904" s="15">
        <v>2</v>
      </c>
      <c r="P904" s="15" t="s">
        <v>415</v>
      </c>
      <c r="Q904" s="23" t="s">
        <v>838</v>
      </c>
      <c r="R904" s="25">
        <f>ROUND((K904*Parametros!$B$4+L904*Parametros!$B$5+M904*Parametros!$B$6+N904*Parametros!$B$7+O904*Parametros!$B$8)/SUM(Parametros!$B$4:$B$8),2)</f>
        <v>1.1499999999999999</v>
      </c>
      <c r="S904" s="26">
        <f>IFERROR(INDEX(Parametros!$F$33:$F$42,MATCH(D904,Parametros!$A$33:$A$42,0)),1)</f>
        <v>1.0840000000000001</v>
      </c>
      <c r="T904" s="27">
        <f>IFERROR(INDEX(Parametros!$B$21:$B$26,MATCH(I904,Parametros!$A$21:$A$26,0)),0)</f>
        <v>0</v>
      </c>
      <c r="U904" s="28">
        <f t="shared" si="57"/>
        <v>1.25</v>
      </c>
      <c r="V904" s="9">
        <f>IF(U904&gt;=Parametros!$B$14,4,IF(U904&gt;=Parametros!$B$13,3,IF(U904&gt;=Parametros!$B$12,2,1)))</f>
        <v>1</v>
      </c>
      <c r="W904" s="5">
        <f>MAX(V904,IF(K904=5,Parametros!$B$17,0),IF(P904="Sim",Parametros!$B$18,0))</f>
        <v>1</v>
      </c>
      <c r="X904" s="5" t="str">
        <f t="shared" si="58"/>
        <v>Baixa</v>
      </c>
      <c r="Y904" s="29">
        <f t="shared" si="59"/>
        <v>1012.299096</v>
      </c>
      <c r="Z904" s="4" t="s">
        <v>659</v>
      </c>
    </row>
    <row r="905" spans="1:26" ht="28.05" customHeight="1" x14ac:dyDescent="0.3">
      <c r="A905" s="5">
        <f t="shared" si="56"/>
        <v>901</v>
      </c>
      <c r="B905" s="23" t="s">
        <v>1996</v>
      </c>
      <c r="C905" s="17" t="s">
        <v>1997</v>
      </c>
      <c r="D905" s="4" t="s">
        <v>51</v>
      </c>
      <c r="E905" s="4" t="s">
        <v>81</v>
      </c>
      <c r="F905" s="4" t="s">
        <v>81</v>
      </c>
      <c r="G905" s="4" t="s">
        <v>171</v>
      </c>
      <c r="H905" s="4" t="s">
        <v>172</v>
      </c>
      <c r="I905" s="24" t="s">
        <v>954</v>
      </c>
      <c r="J905" s="15">
        <v>2</v>
      </c>
      <c r="K905" s="15">
        <v>2</v>
      </c>
      <c r="L905" s="15">
        <v>1</v>
      </c>
      <c r="M905" s="15">
        <v>1</v>
      </c>
      <c r="N905" s="15">
        <v>1</v>
      </c>
      <c r="O905" s="15">
        <v>2</v>
      </c>
      <c r="P905" s="15" t="s">
        <v>415</v>
      </c>
      <c r="Q905" s="23" t="s">
        <v>838</v>
      </c>
      <c r="R905" s="25">
        <f>ROUND((K905*Parametros!$B$4+L905*Parametros!$B$5+M905*Parametros!$B$6+N905*Parametros!$B$7+O905*Parametros!$B$8)/SUM(Parametros!$B$4:$B$8),2)</f>
        <v>1.45</v>
      </c>
      <c r="S905" s="26">
        <f>IFERROR(INDEX(Parametros!$F$33:$F$42,MATCH(D905,Parametros!$A$33:$A$42,0)),1)</f>
        <v>1.0669999999999999</v>
      </c>
      <c r="T905" s="27">
        <f>IFERROR(INDEX(Parametros!$B$21:$B$26,MATCH(I905,Parametros!$A$21:$A$26,0)),0)</f>
        <v>-0.3</v>
      </c>
      <c r="U905" s="28">
        <f t="shared" si="57"/>
        <v>1.25</v>
      </c>
      <c r="V905" s="9">
        <f>IF(U905&gt;=Parametros!$B$14,4,IF(U905&gt;=Parametros!$B$13,3,IF(U905&gt;=Parametros!$B$12,2,1)))</f>
        <v>1</v>
      </c>
      <c r="W905" s="5">
        <f>MAX(V905,IF(K905=5,Parametros!$B$17,0),IF(P905="Sim",Parametros!$B$18,0))</f>
        <v>1</v>
      </c>
      <c r="X905" s="5" t="str">
        <f t="shared" si="58"/>
        <v>Baixa</v>
      </c>
      <c r="Y905" s="29">
        <f t="shared" si="59"/>
        <v>1012.299095</v>
      </c>
      <c r="Z905" s="4" t="s">
        <v>1213</v>
      </c>
    </row>
    <row r="906" spans="1:26" ht="28.05" customHeight="1" x14ac:dyDescent="0.3">
      <c r="A906" s="5">
        <f t="shared" si="56"/>
        <v>902</v>
      </c>
      <c r="B906" s="23" t="s">
        <v>1998</v>
      </c>
      <c r="C906" s="17" t="s">
        <v>1999</v>
      </c>
      <c r="D906" s="4" t="s">
        <v>51</v>
      </c>
      <c r="E906" s="4" t="s">
        <v>194</v>
      </c>
      <c r="F906" s="4" t="s">
        <v>194</v>
      </c>
      <c r="G906" s="4" t="s">
        <v>171</v>
      </c>
      <c r="H906" s="4" t="s">
        <v>172</v>
      </c>
      <c r="I906" s="24" t="s">
        <v>954</v>
      </c>
      <c r="J906" s="15">
        <v>2</v>
      </c>
      <c r="K906" s="15">
        <v>2</v>
      </c>
      <c r="L906" s="15">
        <v>1</v>
      </c>
      <c r="M906" s="15">
        <v>1</v>
      </c>
      <c r="N906" s="15">
        <v>1</v>
      </c>
      <c r="O906" s="15">
        <v>2</v>
      </c>
      <c r="P906" s="15" t="s">
        <v>415</v>
      </c>
      <c r="Q906" s="23" t="s">
        <v>838</v>
      </c>
      <c r="R906" s="25">
        <f>ROUND((K906*Parametros!$B$4+L906*Parametros!$B$5+M906*Parametros!$B$6+N906*Parametros!$B$7+O906*Parametros!$B$8)/SUM(Parametros!$B$4:$B$8),2)</f>
        <v>1.45</v>
      </c>
      <c r="S906" s="26">
        <f>IFERROR(INDEX(Parametros!$F$33:$F$42,MATCH(D906,Parametros!$A$33:$A$42,0)),1)</f>
        <v>1.0669999999999999</v>
      </c>
      <c r="T906" s="27">
        <f>IFERROR(INDEX(Parametros!$B$21:$B$26,MATCH(I906,Parametros!$A$21:$A$26,0)),0)</f>
        <v>-0.3</v>
      </c>
      <c r="U906" s="28">
        <f t="shared" si="57"/>
        <v>1.25</v>
      </c>
      <c r="V906" s="9">
        <f>IF(U906&gt;=Parametros!$B$14,4,IF(U906&gt;=Parametros!$B$13,3,IF(U906&gt;=Parametros!$B$12,2,1)))</f>
        <v>1</v>
      </c>
      <c r="W906" s="5">
        <f>MAX(V906,IF(K906=5,Parametros!$B$17,0),IF(P906="Sim",Parametros!$B$18,0))</f>
        <v>1</v>
      </c>
      <c r="X906" s="5" t="str">
        <f t="shared" si="58"/>
        <v>Baixa</v>
      </c>
      <c r="Y906" s="29">
        <f t="shared" si="59"/>
        <v>1012.299094</v>
      </c>
      <c r="Z906" s="4" t="s">
        <v>1213</v>
      </c>
    </row>
    <row r="907" spans="1:26" ht="28.05" customHeight="1" x14ac:dyDescent="0.3">
      <c r="A907" s="5">
        <f t="shared" si="56"/>
        <v>903</v>
      </c>
      <c r="B907" s="23" t="s">
        <v>2000</v>
      </c>
      <c r="C907" s="17" t="s">
        <v>2001</v>
      </c>
      <c r="D907" s="4" t="s">
        <v>51</v>
      </c>
      <c r="E907" s="4" t="s">
        <v>194</v>
      </c>
      <c r="F907" s="4" t="s">
        <v>194</v>
      </c>
      <c r="G907" s="4" t="s">
        <v>171</v>
      </c>
      <c r="H907" s="4" t="s">
        <v>172</v>
      </c>
      <c r="I907" s="24" t="s">
        <v>954</v>
      </c>
      <c r="J907" s="15">
        <v>2</v>
      </c>
      <c r="K907" s="15">
        <v>2</v>
      </c>
      <c r="L907" s="15">
        <v>1</v>
      </c>
      <c r="M907" s="15">
        <v>1</v>
      </c>
      <c r="N907" s="15">
        <v>1</v>
      </c>
      <c r="O907" s="15">
        <v>2</v>
      </c>
      <c r="P907" s="15" t="s">
        <v>415</v>
      </c>
      <c r="Q907" s="23" t="s">
        <v>838</v>
      </c>
      <c r="R907" s="25">
        <f>ROUND((K907*Parametros!$B$4+L907*Parametros!$B$5+M907*Parametros!$B$6+N907*Parametros!$B$7+O907*Parametros!$B$8)/SUM(Parametros!$B$4:$B$8),2)</f>
        <v>1.45</v>
      </c>
      <c r="S907" s="26">
        <f>IFERROR(INDEX(Parametros!$F$33:$F$42,MATCH(D907,Parametros!$A$33:$A$42,0)),1)</f>
        <v>1.0669999999999999</v>
      </c>
      <c r="T907" s="27">
        <f>IFERROR(INDEX(Parametros!$B$21:$B$26,MATCH(I907,Parametros!$A$21:$A$26,0)),0)</f>
        <v>-0.3</v>
      </c>
      <c r="U907" s="28">
        <f t="shared" si="57"/>
        <v>1.25</v>
      </c>
      <c r="V907" s="9">
        <f>IF(U907&gt;=Parametros!$B$14,4,IF(U907&gt;=Parametros!$B$13,3,IF(U907&gt;=Parametros!$B$12,2,1)))</f>
        <v>1</v>
      </c>
      <c r="W907" s="5">
        <f>MAX(V907,IF(K907=5,Parametros!$B$17,0),IF(P907="Sim",Parametros!$B$18,0))</f>
        <v>1</v>
      </c>
      <c r="X907" s="5" t="str">
        <f t="shared" si="58"/>
        <v>Baixa</v>
      </c>
      <c r="Y907" s="29">
        <f t="shared" si="59"/>
        <v>1012.299093</v>
      </c>
      <c r="Z907" s="4" t="s">
        <v>1213</v>
      </c>
    </row>
    <row r="908" spans="1:26" ht="28.05" customHeight="1" x14ac:dyDescent="0.3">
      <c r="A908" s="5">
        <f t="shared" si="56"/>
        <v>904</v>
      </c>
      <c r="B908" s="23" t="s">
        <v>2002</v>
      </c>
      <c r="C908" s="17" t="s">
        <v>1987</v>
      </c>
      <c r="D908" s="4" t="s">
        <v>56</v>
      </c>
      <c r="E908" s="4" t="s">
        <v>1628</v>
      </c>
      <c r="F908" s="4" t="s">
        <v>1628</v>
      </c>
      <c r="G908" s="4" t="s">
        <v>134</v>
      </c>
      <c r="H908" s="4" t="s">
        <v>108</v>
      </c>
      <c r="I908" s="24" t="s">
        <v>152</v>
      </c>
      <c r="J908" s="15">
        <v>1</v>
      </c>
      <c r="K908" s="15">
        <v>1</v>
      </c>
      <c r="L908" s="15">
        <v>1</v>
      </c>
      <c r="M908" s="15">
        <v>2</v>
      </c>
      <c r="N908" s="15">
        <v>1</v>
      </c>
      <c r="O908" s="15">
        <v>1</v>
      </c>
      <c r="P908" s="15" t="s">
        <v>415</v>
      </c>
      <c r="Q908" s="23" t="s">
        <v>416</v>
      </c>
      <c r="R908" s="25">
        <f>ROUND((K908*Parametros!$B$4+L908*Parametros!$B$5+M908*Parametros!$B$6+N908*Parametros!$B$7+O908*Parametros!$B$8)/SUM(Parametros!$B$4:$B$8),2)</f>
        <v>1.2</v>
      </c>
      <c r="S908" s="26">
        <f>IFERROR(INDEX(Parametros!$F$33:$F$42,MATCH(D908,Parametros!$A$33:$A$42,0)),1)</f>
        <v>1.0169999999999999</v>
      </c>
      <c r="T908" s="27">
        <f>IFERROR(INDEX(Parametros!$B$21:$B$26,MATCH(I908,Parametros!$A$21:$A$26,0)),0)</f>
        <v>0</v>
      </c>
      <c r="U908" s="28">
        <f t="shared" si="57"/>
        <v>1.22</v>
      </c>
      <c r="V908" s="9">
        <f>IF(U908&gt;=Parametros!$B$14,4,IF(U908&gt;=Parametros!$B$13,3,IF(U908&gt;=Parametros!$B$12,2,1)))</f>
        <v>1</v>
      </c>
      <c r="W908" s="5">
        <f>MAX(V908,IF(K908=5,Parametros!$B$17,0),IF(P908="Sim",Parametros!$B$18,0))</f>
        <v>1</v>
      </c>
      <c r="X908" s="5" t="str">
        <f t="shared" si="58"/>
        <v>Baixa</v>
      </c>
      <c r="Y908" s="29">
        <f t="shared" si="59"/>
        <v>1012.099092</v>
      </c>
      <c r="Z908" s="4" t="s">
        <v>659</v>
      </c>
    </row>
    <row r="909" spans="1:26" ht="28.05" customHeight="1" x14ac:dyDescent="0.3">
      <c r="A909" s="5">
        <f t="shared" si="56"/>
        <v>905</v>
      </c>
      <c r="B909" s="23" t="s">
        <v>2003</v>
      </c>
      <c r="C909" s="17" t="s">
        <v>1987</v>
      </c>
      <c r="D909" s="4" t="s">
        <v>56</v>
      </c>
      <c r="E909" s="4" t="s">
        <v>1628</v>
      </c>
      <c r="F909" s="4" t="s">
        <v>1628</v>
      </c>
      <c r="G909" s="4" t="s">
        <v>134</v>
      </c>
      <c r="H909" s="4" t="s">
        <v>108</v>
      </c>
      <c r="I909" s="24" t="s">
        <v>152</v>
      </c>
      <c r="J909" s="15">
        <v>1</v>
      </c>
      <c r="K909" s="15">
        <v>1</v>
      </c>
      <c r="L909" s="15">
        <v>1</v>
      </c>
      <c r="M909" s="15">
        <v>2</v>
      </c>
      <c r="N909" s="15">
        <v>1</v>
      </c>
      <c r="O909" s="15">
        <v>1</v>
      </c>
      <c r="P909" s="15" t="s">
        <v>415</v>
      </c>
      <c r="Q909" s="23" t="s">
        <v>416</v>
      </c>
      <c r="R909" s="25">
        <f>ROUND((K909*Parametros!$B$4+L909*Parametros!$B$5+M909*Parametros!$B$6+N909*Parametros!$B$7+O909*Parametros!$B$8)/SUM(Parametros!$B$4:$B$8),2)</f>
        <v>1.2</v>
      </c>
      <c r="S909" s="26">
        <f>IFERROR(INDEX(Parametros!$F$33:$F$42,MATCH(D909,Parametros!$A$33:$A$42,0)),1)</f>
        <v>1.0169999999999999</v>
      </c>
      <c r="T909" s="27">
        <f>IFERROR(INDEX(Parametros!$B$21:$B$26,MATCH(I909,Parametros!$A$21:$A$26,0)),0)</f>
        <v>0</v>
      </c>
      <c r="U909" s="28">
        <f t="shared" si="57"/>
        <v>1.22</v>
      </c>
      <c r="V909" s="9">
        <f>IF(U909&gt;=Parametros!$B$14,4,IF(U909&gt;=Parametros!$B$13,3,IF(U909&gt;=Parametros!$B$12,2,1)))</f>
        <v>1</v>
      </c>
      <c r="W909" s="5">
        <f>MAX(V909,IF(K909=5,Parametros!$B$17,0),IF(P909="Sim",Parametros!$B$18,0))</f>
        <v>1</v>
      </c>
      <c r="X909" s="5" t="str">
        <f t="shared" si="58"/>
        <v>Baixa</v>
      </c>
      <c r="Y909" s="29">
        <f t="shared" si="59"/>
        <v>1012.099091</v>
      </c>
      <c r="Z909" s="4" t="s">
        <v>659</v>
      </c>
    </row>
    <row r="910" spans="1:26" ht="28.05" customHeight="1" x14ac:dyDescent="0.3">
      <c r="A910" s="5">
        <f t="shared" si="56"/>
        <v>906</v>
      </c>
      <c r="B910" s="23" t="s">
        <v>2004</v>
      </c>
      <c r="C910" s="17" t="s">
        <v>2005</v>
      </c>
      <c r="D910" s="4" t="s">
        <v>54</v>
      </c>
      <c r="E910" s="4" t="s">
        <v>72</v>
      </c>
      <c r="F910" s="4" t="s">
        <v>72</v>
      </c>
      <c r="G910" s="4" t="s">
        <v>134</v>
      </c>
      <c r="H910" s="4" t="s">
        <v>108</v>
      </c>
      <c r="I910" s="24" t="s">
        <v>152</v>
      </c>
      <c r="J910" s="15">
        <v>3</v>
      </c>
      <c r="K910" s="15">
        <v>1</v>
      </c>
      <c r="L910" s="15">
        <v>1</v>
      </c>
      <c r="M910" s="15">
        <v>2</v>
      </c>
      <c r="N910" s="15">
        <v>1</v>
      </c>
      <c r="O910" s="15">
        <v>1</v>
      </c>
      <c r="P910" s="15" t="s">
        <v>415</v>
      </c>
      <c r="Q910" s="23" t="s">
        <v>416</v>
      </c>
      <c r="R910" s="25">
        <f>ROUND((K910*Parametros!$B$4+L910*Parametros!$B$5+M910*Parametros!$B$6+N910*Parametros!$B$7+O910*Parametros!$B$8)/SUM(Parametros!$B$4:$B$8),2)</f>
        <v>1.2</v>
      </c>
      <c r="S910" s="26">
        <f>IFERROR(INDEX(Parametros!$F$33:$F$42,MATCH(D910,Parametros!$A$33:$A$42,0)),1)</f>
        <v>1.034</v>
      </c>
      <c r="T910" s="27">
        <f>IFERROR(INDEX(Parametros!$B$21:$B$26,MATCH(I910,Parametros!$A$21:$A$26,0)),0)</f>
        <v>0</v>
      </c>
      <c r="U910" s="28">
        <f t="shared" si="57"/>
        <v>1.24</v>
      </c>
      <c r="V910" s="9">
        <f>IF(U910&gt;=Parametros!$B$14,4,IF(U910&gt;=Parametros!$B$13,3,IF(U910&gt;=Parametros!$B$12,2,1)))</f>
        <v>1</v>
      </c>
      <c r="W910" s="5">
        <f>MAX(V910,IF(K910=5,Parametros!$B$17,0),IF(P910="Sim",Parametros!$B$18,0))</f>
        <v>1</v>
      </c>
      <c r="X910" s="5" t="str">
        <f t="shared" si="58"/>
        <v>Baixa</v>
      </c>
      <c r="Y910" s="29">
        <f t="shared" si="59"/>
        <v>1012.09909</v>
      </c>
      <c r="Z910" s="4" t="s">
        <v>659</v>
      </c>
    </row>
    <row r="911" spans="1:26" ht="28.05" customHeight="1" x14ac:dyDescent="0.3">
      <c r="A911" s="5">
        <f t="shared" si="56"/>
        <v>907</v>
      </c>
      <c r="B911" s="23" t="s">
        <v>2006</v>
      </c>
      <c r="C911" s="17" t="s">
        <v>2007</v>
      </c>
      <c r="D911" s="4" t="s">
        <v>52</v>
      </c>
      <c r="E911" s="4" t="s">
        <v>66</v>
      </c>
      <c r="F911" s="4" t="s">
        <v>66</v>
      </c>
      <c r="G911" s="4" t="s">
        <v>171</v>
      </c>
      <c r="H911" s="4" t="s">
        <v>172</v>
      </c>
      <c r="I911" s="24" t="s">
        <v>954</v>
      </c>
      <c r="J911" s="15">
        <v>2</v>
      </c>
      <c r="K911" s="15">
        <v>2</v>
      </c>
      <c r="L911" s="15">
        <v>1</v>
      </c>
      <c r="M911" s="15">
        <v>1</v>
      </c>
      <c r="N911" s="15">
        <v>1</v>
      </c>
      <c r="O911" s="15">
        <v>2</v>
      </c>
      <c r="P911" s="15" t="s">
        <v>415</v>
      </c>
      <c r="Q911" s="23" t="s">
        <v>838</v>
      </c>
      <c r="R911" s="25">
        <f>ROUND((K911*Parametros!$B$4+L911*Parametros!$B$5+M911*Parametros!$B$6+N911*Parametros!$B$7+O911*Parametros!$B$8)/SUM(Parametros!$B$4:$B$8),2)</f>
        <v>1.45</v>
      </c>
      <c r="S911" s="26">
        <f>IFERROR(INDEX(Parametros!$F$33:$F$42,MATCH(D911,Parametros!$A$33:$A$42,0)),1)</f>
        <v>1.05</v>
      </c>
      <c r="T911" s="27">
        <f>IFERROR(INDEX(Parametros!$B$21:$B$26,MATCH(I911,Parametros!$A$21:$A$26,0)),0)</f>
        <v>-0.3</v>
      </c>
      <c r="U911" s="28">
        <f t="shared" si="57"/>
        <v>1.22</v>
      </c>
      <c r="V911" s="9">
        <f>IF(U911&gt;=Parametros!$B$14,4,IF(U911&gt;=Parametros!$B$13,3,IF(U911&gt;=Parametros!$B$12,2,1)))</f>
        <v>1</v>
      </c>
      <c r="W911" s="5">
        <f>MAX(V911,IF(K911=5,Parametros!$B$17,0),IF(P911="Sim",Parametros!$B$18,0))</f>
        <v>1</v>
      </c>
      <c r="X911" s="5" t="str">
        <f t="shared" si="58"/>
        <v>Baixa</v>
      </c>
      <c r="Y911" s="29">
        <f t="shared" si="59"/>
        <v>1011.999089</v>
      </c>
      <c r="Z911" s="4" t="s">
        <v>1213</v>
      </c>
    </row>
    <row r="912" spans="1:26" ht="28.05" customHeight="1" x14ac:dyDescent="0.3">
      <c r="A912" s="5">
        <f t="shared" si="56"/>
        <v>908</v>
      </c>
      <c r="B912" s="23" t="s">
        <v>2008</v>
      </c>
      <c r="C912" s="17" t="s">
        <v>2009</v>
      </c>
      <c r="D912" s="4" t="s">
        <v>52</v>
      </c>
      <c r="E912" s="4" t="s">
        <v>64</v>
      </c>
      <c r="F912" s="4" t="s">
        <v>64</v>
      </c>
      <c r="G912" s="4" t="s">
        <v>184</v>
      </c>
      <c r="H912" s="4" t="s">
        <v>185</v>
      </c>
      <c r="I912" s="24" t="s">
        <v>954</v>
      </c>
      <c r="J912" s="15">
        <v>2</v>
      </c>
      <c r="K912" s="15">
        <v>2</v>
      </c>
      <c r="L912" s="15">
        <v>1</v>
      </c>
      <c r="M912" s="15">
        <v>1</v>
      </c>
      <c r="N912" s="15">
        <v>1</v>
      </c>
      <c r="O912" s="15">
        <v>2</v>
      </c>
      <c r="P912" s="15" t="s">
        <v>415</v>
      </c>
      <c r="Q912" s="23" t="s">
        <v>838</v>
      </c>
      <c r="R912" s="25">
        <f>ROUND((K912*Parametros!$B$4+L912*Parametros!$B$5+M912*Parametros!$B$6+N912*Parametros!$B$7+O912*Parametros!$B$8)/SUM(Parametros!$B$4:$B$8),2)</f>
        <v>1.45</v>
      </c>
      <c r="S912" s="26">
        <f>IFERROR(INDEX(Parametros!$F$33:$F$42,MATCH(D912,Parametros!$A$33:$A$42,0)),1)</f>
        <v>1.05</v>
      </c>
      <c r="T912" s="27">
        <f>IFERROR(INDEX(Parametros!$B$21:$B$26,MATCH(I912,Parametros!$A$21:$A$26,0)),0)</f>
        <v>-0.3</v>
      </c>
      <c r="U912" s="28">
        <f t="shared" si="57"/>
        <v>1.22</v>
      </c>
      <c r="V912" s="9">
        <f>IF(U912&gt;=Parametros!$B$14,4,IF(U912&gt;=Parametros!$B$13,3,IF(U912&gt;=Parametros!$B$12,2,1)))</f>
        <v>1</v>
      </c>
      <c r="W912" s="5">
        <f>MAX(V912,IF(K912=5,Parametros!$B$17,0),IF(P912="Sim",Parametros!$B$18,0))</f>
        <v>1</v>
      </c>
      <c r="X912" s="5" t="str">
        <f t="shared" si="58"/>
        <v>Baixa</v>
      </c>
      <c r="Y912" s="29">
        <f t="shared" si="59"/>
        <v>1011.999088</v>
      </c>
      <c r="Z912" s="4" t="s">
        <v>1213</v>
      </c>
    </row>
    <row r="913" spans="1:26" ht="28.05" customHeight="1" x14ac:dyDescent="0.3">
      <c r="A913" s="5">
        <f t="shared" si="56"/>
        <v>909</v>
      </c>
      <c r="B913" s="23" t="s">
        <v>2010</v>
      </c>
      <c r="C913" s="17" t="s">
        <v>2011</v>
      </c>
      <c r="D913" s="4" t="s">
        <v>51</v>
      </c>
      <c r="E913" s="4" t="s">
        <v>64</v>
      </c>
      <c r="F913" s="4" t="s">
        <v>64</v>
      </c>
      <c r="G913" s="4" t="s">
        <v>107</v>
      </c>
      <c r="H913" s="4" t="s">
        <v>108</v>
      </c>
      <c r="I913" s="24" t="s">
        <v>131</v>
      </c>
      <c r="J913" s="15">
        <v>3</v>
      </c>
      <c r="K913" s="15">
        <v>1</v>
      </c>
      <c r="L913" s="15">
        <v>1</v>
      </c>
      <c r="M913" s="15">
        <v>1</v>
      </c>
      <c r="N913" s="15">
        <v>1</v>
      </c>
      <c r="O913" s="15">
        <v>2</v>
      </c>
      <c r="P913" s="15" t="s">
        <v>415</v>
      </c>
      <c r="Q913" s="23" t="s">
        <v>838</v>
      </c>
      <c r="R913" s="25">
        <f>ROUND((K913*Parametros!$B$4+L913*Parametros!$B$5+M913*Parametros!$B$6+N913*Parametros!$B$7+O913*Parametros!$B$8)/SUM(Parametros!$B$4:$B$8),2)</f>
        <v>1.1499999999999999</v>
      </c>
      <c r="S913" s="26">
        <f>IFERROR(INDEX(Parametros!$F$33:$F$42,MATCH(D913,Parametros!$A$33:$A$42,0)),1)</f>
        <v>1.0669999999999999</v>
      </c>
      <c r="T913" s="27">
        <f>IFERROR(INDEX(Parametros!$B$21:$B$26,MATCH(I913,Parametros!$A$21:$A$26,0)),0)</f>
        <v>0</v>
      </c>
      <c r="U913" s="28">
        <f t="shared" si="57"/>
        <v>1.23</v>
      </c>
      <c r="V913" s="9">
        <f>IF(U913&gt;=Parametros!$B$14,4,IF(U913&gt;=Parametros!$B$13,3,IF(U913&gt;=Parametros!$B$12,2,1)))</f>
        <v>1</v>
      </c>
      <c r="W913" s="5">
        <f>MAX(V913,IF(K913=5,Parametros!$B$17,0),IF(P913="Sim",Parametros!$B$18,0))</f>
        <v>1</v>
      </c>
      <c r="X913" s="5" t="str">
        <f t="shared" si="58"/>
        <v>Baixa</v>
      </c>
      <c r="Y913" s="29">
        <f t="shared" si="59"/>
        <v>1011.999087</v>
      </c>
      <c r="Z913" s="4" t="s">
        <v>659</v>
      </c>
    </row>
    <row r="914" spans="1:26" ht="28.05" customHeight="1" x14ac:dyDescent="0.3">
      <c r="A914" s="5">
        <f t="shared" si="56"/>
        <v>910</v>
      </c>
      <c r="B914" s="23" t="s">
        <v>2012</v>
      </c>
      <c r="C914" s="17" t="s">
        <v>2013</v>
      </c>
      <c r="D914" s="4" t="s">
        <v>53</v>
      </c>
      <c r="E914" s="4" t="s">
        <v>77</v>
      </c>
      <c r="F914" s="4" t="s">
        <v>77</v>
      </c>
      <c r="G914" s="4" t="s">
        <v>171</v>
      </c>
      <c r="H914" s="4" t="s">
        <v>172</v>
      </c>
      <c r="I914" s="24" t="s">
        <v>152</v>
      </c>
      <c r="J914" s="15">
        <v>2</v>
      </c>
      <c r="K914" s="15">
        <v>1</v>
      </c>
      <c r="L914" s="15">
        <v>1</v>
      </c>
      <c r="M914" s="15">
        <v>1</v>
      </c>
      <c r="N914" s="15">
        <v>1</v>
      </c>
      <c r="O914" s="15">
        <v>2</v>
      </c>
      <c r="P914" s="15" t="s">
        <v>415</v>
      </c>
      <c r="Q914" s="23" t="s">
        <v>838</v>
      </c>
      <c r="R914" s="25">
        <f>ROUND((K914*Parametros!$B$4+L914*Parametros!$B$5+M914*Parametros!$B$6+N914*Parametros!$B$7+O914*Parametros!$B$8)/SUM(Parametros!$B$4:$B$8),2)</f>
        <v>1.1499999999999999</v>
      </c>
      <c r="S914" s="26">
        <f>IFERROR(INDEX(Parametros!$F$33:$F$42,MATCH(D914,Parametros!$A$33:$A$42,0)),1)</f>
        <v>1.05</v>
      </c>
      <c r="T914" s="27">
        <f>IFERROR(INDEX(Parametros!$B$21:$B$26,MATCH(I914,Parametros!$A$21:$A$26,0)),0)</f>
        <v>0</v>
      </c>
      <c r="U914" s="28">
        <f t="shared" si="57"/>
        <v>1.21</v>
      </c>
      <c r="V914" s="9">
        <f>IF(U914&gt;=Parametros!$B$14,4,IF(U914&gt;=Parametros!$B$13,3,IF(U914&gt;=Parametros!$B$12,2,1)))</f>
        <v>1</v>
      </c>
      <c r="W914" s="5">
        <f>MAX(V914,IF(K914=5,Parametros!$B$17,0),IF(P914="Sim",Parametros!$B$18,0))</f>
        <v>1</v>
      </c>
      <c r="X914" s="5" t="str">
        <f t="shared" si="58"/>
        <v>Baixa</v>
      </c>
      <c r="Y914" s="29">
        <f t="shared" si="59"/>
        <v>1011.899086</v>
      </c>
      <c r="Z914" s="4" t="s">
        <v>659</v>
      </c>
    </row>
    <row r="915" spans="1:26" ht="28.05" customHeight="1" x14ac:dyDescent="0.3">
      <c r="A915" s="5">
        <f t="shared" si="56"/>
        <v>911</v>
      </c>
      <c r="B915" s="23" t="s">
        <v>2014</v>
      </c>
      <c r="C915" s="17" t="s">
        <v>2015</v>
      </c>
      <c r="D915" s="4" t="s">
        <v>53</v>
      </c>
      <c r="E915" s="4" t="s">
        <v>64</v>
      </c>
      <c r="F915" s="4" t="s">
        <v>64</v>
      </c>
      <c r="G915" s="4" t="s">
        <v>171</v>
      </c>
      <c r="H915" s="4" t="s">
        <v>172</v>
      </c>
      <c r="I915" s="24" t="s">
        <v>131</v>
      </c>
      <c r="J915" s="15">
        <v>2</v>
      </c>
      <c r="K915" s="15">
        <v>1</v>
      </c>
      <c r="L915" s="15">
        <v>1</v>
      </c>
      <c r="M915" s="15">
        <v>1</v>
      </c>
      <c r="N915" s="15">
        <v>1</v>
      </c>
      <c r="O915" s="15">
        <v>2</v>
      </c>
      <c r="P915" s="15" t="s">
        <v>415</v>
      </c>
      <c r="Q915" s="23" t="s">
        <v>838</v>
      </c>
      <c r="R915" s="25">
        <f>ROUND((K915*Parametros!$B$4+L915*Parametros!$B$5+M915*Parametros!$B$6+N915*Parametros!$B$7+O915*Parametros!$B$8)/SUM(Parametros!$B$4:$B$8),2)</f>
        <v>1.1499999999999999</v>
      </c>
      <c r="S915" s="26">
        <f>IFERROR(INDEX(Parametros!$F$33:$F$42,MATCH(D915,Parametros!$A$33:$A$42,0)),1)</f>
        <v>1.05</v>
      </c>
      <c r="T915" s="27">
        <f>IFERROR(INDEX(Parametros!$B$21:$B$26,MATCH(I915,Parametros!$A$21:$A$26,0)),0)</f>
        <v>0</v>
      </c>
      <c r="U915" s="28">
        <f t="shared" si="57"/>
        <v>1.21</v>
      </c>
      <c r="V915" s="9">
        <f>IF(U915&gt;=Parametros!$B$14,4,IF(U915&gt;=Parametros!$B$13,3,IF(U915&gt;=Parametros!$B$12,2,1)))</f>
        <v>1</v>
      </c>
      <c r="W915" s="5">
        <f>MAX(V915,IF(K915=5,Parametros!$B$17,0),IF(P915="Sim",Parametros!$B$18,0))</f>
        <v>1</v>
      </c>
      <c r="X915" s="5" t="str">
        <f t="shared" si="58"/>
        <v>Baixa</v>
      </c>
      <c r="Y915" s="29">
        <f t="shared" si="59"/>
        <v>1011.899085</v>
      </c>
      <c r="Z915" s="4" t="s">
        <v>659</v>
      </c>
    </row>
    <row r="916" spans="1:26" ht="28.05" customHeight="1" x14ac:dyDescent="0.3">
      <c r="A916" s="5">
        <f t="shared" si="56"/>
        <v>912</v>
      </c>
      <c r="B916" s="23" t="s">
        <v>2016</v>
      </c>
      <c r="C916" s="17" t="s">
        <v>2017</v>
      </c>
      <c r="D916" s="4" t="s">
        <v>53</v>
      </c>
      <c r="E916" s="4" t="s">
        <v>64</v>
      </c>
      <c r="F916" s="4" t="s">
        <v>64</v>
      </c>
      <c r="G916" s="4" t="s">
        <v>171</v>
      </c>
      <c r="H916" s="4" t="s">
        <v>172</v>
      </c>
      <c r="I916" s="24" t="s">
        <v>152</v>
      </c>
      <c r="J916" s="15">
        <v>2</v>
      </c>
      <c r="K916" s="15">
        <v>1</v>
      </c>
      <c r="L916" s="15">
        <v>1</v>
      </c>
      <c r="M916" s="15">
        <v>1</v>
      </c>
      <c r="N916" s="15">
        <v>1</v>
      </c>
      <c r="O916" s="15">
        <v>2</v>
      </c>
      <c r="P916" s="15" t="s">
        <v>415</v>
      </c>
      <c r="Q916" s="23" t="s">
        <v>838</v>
      </c>
      <c r="R916" s="25">
        <f>ROUND((K916*Parametros!$B$4+L916*Parametros!$B$5+M916*Parametros!$B$6+N916*Parametros!$B$7+O916*Parametros!$B$8)/SUM(Parametros!$B$4:$B$8),2)</f>
        <v>1.1499999999999999</v>
      </c>
      <c r="S916" s="26">
        <f>IFERROR(INDEX(Parametros!$F$33:$F$42,MATCH(D916,Parametros!$A$33:$A$42,0)),1)</f>
        <v>1.05</v>
      </c>
      <c r="T916" s="27">
        <f>IFERROR(INDEX(Parametros!$B$21:$B$26,MATCH(I916,Parametros!$A$21:$A$26,0)),0)</f>
        <v>0</v>
      </c>
      <c r="U916" s="28">
        <f t="shared" si="57"/>
        <v>1.21</v>
      </c>
      <c r="V916" s="9">
        <f>IF(U916&gt;=Parametros!$B$14,4,IF(U916&gt;=Parametros!$B$13,3,IF(U916&gt;=Parametros!$B$12,2,1)))</f>
        <v>1</v>
      </c>
      <c r="W916" s="5">
        <f>MAX(V916,IF(K916=5,Parametros!$B$17,0),IF(P916="Sim",Parametros!$B$18,0))</f>
        <v>1</v>
      </c>
      <c r="X916" s="5" t="str">
        <f t="shared" si="58"/>
        <v>Baixa</v>
      </c>
      <c r="Y916" s="29">
        <f t="shared" si="59"/>
        <v>1011.899084</v>
      </c>
      <c r="Z916" s="4" t="s">
        <v>659</v>
      </c>
    </row>
    <row r="917" spans="1:26" ht="28.05" customHeight="1" x14ac:dyDescent="0.3">
      <c r="A917" s="5">
        <f t="shared" si="56"/>
        <v>913</v>
      </c>
      <c r="B917" s="23" t="s">
        <v>2018</v>
      </c>
      <c r="C917" s="17" t="s">
        <v>2019</v>
      </c>
      <c r="D917" s="4" t="s">
        <v>53</v>
      </c>
      <c r="E917" s="4" t="s">
        <v>77</v>
      </c>
      <c r="F917" s="4" t="s">
        <v>77</v>
      </c>
      <c r="G917" s="4" t="s">
        <v>171</v>
      </c>
      <c r="H917" s="4" t="s">
        <v>172</v>
      </c>
      <c r="I917" s="24" t="s">
        <v>152</v>
      </c>
      <c r="J917" s="15">
        <v>2</v>
      </c>
      <c r="K917" s="15">
        <v>1</v>
      </c>
      <c r="L917" s="15">
        <v>1</v>
      </c>
      <c r="M917" s="15">
        <v>1</v>
      </c>
      <c r="N917" s="15">
        <v>1</v>
      </c>
      <c r="O917" s="15">
        <v>2</v>
      </c>
      <c r="P917" s="15" t="s">
        <v>415</v>
      </c>
      <c r="Q917" s="23" t="s">
        <v>838</v>
      </c>
      <c r="R917" s="25">
        <f>ROUND((K917*Parametros!$B$4+L917*Parametros!$B$5+M917*Parametros!$B$6+N917*Parametros!$B$7+O917*Parametros!$B$8)/SUM(Parametros!$B$4:$B$8),2)</f>
        <v>1.1499999999999999</v>
      </c>
      <c r="S917" s="26">
        <f>IFERROR(INDEX(Parametros!$F$33:$F$42,MATCH(D917,Parametros!$A$33:$A$42,0)),1)</f>
        <v>1.05</v>
      </c>
      <c r="T917" s="27">
        <f>IFERROR(INDEX(Parametros!$B$21:$B$26,MATCH(I917,Parametros!$A$21:$A$26,0)),0)</f>
        <v>0</v>
      </c>
      <c r="U917" s="28">
        <f t="shared" si="57"/>
        <v>1.21</v>
      </c>
      <c r="V917" s="9">
        <f>IF(U917&gt;=Parametros!$B$14,4,IF(U917&gt;=Parametros!$B$13,3,IF(U917&gt;=Parametros!$B$12,2,1)))</f>
        <v>1</v>
      </c>
      <c r="W917" s="5">
        <f>MAX(V917,IF(K917=5,Parametros!$B$17,0),IF(P917="Sim",Parametros!$B$18,0))</f>
        <v>1</v>
      </c>
      <c r="X917" s="5" t="str">
        <f t="shared" si="58"/>
        <v>Baixa</v>
      </c>
      <c r="Y917" s="29">
        <f t="shared" si="59"/>
        <v>1011.899083</v>
      </c>
      <c r="Z917" s="4" t="s">
        <v>659</v>
      </c>
    </row>
    <row r="918" spans="1:26" ht="28.05" customHeight="1" x14ac:dyDescent="0.3">
      <c r="A918" s="5">
        <f t="shared" si="56"/>
        <v>914</v>
      </c>
      <c r="B918" s="23" t="s">
        <v>2020</v>
      </c>
      <c r="C918" s="17" t="s">
        <v>2021</v>
      </c>
      <c r="D918" s="4" t="s">
        <v>52</v>
      </c>
      <c r="E918" s="4" t="s">
        <v>345</v>
      </c>
      <c r="F918" s="4" t="s">
        <v>345</v>
      </c>
      <c r="G918" s="4" t="s">
        <v>171</v>
      </c>
      <c r="H918" s="4" t="s">
        <v>172</v>
      </c>
      <c r="I918" s="24" t="s">
        <v>152</v>
      </c>
      <c r="J918" s="15">
        <v>2</v>
      </c>
      <c r="K918" s="15">
        <v>1</v>
      </c>
      <c r="L918" s="15">
        <v>1</v>
      </c>
      <c r="M918" s="15">
        <v>1</v>
      </c>
      <c r="N918" s="15">
        <v>1</v>
      </c>
      <c r="O918" s="15">
        <v>2</v>
      </c>
      <c r="P918" s="15" t="s">
        <v>415</v>
      </c>
      <c r="Q918" s="23" t="s">
        <v>838</v>
      </c>
      <c r="R918" s="25">
        <f>ROUND((K918*Parametros!$B$4+L918*Parametros!$B$5+M918*Parametros!$B$6+N918*Parametros!$B$7+O918*Parametros!$B$8)/SUM(Parametros!$B$4:$B$8),2)</f>
        <v>1.1499999999999999</v>
      </c>
      <c r="S918" s="26">
        <f>IFERROR(INDEX(Parametros!$F$33:$F$42,MATCH(D918,Parametros!$A$33:$A$42,0)),1)</f>
        <v>1.05</v>
      </c>
      <c r="T918" s="27">
        <f>IFERROR(INDEX(Parametros!$B$21:$B$26,MATCH(I918,Parametros!$A$21:$A$26,0)),0)</f>
        <v>0</v>
      </c>
      <c r="U918" s="28">
        <f t="shared" si="57"/>
        <v>1.21</v>
      </c>
      <c r="V918" s="9">
        <f>IF(U918&gt;=Parametros!$B$14,4,IF(U918&gt;=Parametros!$B$13,3,IF(U918&gt;=Parametros!$B$12,2,1)))</f>
        <v>1</v>
      </c>
      <c r="W918" s="5">
        <f>MAX(V918,IF(K918=5,Parametros!$B$17,0),IF(P918="Sim",Parametros!$B$18,0))</f>
        <v>1</v>
      </c>
      <c r="X918" s="5" t="str">
        <f t="shared" si="58"/>
        <v>Baixa</v>
      </c>
      <c r="Y918" s="29">
        <f t="shared" si="59"/>
        <v>1011.899082</v>
      </c>
      <c r="Z918" s="4" t="s">
        <v>659</v>
      </c>
    </row>
    <row r="919" spans="1:26" ht="28.05" customHeight="1" x14ac:dyDescent="0.3">
      <c r="A919" s="5">
        <f t="shared" si="56"/>
        <v>915</v>
      </c>
      <c r="B919" s="23" t="s">
        <v>2022</v>
      </c>
      <c r="C919" s="17" t="s">
        <v>2023</v>
      </c>
      <c r="D919" s="4" t="s">
        <v>53</v>
      </c>
      <c r="E919" s="4" t="s">
        <v>77</v>
      </c>
      <c r="F919" s="4" t="s">
        <v>77</v>
      </c>
      <c r="G919" s="4" t="s">
        <v>171</v>
      </c>
      <c r="H919" s="4" t="s">
        <v>172</v>
      </c>
      <c r="I919" s="24" t="s">
        <v>152</v>
      </c>
      <c r="J919" s="15">
        <v>3</v>
      </c>
      <c r="K919" s="15">
        <v>1</v>
      </c>
      <c r="L919" s="15">
        <v>1</v>
      </c>
      <c r="M919" s="15">
        <v>1</v>
      </c>
      <c r="N919" s="15">
        <v>1</v>
      </c>
      <c r="O919" s="15">
        <v>2</v>
      </c>
      <c r="P919" s="15" t="s">
        <v>415</v>
      </c>
      <c r="Q919" s="23" t="s">
        <v>838</v>
      </c>
      <c r="R919" s="25">
        <f>ROUND((K919*Parametros!$B$4+L919*Parametros!$B$5+M919*Parametros!$B$6+N919*Parametros!$B$7+O919*Parametros!$B$8)/SUM(Parametros!$B$4:$B$8),2)</f>
        <v>1.1499999999999999</v>
      </c>
      <c r="S919" s="26">
        <f>IFERROR(INDEX(Parametros!$F$33:$F$42,MATCH(D919,Parametros!$A$33:$A$42,0)),1)</f>
        <v>1.05</v>
      </c>
      <c r="T919" s="27">
        <f>IFERROR(INDEX(Parametros!$B$21:$B$26,MATCH(I919,Parametros!$A$21:$A$26,0)),0)</f>
        <v>0</v>
      </c>
      <c r="U919" s="28">
        <f t="shared" si="57"/>
        <v>1.21</v>
      </c>
      <c r="V919" s="9">
        <f>IF(U919&gt;=Parametros!$B$14,4,IF(U919&gt;=Parametros!$B$13,3,IF(U919&gt;=Parametros!$B$12,2,1)))</f>
        <v>1</v>
      </c>
      <c r="W919" s="5">
        <f>MAX(V919,IF(K919=5,Parametros!$B$17,0),IF(P919="Sim",Parametros!$B$18,0))</f>
        <v>1</v>
      </c>
      <c r="X919" s="5" t="str">
        <f t="shared" si="58"/>
        <v>Baixa</v>
      </c>
      <c r="Y919" s="29">
        <f t="shared" si="59"/>
        <v>1011.7990810000001</v>
      </c>
      <c r="Z919" s="4" t="s">
        <v>659</v>
      </c>
    </row>
    <row r="920" spans="1:26" ht="28.05" customHeight="1" x14ac:dyDescent="0.3">
      <c r="A920" s="5">
        <f t="shared" si="56"/>
        <v>916</v>
      </c>
      <c r="B920" s="23" t="s">
        <v>2024</v>
      </c>
      <c r="C920" s="17" t="s">
        <v>2025</v>
      </c>
      <c r="D920" s="4" t="s">
        <v>49</v>
      </c>
      <c r="E920" s="4" t="s">
        <v>75</v>
      </c>
      <c r="F920" s="4" t="s">
        <v>75</v>
      </c>
      <c r="G920" s="4" t="s">
        <v>171</v>
      </c>
      <c r="H920" s="4" t="s">
        <v>172</v>
      </c>
      <c r="I920" s="24" t="s">
        <v>152</v>
      </c>
      <c r="J920" s="15">
        <v>2</v>
      </c>
      <c r="K920" s="15">
        <v>1</v>
      </c>
      <c r="L920" s="15">
        <v>1</v>
      </c>
      <c r="M920" s="15">
        <v>1</v>
      </c>
      <c r="N920" s="15">
        <v>1</v>
      </c>
      <c r="O920" s="15">
        <v>1</v>
      </c>
      <c r="P920" s="15" t="s">
        <v>415</v>
      </c>
      <c r="Q920" s="23" t="s">
        <v>838</v>
      </c>
      <c r="R920" s="25">
        <f>ROUND((K920*Parametros!$B$4+L920*Parametros!$B$5+M920*Parametros!$B$6+N920*Parametros!$B$7+O920*Parametros!$B$8)/SUM(Parametros!$B$4:$B$8),2)</f>
        <v>1</v>
      </c>
      <c r="S920" s="26">
        <f>IFERROR(INDEX(Parametros!$F$33:$F$42,MATCH(D920,Parametros!$A$33:$A$42,0)),1)</f>
        <v>1.1000000000000001</v>
      </c>
      <c r="T920" s="27">
        <f>IFERROR(INDEX(Parametros!$B$21:$B$26,MATCH(I920,Parametros!$A$21:$A$26,0)),0)</f>
        <v>0</v>
      </c>
      <c r="U920" s="28">
        <f t="shared" si="57"/>
        <v>1.1000000000000001</v>
      </c>
      <c r="V920" s="9">
        <f>IF(U920&gt;=Parametros!$B$14,4,IF(U920&gt;=Parametros!$B$13,3,IF(U920&gt;=Parametros!$B$12,2,1)))</f>
        <v>1</v>
      </c>
      <c r="W920" s="5">
        <f>MAX(V920,IF(K920=5,Parametros!$B$17,0),IF(P920="Sim",Parametros!$B$18,0))</f>
        <v>1</v>
      </c>
      <c r="X920" s="5" t="str">
        <f t="shared" si="58"/>
        <v>Baixa</v>
      </c>
      <c r="Y920" s="29">
        <f t="shared" si="59"/>
        <v>1010.79908</v>
      </c>
      <c r="Z920" s="4" t="s">
        <v>659</v>
      </c>
    </row>
    <row r="921" spans="1:26" ht="28.05" customHeight="1" x14ac:dyDescent="0.3">
      <c r="A921" s="5">
        <f t="shared" si="56"/>
        <v>917</v>
      </c>
      <c r="B921" s="23" t="s">
        <v>2026</v>
      </c>
      <c r="C921" s="17" t="s">
        <v>2027</v>
      </c>
      <c r="D921" s="4" t="s">
        <v>49</v>
      </c>
      <c r="E921" s="4" t="s">
        <v>81</v>
      </c>
      <c r="F921" s="4" t="s">
        <v>81</v>
      </c>
      <c r="G921" s="4" t="s">
        <v>171</v>
      </c>
      <c r="H921" s="4" t="s">
        <v>172</v>
      </c>
      <c r="I921" s="24" t="s">
        <v>152</v>
      </c>
      <c r="J921" s="15">
        <v>3</v>
      </c>
      <c r="K921" s="15">
        <v>1</v>
      </c>
      <c r="L921" s="15">
        <v>1</v>
      </c>
      <c r="M921" s="15">
        <v>1</v>
      </c>
      <c r="N921" s="15">
        <v>1</v>
      </c>
      <c r="O921" s="15">
        <v>1</v>
      </c>
      <c r="P921" s="15" t="s">
        <v>415</v>
      </c>
      <c r="Q921" s="23" t="s">
        <v>838</v>
      </c>
      <c r="R921" s="25">
        <f>ROUND((K921*Parametros!$B$4+L921*Parametros!$B$5+M921*Parametros!$B$6+N921*Parametros!$B$7+O921*Parametros!$B$8)/SUM(Parametros!$B$4:$B$8),2)</f>
        <v>1</v>
      </c>
      <c r="S921" s="26">
        <f>IFERROR(INDEX(Parametros!$F$33:$F$42,MATCH(D921,Parametros!$A$33:$A$42,0)),1)</f>
        <v>1.1000000000000001</v>
      </c>
      <c r="T921" s="27">
        <f>IFERROR(INDEX(Parametros!$B$21:$B$26,MATCH(I921,Parametros!$A$21:$A$26,0)),0)</f>
        <v>0</v>
      </c>
      <c r="U921" s="28">
        <f t="shared" si="57"/>
        <v>1.1000000000000001</v>
      </c>
      <c r="V921" s="9">
        <f>IF(U921&gt;=Parametros!$B$14,4,IF(U921&gt;=Parametros!$B$13,3,IF(U921&gt;=Parametros!$B$12,2,1)))</f>
        <v>1</v>
      </c>
      <c r="W921" s="5">
        <f>MAX(V921,IF(K921=5,Parametros!$B$17,0),IF(P921="Sim",Parametros!$B$18,0))</f>
        <v>1</v>
      </c>
      <c r="X921" s="5" t="str">
        <f t="shared" si="58"/>
        <v>Baixa</v>
      </c>
      <c r="Y921" s="29">
        <f t="shared" si="59"/>
        <v>1010.6990790000001</v>
      </c>
      <c r="Z921" s="4" t="s">
        <v>659</v>
      </c>
    </row>
    <row r="922" spans="1:26" ht="28.05" customHeight="1" x14ac:dyDescent="0.3">
      <c r="A922" s="5">
        <f t="shared" si="56"/>
        <v>918</v>
      </c>
      <c r="B922" s="23" t="s">
        <v>2028</v>
      </c>
      <c r="C922" s="17" t="s">
        <v>2029</v>
      </c>
      <c r="D922" s="4" t="s">
        <v>49</v>
      </c>
      <c r="E922" s="4" t="s">
        <v>81</v>
      </c>
      <c r="F922" s="4" t="s">
        <v>81</v>
      </c>
      <c r="G922" s="4" t="s">
        <v>171</v>
      </c>
      <c r="H922" s="4" t="s">
        <v>172</v>
      </c>
      <c r="I922" s="24" t="s">
        <v>152</v>
      </c>
      <c r="J922" s="15">
        <v>3</v>
      </c>
      <c r="K922" s="15">
        <v>1</v>
      </c>
      <c r="L922" s="15">
        <v>1</v>
      </c>
      <c r="M922" s="15">
        <v>1</v>
      </c>
      <c r="N922" s="15">
        <v>1</v>
      </c>
      <c r="O922" s="15">
        <v>1</v>
      </c>
      <c r="P922" s="15" t="s">
        <v>415</v>
      </c>
      <c r="Q922" s="23" t="s">
        <v>838</v>
      </c>
      <c r="R922" s="25">
        <f>ROUND((K922*Parametros!$B$4+L922*Parametros!$B$5+M922*Parametros!$B$6+N922*Parametros!$B$7+O922*Parametros!$B$8)/SUM(Parametros!$B$4:$B$8),2)</f>
        <v>1</v>
      </c>
      <c r="S922" s="26">
        <f>IFERROR(INDEX(Parametros!$F$33:$F$42,MATCH(D922,Parametros!$A$33:$A$42,0)),1)</f>
        <v>1.1000000000000001</v>
      </c>
      <c r="T922" s="27">
        <f>IFERROR(INDEX(Parametros!$B$21:$B$26,MATCH(I922,Parametros!$A$21:$A$26,0)),0)</f>
        <v>0</v>
      </c>
      <c r="U922" s="28">
        <f t="shared" si="57"/>
        <v>1.1000000000000001</v>
      </c>
      <c r="V922" s="9">
        <f>IF(U922&gt;=Parametros!$B$14,4,IF(U922&gt;=Parametros!$B$13,3,IF(U922&gt;=Parametros!$B$12,2,1)))</f>
        <v>1</v>
      </c>
      <c r="W922" s="5">
        <f>MAX(V922,IF(K922=5,Parametros!$B$17,0),IF(P922="Sim",Parametros!$B$18,0))</f>
        <v>1</v>
      </c>
      <c r="X922" s="5" t="str">
        <f t="shared" si="58"/>
        <v>Baixa</v>
      </c>
      <c r="Y922" s="29">
        <f t="shared" si="59"/>
        <v>1010.6990780000001</v>
      </c>
      <c r="Z922" s="4" t="s">
        <v>659</v>
      </c>
    </row>
    <row r="923" spans="1:26" ht="28.05" customHeight="1" x14ac:dyDescent="0.3">
      <c r="A923" s="5">
        <f t="shared" si="56"/>
        <v>919</v>
      </c>
      <c r="B923" s="23" t="s">
        <v>2030</v>
      </c>
      <c r="C923" s="17" t="s">
        <v>2031</v>
      </c>
      <c r="D923" s="4" t="s">
        <v>48</v>
      </c>
      <c r="E923" s="4" t="s">
        <v>82</v>
      </c>
      <c r="F923" s="4" t="s">
        <v>82</v>
      </c>
      <c r="G923" s="4" t="s">
        <v>171</v>
      </c>
      <c r="H923" s="4" t="s">
        <v>172</v>
      </c>
      <c r="I923" s="24" t="s">
        <v>152</v>
      </c>
      <c r="J923" s="15">
        <v>3</v>
      </c>
      <c r="K923" s="15">
        <v>1</v>
      </c>
      <c r="L923" s="15">
        <v>1</v>
      </c>
      <c r="M923" s="15">
        <v>1</v>
      </c>
      <c r="N923" s="15">
        <v>1</v>
      </c>
      <c r="O923" s="15">
        <v>1</v>
      </c>
      <c r="P923" s="15" t="s">
        <v>415</v>
      </c>
      <c r="Q923" s="23" t="s">
        <v>838</v>
      </c>
      <c r="R923" s="25">
        <f>ROUND((K923*Parametros!$B$4+L923*Parametros!$B$5+M923*Parametros!$B$6+N923*Parametros!$B$7+O923*Parametros!$B$8)/SUM(Parametros!$B$4:$B$8),2)</f>
        <v>1</v>
      </c>
      <c r="S923" s="26">
        <f>IFERROR(INDEX(Parametros!$F$33:$F$42,MATCH(D923,Parametros!$A$33:$A$42,0)),1)</f>
        <v>1.1000000000000001</v>
      </c>
      <c r="T923" s="27">
        <f>IFERROR(INDEX(Parametros!$B$21:$B$26,MATCH(I923,Parametros!$A$21:$A$26,0)),0)</f>
        <v>0</v>
      </c>
      <c r="U923" s="28">
        <f t="shared" si="57"/>
        <v>1.1000000000000001</v>
      </c>
      <c r="V923" s="9">
        <f>IF(U923&gt;=Parametros!$B$14,4,IF(U923&gt;=Parametros!$B$13,3,IF(U923&gt;=Parametros!$B$12,2,1)))</f>
        <v>1</v>
      </c>
      <c r="W923" s="5">
        <f>MAX(V923,IF(K923=5,Parametros!$B$17,0),IF(P923="Sim",Parametros!$B$18,0))</f>
        <v>1</v>
      </c>
      <c r="X923" s="5" t="str">
        <f t="shared" si="58"/>
        <v>Baixa</v>
      </c>
      <c r="Y923" s="29">
        <f t="shared" si="59"/>
        <v>1010.6990770000001</v>
      </c>
      <c r="Z923" s="4" t="s">
        <v>659</v>
      </c>
    </row>
    <row r="924" spans="1:26" ht="28.05" customHeight="1" x14ac:dyDescent="0.3">
      <c r="A924" s="5">
        <f t="shared" si="56"/>
        <v>920</v>
      </c>
      <c r="B924" s="23" t="s">
        <v>2032</v>
      </c>
      <c r="C924" s="17" t="s">
        <v>2033</v>
      </c>
      <c r="D924" s="4" t="s">
        <v>48</v>
      </c>
      <c r="E924" s="4" t="s">
        <v>85</v>
      </c>
      <c r="F924" s="4" t="s">
        <v>1515</v>
      </c>
      <c r="G924" s="4" t="s">
        <v>184</v>
      </c>
      <c r="H924" s="4" t="s">
        <v>185</v>
      </c>
      <c r="I924" s="24" t="s">
        <v>152</v>
      </c>
      <c r="J924" s="15">
        <v>3</v>
      </c>
      <c r="K924" s="15">
        <v>1</v>
      </c>
      <c r="L924" s="15">
        <v>1</v>
      </c>
      <c r="M924" s="15">
        <v>1</v>
      </c>
      <c r="N924" s="15">
        <v>1</v>
      </c>
      <c r="O924" s="15">
        <v>1</v>
      </c>
      <c r="P924" s="15" t="s">
        <v>415</v>
      </c>
      <c r="Q924" s="23" t="s">
        <v>838</v>
      </c>
      <c r="R924" s="25">
        <f>ROUND((K924*Parametros!$B$4+L924*Parametros!$B$5+M924*Parametros!$B$6+N924*Parametros!$B$7+O924*Parametros!$B$8)/SUM(Parametros!$B$4:$B$8),2)</f>
        <v>1</v>
      </c>
      <c r="S924" s="26">
        <f>IFERROR(INDEX(Parametros!$F$33:$F$42,MATCH(D924,Parametros!$A$33:$A$42,0)),1)</f>
        <v>1.1000000000000001</v>
      </c>
      <c r="T924" s="27">
        <f>IFERROR(INDEX(Parametros!$B$21:$B$26,MATCH(I924,Parametros!$A$21:$A$26,0)),0)</f>
        <v>0</v>
      </c>
      <c r="U924" s="28">
        <f t="shared" si="57"/>
        <v>1.1000000000000001</v>
      </c>
      <c r="V924" s="9">
        <f>IF(U924&gt;=Parametros!$B$14,4,IF(U924&gt;=Parametros!$B$13,3,IF(U924&gt;=Parametros!$B$12,2,1)))</f>
        <v>1</v>
      </c>
      <c r="W924" s="5">
        <f>MAX(V924,IF(K924=5,Parametros!$B$17,0),IF(P924="Sim",Parametros!$B$18,0))</f>
        <v>1</v>
      </c>
      <c r="X924" s="5" t="str">
        <f t="shared" si="58"/>
        <v>Baixa</v>
      </c>
      <c r="Y924" s="29">
        <f t="shared" si="59"/>
        <v>1010.699076</v>
      </c>
      <c r="Z924" s="4" t="s">
        <v>659</v>
      </c>
    </row>
    <row r="925" spans="1:26" ht="28.05" customHeight="1" x14ac:dyDescent="0.3">
      <c r="A925" s="5">
        <f t="shared" si="56"/>
        <v>921</v>
      </c>
      <c r="B925" s="23" t="s">
        <v>2034</v>
      </c>
      <c r="C925" s="17" t="s">
        <v>2035</v>
      </c>
      <c r="D925" s="4" t="s">
        <v>48</v>
      </c>
      <c r="E925" s="4" t="s">
        <v>82</v>
      </c>
      <c r="F925" s="4" t="s">
        <v>82</v>
      </c>
      <c r="G925" s="4" t="s">
        <v>171</v>
      </c>
      <c r="H925" s="4" t="s">
        <v>172</v>
      </c>
      <c r="I925" s="24" t="s">
        <v>152</v>
      </c>
      <c r="J925" s="15">
        <v>3</v>
      </c>
      <c r="K925" s="15">
        <v>1</v>
      </c>
      <c r="L925" s="15">
        <v>1</v>
      </c>
      <c r="M925" s="15">
        <v>1</v>
      </c>
      <c r="N925" s="15">
        <v>1</v>
      </c>
      <c r="O925" s="15">
        <v>1</v>
      </c>
      <c r="P925" s="15" t="s">
        <v>415</v>
      </c>
      <c r="Q925" s="23" t="s">
        <v>838</v>
      </c>
      <c r="R925" s="25">
        <f>ROUND((K925*Parametros!$B$4+L925*Parametros!$B$5+M925*Parametros!$B$6+N925*Parametros!$B$7+O925*Parametros!$B$8)/SUM(Parametros!$B$4:$B$8),2)</f>
        <v>1</v>
      </c>
      <c r="S925" s="26">
        <f>IFERROR(INDEX(Parametros!$F$33:$F$42,MATCH(D925,Parametros!$A$33:$A$42,0)),1)</f>
        <v>1.1000000000000001</v>
      </c>
      <c r="T925" s="27">
        <f>IFERROR(INDEX(Parametros!$B$21:$B$26,MATCH(I925,Parametros!$A$21:$A$26,0)),0)</f>
        <v>0</v>
      </c>
      <c r="U925" s="28">
        <f t="shared" si="57"/>
        <v>1.1000000000000001</v>
      </c>
      <c r="V925" s="9">
        <f>IF(U925&gt;=Parametros!$B$14,4,IF(U925&gt;=Parametros!$B$13,3,IF(U925&gt;=Parametros!$B$12,2,1)))</f>
        <v>1</v>
      </c>
      <c r="W925" s="5">
        <f>MAX(V925,IF(K925=5,Parametros!$B$17,0),IF(P925="Sim",Parametros!$B$18,0))</f>
        <v>1</v>
      </c>
      <c r="X925" s="5" t="str">
        <f t="shared" si="58"/>
        <v>Baixa</v>
      </c>
      <c r="Y925" s="29">
        <f t="shared" si="59"/>
        <v>1010.699075</v>
      </c>
      <c r="Z925" s="4" t="s">
        <v>659</v>
      </c>
    </row>
    <row r="926" spans="1:26" ht="28.05" customHeight="1" x14ac:dyDescent="0.3">
      <c r="A926" s="5">
        <f t="shared" si="56"/>
        <v>922</v>
      </c>
      <c r="B926" s="23" t="s">
        <v>2036</v>
      </c>
      <c r="C926" s="17" t="s">
        <v>2037</v>
      </c>
      <c r="D926" s="4" t="s">
        <v>48</v>
      </c>
      <c r="E926" s="4" t="s">
        <v>82</v>
      </c>
      <c r="F926" s="4" t="s">
        <v>82</v>
      </c>
      <c r="G926" s="4" t="s">
        <v>171</v>
      </c>
      <c r="H926" s="4" t="s">
        <v>172</v>
      </c>
      <c r="I926" s="24" t="s">
        <v>152</v>
      </c>
      <c r="J926" s="15">
        <v>3</v>
      </c>
      <c r="K926" s="15">
        <v>1</v>
      </c>
      <c r="L926" s="15">
        <v>1</v>
      </c>
      <c r="M926" s="15">
        <v>1</v>
      </c>
      <c r="N926" s="15">
        <v>1</v>
      </c>
      <c r="O926" s="15">
        <v>1</v>
      </c>
      <c r="P926" s="15" t="s">
        <v>415</v>
      </c>
      <c r="Q926" s="23" t="s">
        <v>838</v>
      </c>
      <c r="R926" s="25">
        <f>ROUND((K926*Parametros!$B$4+L926*Parametros!$B$5+M926*Parametros!$B$6+N926*Parametros!$B$7+O926*Parametros!$B$8)/SUM(Parametros!$B$4:$B$8),2)</f>
        <v>1</v>
      </c>
      <c r="S926" s="26">
        <f>IFERROR(INDEX(Parametros!$F$33:$F$42,MATCH(D926,Parametros!$A$33:$A$42,0)),1)</f>
        <v>1.1000000000000001</v>
      </c>
      <c r="T926" s="27">
        <f>IFERROR(INDEX(Parametros!$B$21:$B$26,MATCH(I926,Parametros!$A$21:$A$26,0)),0)</f>
        <v>0</v>
      </c>
      <c r="U926" s="28">
        <f t="shared" si="57"/>
        <v>1.1000000000000001</v>
      </c>
      <c r="V926" s="9">
        <f>IF(U926&gt;=Parametros!$B$14,4,IF(U926&gt;=Parametros!$B$13,3,IF(U926&gt;=Parametros!$B$12,2,1)))</f>
        <v>1</v>
      </c>
      <c r="W926" s="5">
        <f>MAX(V926,IF(K926=5,Parametros!$B$17,0),IF(P926="Sim",Parametros!$B$18,0))</f>
        <v>1</v>
      </c>
      <c r="X926" s="5" t="str">
        <f t="shared" si="58"/>
        <v>Baixa</v>
      </c>
      <c r="Y926" s="29">
        <f t="shared" si="59"/>
        <v>1010.699074</v>
      </c>
      <c r="Z926" s="4" t="s">
        <v>659</v>
      </c>
    </row>
    <row r="927" spans="1:26" ht="28.05" customHeight="1" x14ac:dyDescent="0.3">
      <c r="A927" s="5">
        <f t="shared" si="56"/>
        <v>923</v>
      </c>
      <c r="B927" s="23" t="s">
        <v>2038</v>
      </c>
      <c r="C927" s="17" t="s">
        <v>2039</v>
      </c>
      <c r="D927" s="4" t="s">
        <v>48</v>
      </c>
      <c r="E927" s="4" t="s">
        <v>82</v>
      </c>
      <c r="F927" s="4" t="s">
        <v>82</v>
      </c>
      <c r="G927" s="4" t="s">
        <v>171</v>
      </c>
      <c r="H927" s="4" t="s">
        <v>172</v>
      </c>
      <c r="I927" s="24" t="s">
        <v>152</v>
      </c>
      <c r="J927" s="15">
        <v>3</v>
      </c>
      <c r="K927" s="15">
        <v>1</v>
      </c>
      <c r="L927" s="15">
        <v>1</v>
      </c>
      <c r="M927" s="15">
        <v>1</v>
      </c>
      <c r="N927" s="15">
        <v>1</v>
      </c>
      <c r="O927" s="15">
        <v>1</v>
      </c>
      <c r="P927" s="15" t="s">
        <v>415</v>
      </c>
      <c r="Q927" s="23" t="s">
        <v>838</v>
      </c>
      <c r="R927" s="25">
        <f>ROUND((K927*Parametros!$B$4+L927*Parametros!$B$5+M927*Parametros!$B$6+N927*Parametros!$B$7+O927*Parametros!$B$8)/SUM(Parametros!$B$4:$B$8),2)</f>
        <v>1</v>
      </c>
      <c r="S927" s="26">
        <f>IFERROR(INDEX(Parametros!$F$33:$F$42,MATCH(D927,Parametros!$A$33:$A$42,0)),1)</f>
        <v>1.1000000000000001</v>
      </c>
      <c r="T927" s="27">
        <f>IFERROR(INDEX(Parametros!$B$21:$B$26,MATCH(I927,Parametros!$A$21:$A$26,0)),0)</f>
        <v>0</v>
      </c>
      <c r="U927" s="28">
        <f t="shared" si="57"/>
        <v>1.1000000000000001</v>
      </c>
      <c r="V927" s="9">
        <f>IF(U927&gt;=Parametros!$B$14,4,IF(U927&gt;=Parametros!$B$13,3,IF(U927&gt;=Parametros!$B$12,2,1)))</f>
        <v>1</v>
      </c>
      <c r="W927" s="5">
        <f>MAX(V927,IF(K927=5,Parametros!$B$17,0),IF(P927="Sim",Parametros!$B$18,0))</f>
        <v>1</v>
      </c>
      <c r="X927" s="5" t="str">
        <f t="shared" si="58"/>
        <v>Baixa</v>
      </c>
      <c r="Y927" s="29">
        <f t="shared" si="59"/>
        <v>1010.699073</v>
      </c>
      <c r="Z927" s="4" t="s">
        <v>659</v>
      </c>
    </row>
    <row r="928" spans="1:26" ht="28.05" customHeight="1" x14ac:dyDescent="0.3">
      <c r="A928" s="5">
        <f t="shared" si="56"/>
        <v>924</v>
      </c>
      <c r="B928" s="23" t="s">
        <v>2040</v>
      </c>
      <c r="C928" s="17" t="s">
        <v>2041</v>
      </c>
      <c r="D928" s="4" t="s">
        <v>48</v>
      </c>
      <c r="E928" s="4" t="s">
        <v>87</v>
      </c>
      <c r="F928" s="4" t="s">
        <v>87</v>
      </c>
      <c r="G928" s="4" t="s">
        <v>171</v>
      </c>
      <c r="H928" s="4" t="s">
        <v>172</v>
      </c>
      <c r="I928" s="24" t="s">
        <v>152</v>
      </c>
      <c r="J928" s="15">
        <v>3</v>
      </c>
      <c r="K928" s="15">
        <v>1</v>
      </c>
      <c r="L928" s="15">
        <v>1</v>
      </c>
      <c r="M928" s="15">
        <v>1</v>
      </c>
      <c r="N928" s="15">
        <v>1</v>
      </c>
      <c r="O928" s="15">
        <v>1</v>
      </c>
      <c r="P928" s="15" t="s">
        <v>415</v>
      </c>
      <c r="Q928" s="23" t="s">
        <v>838</v>
      </c>
      <c r="R928" s="25">
        <f>ROUND((K928*Parametros!$B$4+L928*Parametros!$B$5+M928*Parametros!$B$6+N928*Parametros!$B$7+O928*Parametros!$B$8)/SUM(Parametros!$B$4:$B$8),2)</f>
        <v>1</v>
      </c>
      <c r="S928" s="26">
        <f>IFERROR(INDEX(Parametros!$F$33:$F$42,MATCH(D928,Parametros!$A$33:$A$42,0)),1)</f>
        <v>1.1000000000000001</v>
      </c>
      <c r="T928" s="27">
        <f>IFERROR(INDEX(Parametros!$B$21:$B$26,MATCH(I928,Parametros!$A$21:$A$26,0)),0)</f>
        <v>0</v>
      </c>
      <c r="U928" s="28">
        <f t="shared" si="57"/>
        <v>1.1000000000000001</v>
      </c>
      <c r="V928" s="9">
        <f>IF(U928&gt;=Parametros!$B$14,4,IF(U928&gt;=Parametros!$B$13,3,IF(U928&gt;=Parametros!$B$12,2,1)))</f>
        <v>1</v>
      </c>
      <c r="W928" s="5">
        <f>MAX(V928,IF(K928=5,Parametros!$B$17,0),IF(P928="Sim",Parametros!$B$18,0))</f>
        <v>1</v>
      </c>
      <c r="X928" s="5" t="str">
        <f t="shared" si="58"/>
        <v>Baixa</v>
      </c>
      <c r="Y928" s="29">
        <f t="shared" si="59"/>
        <v>1010.699072</v>
      </c>
      <c r="Z928" s="4" t="s">
        <v>659</v>
      </c>
    </row>
    <row r="929" spans="1:26" ht="28.05" customHeight="1" x14ac:dyDescent="0.3">
      <c r="A929" s="5">
        <f t="shared" si="56"/>
        <v>925</v>
      </c>
      <c r="B929" s="23" t="s">
        <v>2042</v>
      </c>
      <c r="C929" s="17" t="s">
        <v>2043</v>
      </c>
      <c r="D929" s="4" t="s">
        <v>48</v>
      </c>
      <c r="E929" s="4" t="s">
        <v>82</v>
      </c>
      <c r="F929" s="4" t="s">
        <v>82</v>
      </c>
      <c r="G929" s="4" t="s">
        <v>171</v>
      </c>
      <c r="H929" s="4" t="s">
        <v>172</v>
      </c>
      <c r="I929" s="24" t="s">
        <v>152</v>
      </c>
      <c r="J929" s="15">
        <v>3</v>
      </c>
      <c r="K929" s="15">
        <v>1</v>
      </c>
      <c r="L929" s="15">
        <v>1</v>
      </c>
      <c r="M929" s="15">
        <v>1</v>
      </c>
      <c r="N929" s="15">
        <v>1</v>
      </c>
      <c r="O929" s="15">
        <v>1</v>
      </c>
      <c r="P929" s="15" t="s">
        <v>415</v>
      </c>
      <c r="Q929" s="23" t="s">
        <v>838</v>
      </c>
      <c r="R929" s="25">
        <f>ROUND((K929*Parametros!$B$4+L929*Parametros!$B$5+M929*Parametros!$B$6+N929*Parametros!$B$7+O929*Parametros!$B$8)/SUM(Parametros!$B$4:$B$8),2)</f>
        <v>1</v>
      </c>
      <c r="S929" s="26">
        <f>IFERROR(INDEX(Parametros!$F$33:$F$42,MATCH(D929,Parametros!$A$33:$A$42,0)),1)</f>
        <v>1.1000000000000001</v>
      </c>
      <c r="T929" s="27">
        <f>IFERROR(INDEX(Parametros!$B$21:$B$26,MATCH(I929,Parametros!$A$21:$A$26,0)),0)</f>
        <v>0</v>
      </c>
      <c r="U929" s="28">
        <f t="shared" si="57"/>
        <v>1.1000000000000001</v>
      </c>
      <c r="V929" s="9">
        <f>IF(U929&gt;=Parametros!$B$14,4,IF(U929&gt;=Parametros!$B$13,3,IF(U929&gt;=Parametros!$B$12,2,1)))</f>
        <v>1</v>
      </c>
      <c r="W929" s="5">
        <f>MAX(V929,IF(K929=5,Parametros!$B$17,0),IF(P929="Sim",Parametros!$B$18,0))</f>
        <v>1</v>
      </c>
      <c r="X929" s="5" t="str">
        <f t="shared" si="58"/>
        <v>Baixa</v>
      </c>
      <c r="Y929" s="29">
        <f t="shared" si="59"/>
        <v>1010.699071</v>
      </c>
      <c r="Z929" s="4" t="s">
        <v>659</v>
      </c>
    </row>
    <row r="930" spans="1:26" ht="28.05" customHeight="1" x14ac:dyDescent="0.3">
      <c r="A930" s="5">
        <f t="shared" si="56"/>
        <v>926</v>
      </c>
      <c r="B930" s="23" t="s">
        <v>2044</v>
      </c>
      <c r="C930" s="17" t="s">
        <v>2045</v>
      </c>
      <c r="D930" s="4" t="s">
        <v>50</v>
      </c>
      <c r="E930" s="4" t="s">
        <v>75</v>
      </c>
      <c r="F930" s="4" t="s">
        <v>75</v>
      </c>
      <c r="G930" s="4" t="s">
        <v>171</v>
      </c>
      <c r="H930" s="4" t="s">
        <v>172</v>
      </c>
      <c r="I930" s="24" t="s">
        <v>152</v>
      </c>
      <c r="J930" s="15">
        <v>2</v>
      </c>
      <c r="K930" s="15">
        <v>1</v>
      </c>
      <c r="L930" s="15">
        <v>1</v>
      </c>
      <c r="M930" s="15">
        <v>1</v>
      </c>
      <c r="N930" s="15">
        <v>1</v>
      </c>
      <c r="O930" s="15">
        <v>1</v>
      </c>
      <c r="P930" s="15" t="s">
        <v>415</v>
      </c>
      <c r="Q930" s="23" t="s">
        <v>838</v>
      </c>
      <c r="R930" s="25">
        <f>ROUND((K930*Parametros!$B$4+L930*Parametros!$B$5+M930*Parametros!$B$6+N930*Parametros!$B$7+O930*Parametros!$B$8)/SUM(Parametros!$B$4:$B$8),2)</f>
        <v>1</v>
      </c>
      <c r="S930" s="26">
        <f>IFERROR(INDEX(Parametros!$F$33:$F$42,MATCH(D930,Parametros!$A$33:$A$42,0)),1)</f>
        <v>1.0840000000000001</v>
      </c>
      <c r="T930" s="27">
        <f>IFERROR(INDEX(Parametros!$B$21:$B$26,MATCH(I930,Parametros!$A$21:$A$26,0)),0)</f>
        <v>0</v>
      </c>
      <c r="U930" s="28">
        <f t="shared" si="57"/>
        <v>1.08</v>
      </c>
      <c r="V930" s="9">
        <f>IF(U930&gt;=Parametros!$B$14,4,IF(U930&gt;=Parametros!$B$13,3,IF(U930&gt;=Parametros!$B$12,2,1)))</f>
        <v>1</v>
      </c>
      <c r="W930" s="5">
        <f>MAX(V930,IF(K930=5,Parametros!$B$17,0),IF(P930="Sim",Parametros!$B$18,0))</f>
        <v>1</v>
      </c>
      <c r="X930" s="5" t="str">
        <f t="shared" si="58"/>
        <v>Baixa</v>
      </c>
      <c r="Y930" s="29">
        <f t="shared" si="59"/>
        <v>1010.5990699999999</v>
      </c>
      <c r="Z930" s="4" t="s">
        <v>659</v>
      </c>
    </row>
    <row r="931" spans="1:26" ht="28.05" customHeight="1" x14ac:dyDescent="0.3">
      <c r="A931" s="5">
        <f t="shared" si="56"/>
        <v>927</v>
      </c>
      <c r="B931" s="23" t="s">
        <v>2046</v>
      </c>
      <c r="C931" s="17" t="s">
        <v>2047</v>
      </c>
      <c r="D931" s="4" t="s">
        <v>50</v>
      </c>
      <c r="E931" s="4" t="s">
        <v>1175</v>
      </c>
      <c r="F931" s="4" t="s">
        <v>1176</v>
      </c>
      <c r="G931" s="4" t="s">
        <v>171</v>
      </c>
      <c r="H931" s="4" t="s">
        <v>172</v>
      </c>
      <c r="I931" s="24" t="s">
        <v>131</v>
      </c>
      <c r="J931" s="15">
        <v>2</v>
      </c>
      <c r="K931" s="15">
        <v>1</v>
      </c>
      <c r="L931" s="15">
        <v>1</v>
      </c>
      <c r="M931" s="15">
        <v>1</v>
      </c>
      <c r="N931" s="15">
        <v>1</v>
      </c>
      <c r="O931" s="15">
        <v>1</v>
      </c>
      <c r="P931" s="15" t="s">
        <v>415</v>
      </c>
      <c r="Q931" s="23" t="s">
        <v>838</v>
      </c>
      <c r="R931" s="25">
        <f>ROUND((K931*Parametros!$B$4+L931*Parametros!$B$5+M931*Parametros!$B$6+N931*Parametros!$B$7+O931*Parametros!$B$8)/SUM(Parametros!$B$4:$B$8),2)</f>
        <v>1</v>
      </c>
      <c r="S931" s="26">
        <f>IFERROR(INDEX(Parametros!$F$33:$F$42,MATCH(D931,Parametros!$A$33:$A$42,0)),1)</f>
        <v>1.0840000000000001</v>
      </c>
      <c r="T931" s="27">
        <f>IFERROR(INDEX(Parametros!$B$21:$B$26,MATCH(I931,Parametros!$A$21:$A$26,0)),0)</f>
        <v>0</v>
      </c>
      <c r="U931" s="28">
        <f t="shared" si="57"/>
        <v>1.08</v>
      </c>
      <c r="V931" s="9">
        <f>IF(U931&gt;=Parametros!$B$14,4,IF(U931&gt;=Parametros!$B$13,3,IF(U931&gt;=Parametros!$B$12,2,1)))</f>
        <v>1</v>
      </c>
      <c r="W931" s="5">
        <f>MAX(V931,IF(K931=5,Parametros!$B$17,0),IF(P931="Sim",Parametros!$B$18,0))</f>
        <v>1</v>
      </c>
      <c r="X931" s="5" t="str">
        <f t="shared" si="58"/>
        <v>Baixa</v>
      </c>
      <c r="Y931" s="29">
        <f t="shared" si="59"/>
        <v>1010.5990689999999</v>
      </c>
      <c r="Z931" s="4" t="s">
        <v>659</v>
      </c>
    </row>
    <row r="932" spans="1:26" ht="28.05" customHeight="1" x14ac:dyDescent="0.3">
      <c r="A932" s="5">
        <f t="shared" si="56"/>
        <v>928</v>
      </c>
      <c r="B932" s="23" t="s">
        <v>2048</v>
      </c>
      <c r="C932" s="17" t="s">
        <v>2049</v>
      </c>
      <c r="D932" s="4" t="s">
        <v>50</v>
      </c>
      <c r="E932" s="4" t="s">
        <v>86</v>
      </c>
      <c r="F932" s="4" t="s">
        <v>1551</v>
      </c>
      <c r="G932" s="4" t="s">
        <v>171</v>
      </c>
      <c r="H932" s="4" t="s">
        <v>172</v>
      </c>
      <c r="I932" s="24" t="s">
        <v>152</v>
      </c>
      <c r="J932" s="15">
        <v>3</v>
      </c>
      <c r="K932" s="15">
        <v>1</v>
      </c>
      <c r="L932" s="15">
        <v>1</v>
      </c>
      <c r="M932" s="15">
        <v>1</v>
      </c>
      <c r="N932" s="15">
        <v>1</v>
      </c>
      <c r="O932" s="15">
        <v>1</v>
      </c>
      <c r="P932" s="15" t="s">
        <v>415</v>
      </c>
      <c r="Q932" s="23" t="s">
        <v>838</v>
      </c>
      <c r="R932" s="25">
        <f>ROUND((K932*Parametros!$B$4+L932*Parametros!$B$5+M932*Parametros!$B$6+N932*Parametros!$B$7+O932*Parametros!$B$8)/SUM(Parametros!$B$4:$B$8),2)</f>
        <v>1</v>
      </c>
      <c r="S932" s="26">
        <f>IFERROR(INDEX(Parametros!$F$33:$F$42,MATCH(D932,Parametros!$A$33:$A$42,0)),1)</f>
        <v>1.0840000000000001</v>
      </c>
      <c r="T932" s="27">
        <f>IFERROR(INDEX(Parametros!$B$21:$B$26,MATCH(I932,Parametros!$A$21:$A$26,0)),0)</f>
        <v>0</v>
      </c>
      <c r="U932" s="28">
        <f t="shared" si="57"/>
        <v>1.08</v>
      </c>
      <c r="V932" s="9">
        <f>IF(U932&gt;=Parametros!$B$14,4,IF(U932&gt;=Parametros!$B$13,3,IF(U932&gt;=Parametros!$B$12,2,1)))</f>
        <v>1</v>
      </c>
      <c r="W932" s="5">
        <f>MAX(V932,IF(K932=5,Parametros!$B$17,0),IF(P932="Sim",Parametros!$B$18,0))</f>
        <v>1</v>
      </c>
      <c r="X932" s="5" t="str">
        <f t="shared" si="58"/>
        <v>Baixa</v>
      </c>
      <c r="Y932" s="29">
        <f t="shared" si="59"/>
        <v>1010.499068</v>
      </c>
      <c r="Z932" s="4" t="s">
        <v>659</v>
      </c>
    </row>
    <row r="933" spans="1:26" ht="28.05" customHeight="1" x14ac:dyDescent="0.3">
      <c r="A933" s="5">
        <f t="shared" si="56"/>
        <v>929</v>
      </c>
      <c r="B933" s="23" t="s">
        <v>2050</v>
      </c>
      <c r="C933" s="17" t="s">
        <v>2051</v>
      </c>
      <c r="D933" s="4" t="s">
        <v>48</v>
      </c>
      <c r="E933" s="4" t="s">
        <v>64</v>
      </c>
      <c r="F933" s="4" t="s">
        <v>64</v>
      </c>
      <c r="G933" s="4" t="s">
        <v>134</v>
      </c>
      <c r="H933" s="4" t="s">
        <v>108</v>
      </c>
      <c r="I933" s="24" t="s">
        <v>359</v>
      </c>
      <c r="J933" s="15">
        <v>2</v>
      </c>
      <c r="K933" s="15">
        <v>1</v>
      </c>
      <c r="L933" s="15">
        <v>1</v>
      </c>
      <c r="M933" s="15">
        <v>1</v>
      </c>
      <c r="N933" s="15">
        <v>1</v>
      </c>
      <c r="O933" s="15">
        <v>2</v>
      </c>
      <c r="P933" s="15" t="s">
        <v>415</v>
      </c>
      <c r="Q933" s="23" t="s">
        <v>838</v>
      </c>
      <c r="R933" s="25">
        <f>ROUND((K933*Parametros!$B$4+L933*Parametros!$B$5+M933*Parametros!$B$6+N933*Parametros!$B$7+O933*Parametros!$B$8)/SUM(Parametros!$B$4:$B$8),2)</f>
        <v>1.1499999999999999</v>
      </c>
      <c r="S933" s="26">
        <f>IFERROR(INDEX(Parametros!$F$33:$F$42,MATCH(D933,Parametros!$A$33:$A$42,0)),1)</f>
        <v>1.1000000000000001</v>
      </c>
      <c r="T933" s="27">
        <f>IFERROR(INDEX(Parametros!$B$21:$B$26,MATCH(I933,Parametros!$A$21:$A$26,0)),0)</f>
        <v>-0.2</v>
      </c>
      <c r="U933" s="28">
        <f t="shared" si="57"/>
        <v>1.07</v>
      </c>
      <c r="V933" s="9">
        <f>IF(U933&gt;=Parametros!$B$14,4,IF(U933&gt;=Parametros!$B$13,3,IF(U933&gt;=Parametros!$B$12,2,1)))</f>
        <v>1</v>
      </c>
      <c r="W933" s="5">
        <f>MAX(V933,IF(K933=5,Parametros!$B$17,0),IF(P933="Sim",Parametros!$B$18,0))</f>
        <v>1</v>
      </c>
      <c r="X933" s="5" t="str">
        <f t="shared" si="58"/>
        <v>Baixa</v>
      </c>
      <c r="Y933" s="29">
        <f t="shared" si="59"/>
        <v>1010.499067</v>
      </c>
      <c r="Z933" s="4" t="s">
        <v>1410</v>
      </c>
    </row>
    <row r="934" spans="1:26" ht="28.05" customHeight="1" x14ac:dyDescent="0.3">
      <c r="A934" s="5">
        <f t="shared" si="56"/>
        <v>930</v>
      </c>
      <c r="B934" s="23" t="s">
        <v>2052</v>
      </c>
      <c r="C934" s="17" t="s">
        <v>2053</v>
      </c>
      <c r="D934" s="4" t="s">
        <v>50</v>
      </c>
      <c r="E934" s="4" t="s">
        <v>86</v>
      </c>
      <c r="F934" s="4" t="s">
        <v>86</v>
      </c>
      <c r="G934" s="4" t="s">
        <v>112</v>
      </c>
      <c r="H934" s="4" t="s">
        <v>108</v>
      </c>
      <c r="I934" s="24" t="s">
        <v>152</v>
      </c>
      <c r="J934" s="15">
        <v>3</v>
      </c>
      <c r="K934" s="15">
        <v>1</v>
      </c>
      <c r="L934" s="15">
        <v>1</v>
      </c>
      <c r="M934" s="15">
        <v>1</v>
      </c>
      <c r="N934" s="15">
        <v>1</v>
      </c>
      <c r="O934" s="15">
        <v>1</v>
      </c>
      <c r="P934" s="15" t="s">
        <v>415</v>
      </c>
      <c r="Q934" s="23" t="s">
        <v>838</v>
      </c>
      <c r="R934" s="25">
        <f>ROUND((K934*Parametros!$B$4+L934*Parametros!$B$5+M934*Parametros!$B$6+N934*Parametros!$B$7+O934*Parametros!$B$8)/SUM(Parametros!$B$4:$B$8),2)</f>
        <v>1</v>
      </c>
      <c r="S934" s="26">
        <f>IFERROR(INDEX(Parametros!$F$33:$F$42,MATCH(D934,Parametros!$A$33:$A$42,0)),1)</f>
        <v>1.0840000000000001</v>
      </c>
      <c r="T934" s="27">
        <f>IFERROR(INDEX(Parametros!$B$21:$B$26,MATCH(I934,Parametros!$A$21:$A$26,0)),0)</f>
        <v>0</v>
      </c>
      <c r="U934" s="28">
        <f t="shared" si="57"/>
        <v>1.08</v>
      </c>
      <c r="V934" s="9">
        <f>IF(U934&gt;=Parametros!$B$14,4,IF(U934&gt;=Parametros!$B$13,3,IF(U934&gt;=Parametros!$B$12,2,1)))</f>
        <v>1</v>
      </c>
      <c r="W934" s="5">
        <f>MAX(V934,IF(K934=5,Parametros!$B$17,0),IF(P934="Sim",Parametros!$B$18,0))</f>
        <v>1</v>
      </c>
      <c r="X934" s="5" t="str">
        <f t="shared" si="58"/>
        <v>Baixa</v>
      </c>
      <c r="Y934" s="29">
        <f t="shared" si="59"/>
        <v>1010.499066</v>
      </c>
      <c r="Z934" s="4" t="s">
        <v>659</v>
      </c>
    </row>
    <row r="935" spans="1:26" ht="28.05" customHeight="1" x14ac:dyDescent="0.3">
      <c r="A935" s="5">
        <f t="shared" si="56"/>
        <v>931</v>
      </c>
      <c r="B935" s="23" t="s">
        <v>2054</v>
      </c>
      <c r="C935" s="17" t="s">
        <v>2055</v>
      </c>
      <c r="D935" s="4" t="s">
        <v>50</v>
      </c>
      <c r="E935" s="4" t="s">
        <v>69</v>
      </c>
      <c r="F935" s="4" t="s">
        <v>69</v>
      </c>
      <c r="G935" s="4" t="s">
        <v>171</v>
      </c>
      <c r="H935" s="4" t="s">
        <v>172</v>
      </c>
      <c r="I935" s="24" t="s">
        <v>152</v>
      </c>
      <c r="J935" s="15">
        <v>3</v>
      </c>
      <c r="K935" s="15">
        <v>1</v>
      </c>
      <c r="L935" s="15">
        <v>1</v>
      </c>
      <c r="M935" s="15">
        <v>1</v>
      </c>
      <c r="N935" s="15">
        <v>1</v>
      </c>
      <c r="O935" s="15">
        <v>1</v>
      </c>
      <c r="P935" s="15" t="s">
        <v>415</v>
      </c>
      <c r="Q935" s="23" t="s">
        <v>838</v>
      </c>
      <c r="R935" s="25">
        <f>ROUND((K935*Parametros!$B$4+L935*Parametros!$B$5+M935*Parametros!$B$6+N935*Parametros!$B$7+O935*Parametros!$B$8)/SUM(Parametros!$B$4:$B$8),2)</f>
        <v>1</v>
      </c>
      <c r="S935" s="26">
        <f>IFERROR(INDEX(Parametros!$F$33:$F$42,MATCH(D935,Parametros!$A$33:$A$42,0)),1)</f>
        <v>1.0840000000000001</v>
      </c>
      <c r="T935" s="27">
        <f>IFERROR(INDEX(Parametros!$B$21:$B$26,MATCH(I935,Parametros!$A$21:$A$26,0)),0)</f>
        <v>0</v>
      </c>
      <c r="U935" s="28">
        <f t="shared" si="57"/>
        <v>1.08</v>
      </c>
      <c r="V935" s="9">
        <f>IF(U935&gt;=Parametros!$B$14,4,IF(U935&gt;=Parametros!$B$13,3,IF(U935&gt;=Parametros!$B$12,2,1)))</f>
        <v>1</v>
      </c>
      <c r="W935" s="5">
        <f>MAX(V935,IF(K935=5,Parametros!$B$17,0),IF(P935="Sim",Parametros!$B$18,0))</f>
        <v>1</v>
      </c>
      <c r="X935" s="5" t="str">
        <f t="shared" si="58"/>
        <v>Baixa</v>
      </c>
      <c r="Y935" s="29">
        <f t="shared" si="59"/>
        <v>1010.499065</v>
      </c>
      <c r="Z935" s="4" t="s">
        <v>659</v>
      </c>
    </row>
    <row r="936" spans="1:26" ht="28.05" customHeight="1" x14ac:dyDescent="0.3">
      <c r="A936" s="5">
        <f t="shared" si="56"/>
        <v>932</v>
      </c>
      <c r="B936" s="23" t="s">
        <v>2056</v>
      </c>
      <c r="C936" s="17" t="s">
        <v>2057</v>
      </c>
      <c r="D936" s="4" t="s">
        <v>50</v>
      </c>
      <c r="E936" s="4" t="s">
        <v>63</v>
      </c>
      <c r="F936" s="4" t="s">
        <v>63</v>
      </c>
      <c r="G936" s="4" t="s">
        <v>171</v>
      </c>
      <c r="H936" s="4" t="s">
        <v>172</v>
      </c>
      <c r="I936" s="24" t="s">
        <v>152</v>
      </c>
      <c r="J936" s="15">
        <v>3</v>
      </c>
      <c r="K936" s="15">
        <v>1</v>
      </c>
      <c r="L936" s="15">
        <v>1</v>
      </c>
      <c r="M936" s="15">
        <v>1</v>
      </c>
      <c r="N936" s="15">
        <v>1</v>
      </c>
      <c r="O936" s="15">
        <v>1</v>
      </c>
      <c r="P936" s="15" t="s">
        <v>415</v>
      </c>
      <c r="Q936" s="23" t="s">
        <v>838</v>
      </c>
      <c r="R936" s="25">
        <f>ROUND((K936*Parametros!$B$4+L936*Parametros!$B$5+M936*Parametros!$B$6+N936*Parametros!$B$7+O936*Parametros!$B$8)/SUM(Parametros!$B$4:$B$8),2)</f>
        <v>1</v>
      </c>
      <c r="S936" s="26">
        <f>IFERROR(INDEX(Parametros!$F$33:$F$42,MATCH(D936,Parametros!$A$33:$A$42,0)),1)</f>
        <v>1.0840000000000001</v>
      </c>
      <c r="T936" s="27">
        <f>IFERROR(INDEX(Parametros!$B$21:$B$26,MATCH(I936,Parametros!$A$21:$A$26,0)),0)</f>
        <v>0</v>
      </c>
      <c r="U936" s="28">
        <f t="shared" si="57"/>
        <v>1.08</v>
      </c>
      <c r="V936" s="9">
        <f>IF(U936&gt;=Parametros!$B$14,4,IF(U936&gt;=Parametros!$B$13,3,IF(U936&gt;=Parametros!$B$12,2,1)))</f>
        <v>1</v>
      </c>
      <c r="W936" s="5">
        <f>MAX(V936,IF(K936=5,Parametros!$B$17,0),IF(P936="Sim",Parametros!$B$18,0))</f>
        <v>1</v>
      </c>
      <c r="X936" s="5" t="str">
        <f t="shared" si="58"/>
        <v>Baixa</v>
      </c>
      <c r="Y936" s="29">
        <f t="shared" si="59"/>
        <v>1010.499064</v>
      </c>
      <c r="Z936" s="4" t="s">
        <v>659</v>
      </c>
    </row>
    <row r="937" spans="1:26" ht="28.05" customHeight="1" x14ac:dyDescent="0.3">
      <c r="A937" s="5">
        <f t="shared" si="56"/>
        <v>933</v>
      </c>
      <c r="B937" s="23" t="s">
        <v>2058</v>
      </c>
      <c r="C937" s="17" t="s">
        <v>2059</v>
      </c>
      <c r="D937" s="4" t="s">
        <v>50</v>
      </c>
      <c r="E937" s="4" t="s">
        <v>70</v>
      </c>
      <c r="F937" s="4" t="s">
        <v>70</v>
      </c>
      <c r="G937" s="4" t="s">
        <v>171</v>
      </c>
      <c r="H937" s="4" t="s">
        <v>172</v>
      </c>
      <c r="I937" s="24" t="s">
        <v>152</v>
      </c>
      <c r="J937" s="15">
        <v>3</v>
      </c>
      <c r="K937" s="15">
        <v>1</v>
      </c>
      <c r="L937" s="15">
        <v>1</v>
      </c>
      <c r="M937" s="15">
        <v>1</v>
      </c>
      <c r="N937" s="15">
        <v>1</v>
      </c>
      <c r="O937" s="15">
        <v>1</v>
      </c>
      <c r="P937" s="15" t="s">
        <v>415</v>
      </c>
      <c r="Q937" s="23" t="s">
        <v>838</v>
      </c>
      <c r="R937" s="25">
        <f>ROUND((K937*Parametros!$B$4+L937*Parametros!$B$5+M937*Parametros!$B$6+N937*Parametros!$B$7+O937*Parametros!$B$8)/SUM(Parametros!$B$4:$B$8),2)</f>
        <v>1</v>
      </c>
      <c r="S937" s="26">
        <f>IFERROR(INDEX(Parametros!$F$33:$F$42,MATCH(D937,Parametros!$A$33:$A$42,0)),1)</f>
        <v>1.0840000000000001</v>
      </c>
      <c r="T937" s="27">
        <f>IFERROR(INDEX(Parametros!$B$21:$B$26,MATCH(I937,Parametros!$A$21:$A$26,0)),0)</f>
        <v>0</v>
      </c>
      <c r="U937" s="28">
        <f t="shared" si="57"/>
        <v>1.08</v>
      </c>
      <c r="V937" s="9">
        <f>IF(U937&gt;=Parametros!$B$14,4,IF(U937&gt;=Parametros!$B$13,3,IF(U937&gt;=Parametros!$B$12,2,1)))</f>
        <v>1</v>
      </c>
      <c r="W937" s="5">
        <f>MAX(V937,IF(K937=5,Parametros!$B$17,0),IF(P937="Sim",Parametros!$B$18,0))</f>
        <v>1</v>
      </c>
      <c r="X937" s="5" t="str">
        <f t="shared" si="58"/>
        <v>Baixa</v>
      </c>
      <c r="Y937" s="29">
        <f t="shared" si="59"/>
        <v>1010.499063</v>
      </c>
      <c r="Z937" s="4" t="s">
        <v>659</v>
      </c>
    </row>
    <row r="938" spans="1:26" ht="28.05" customHeight="1" x14ac:dyDescent="0.3">
      <c r="A938" s="5">
        <f t="shared" si="56"/>
        <v>934</v>
      </c>
      <c r="B938" s="23" t="s">
        <v>2060</v>
      </c>
      <c r="C938" s="17" t="s">
        <v>2061</v>
      </c>
      <c r="D938" s="4" t="s">
        <v>50</v>
      </c>
      <c r="E938" s="4" t="s">
        <v>86</v>
      </c>
      <c r="F938" s="4" t="s">
        <v>86</v>
      </c>
      <c r="G938" s="4" t="s">
        <v>112</v>
      </c>
      <c r="H938" s="4" t="s">
        <v>108</v>
      </c>
      <c r="I938" s="24" t="s">
        <v>152</v>
      </c>
      <c r="J938" s="15">
        <v>3</v>
      </c>
      <c r="K938" s="15">
        <v>1</v>
      </c>
      <c r="L938" s="15">
        <v>1</v>
      </c>
      <c r="M938" s="15">
        <v>1</v>
      </c>
      <c r="N938" s="15">
        <v>1</v>
      </c>
      <c r="O938" s="15">
        <v>1</v>
      </c>
      <c r="P938" s="15" t="s">
        <v>415</v>
      </c>
      <c r="Q938" s="23" t="s">
        <v>838</v>
      </c>
      <c r="R938" s="25">
        <f>ROUND((K938*Parametros!$B$4+L938*Parametros!$B$5+M938*Parametros!$B$6+N938*Parametros!$B$7+O938*Parametros!$B$8)/SUM(Parametros!$B$4:$B$8),2)</f>
        <v>1</v>
      </c>
      <c r="S938" s="26">
        <f>IFERROR(INDEX(Parametros!$F$33:$F$42,MATCH(D938,Parametros!$A$33:$A$42,0)),1)</f>
        <v>1.0840000000000001</v>
      </c>
      <c r="T938" s="27">
        <f>IFERROR(INDEX(Parametros!$B$21:$B$26,MATCH(I938,Parametros!$A$21:$A$26,0)),0)</f>
        <v>0</v>
      </c>
      <c r="U938" s="28">
        <f t="shared" si="57"/>
        <v>1.08</v>
      </c>
      <c r="V938" s="9">
        <f>IF(U938&gt;=Parametros!$B$14,4,IF(U938&gt;=Parametros!$B$13,3,IF(U938&gt;=Parametros!$B$12,2,1)))</f>
        <v>1</v>
      </c>
      <c r="W938" s="5">
        <f>MAX(V938,IF(K938=5,Parametros!$B$17,0),IF(P938="Sim",Parametros!$B$18,0))</f>
        <v>1</v>
      </c>
      <c r="X938" s="5" t="str">
        <f t="shared" si="58"/>
        <v>Baixa</v>
      </c>
      <c r="Y938" s="29">
        <f t="shared" si="59"/>
        <v>1010.499062</v>
      </c>
      <c r="Z938" s="4" t="s">
        <v>659</v>
      </c>
    </row>
    <row r="939" spans="1:26" ht="28.05" customHeight="1" x14ac:dyDescent="0.3">
      <c r="A939" s="5">
        <f t="shared" si="56"/>
        <v>935</v>
      </c>
      <c r="B939" s="23" t="s">
        <v>2062</v>
      </c>
      <c r="C939" s="17" t="s">
        <v>2063</v>
      </c>
      <c r="D939" s="4" t="s">
        <v>50</v>
      </c>
      <c r="E939" s="4" t="s">
        <v>75</v>
      </c>
      <c r="F939" s="4" t="s">
        <v>75</v>
      </c>
      <c r="G939" s="4" t="s">
        <v>171</v>
      </c>
      <c r="H939" s="4" t="s">
        <v>172</v>
      </c>
      <c r="I939" s="24" t="s">
        <v>152</v>
      </c>
      <c r="J939" s="15">
        <v>3</v>
      </c>
      <c r="K939" s="15">
        <v>1</v>
      </c>
      <c r="L939" s="15">
        <v>1</v>
      </c>
      <c r="M939" s="15">
        <v>1</v>
      </c>
      <c r="N939" s="15">
        <v>1</v>
      </c>
      <c r="O939" s="15">
        <v>1</v>
      </c>
      <c r="P939" s="15" t="s">
        <v>415</v>
      </c>
      <c r="Q939" s="23" t="s">
        <v>838</v>
      </c>
      <c r="R939" s="25">
        <f>ROUND((K939*Parametros!$B$4+L939*Parametros!$B$5+M939*Parametros!$B$6+N939*Parametros!$B$7+O939*Parametros!$B$8)/SUM(Parametros!$B$4:$B$8),2)</f>
        <v>1</v>
      </c>
      <c r="S939" s="26">
        <f>IFERROR(INDEX(Parametros!$F$33:$F$42,MATCH(D939,Parametros!$A$33:$A$42,0)),1)</f>
        <v>1.0840000000000001</v>
      </c>
      <c r="T939" s="27">
        <f>IFERROR(INDEX(Parametros!$B$21:$B$26,MATCH(I939,Parametros!$A$21:$A$26,0)),0)</f>
        <v>0</v>
      </c>
      <c r="U939" s="28">
        <f t="shared" si="57"/>
        <v>1.08</v>
      </c>
      <c r="V939" s="9">
        <f>IF(U939&gt;=Parametros!$B$14,4,IF(U939&gt;=Parametros!$B$13,3,IF(U939&gt;=Parametros!$B$12,2,1)))</f>
        <v>1</v>
      </c>
      <c r="W939" s="5">
        <f>MAX(V939,IF(K939=5,Parametros!$B$17,0),IF(P939="Sim",Parametros!$B$18,0))</f>
        <v>1</v>
      </c>
      <c r="X939" s="5" t="str">
        <f t="shared" si="58"/>
        <v>Baixa</v>
      </c>
      <c r="Y939" s="29">
        <f t="shared" si="59"/>
        <v>1010.499061</v>
      </c>
      <c r="Z939" s="4" t="s">
        <v>659</v>
      </c>
    </row>
    <row r="940" spans="1:26" ht="28.05" customHeight="1" x14ac:dyDescent="0.3">
      <c r="A940" s="5">
        <f t="shared" si="56"/>
        <v>936</v>
      </c>
      <c r="B940" s="23" t="s">
        <v>2064</v>
      </c>
      <c r="C940" s="17" t="s">
        <v>2065</v>
      </c>
      <c r="D940" s="4" t="s">
        <v>50</v>
      </c>
      <c r="E940" s="4" t="s">
        <v>64</v>
      </c>
      <c r="F940" s="4" t="s">
        <v>64</v>
      </c>
      <c r="G940" s="4" t="s">
        <v>184</v>
      </c>
      <c r="H940" s="4" t="s">
        <v>185</v>
      </c>
      <c r="I940" s="24" t="s">
        <v>131</v>
      </c>
      <c r="J940" s="15">
        <v>3</v>
      </c>
      <c r="K940" s="15">
        <v>1</v>
      </c>
      <c r="L940" s="15">
        <v>1</v>
      </c>
      <c r="M940" s="15">
        <v>1</v>
      </c>
      <c r="N940" s="15">
        <v>1</v>
      </c>
      <c r="O940" s="15">
        <v>1</v>
      </c>
      <c r="P940" s="15" t="s">
        <v>415</v>
      </c>
      <c r="Q940" s="23" t="s">
        <v>838</v>
      </c>
      <c r="R940" s="25">
        <f>ROUND((K940*Parametros!$B$4+L940*Parametros!$B$5+M940*Parametros!$B$6+N940*Parametros!$B$7+O940*Parametros!$B$8)/SUM(Parametros!$B$4:$B$8),2)</f>
        <v>1</v>
      </c>
      <c r="S940" s="26">
        <f>IFERROR(INDEX(Parametros!$F$33:$F$42,MATCH(D940,Parametros!$A$33:$A$42,0)),1)</f>
        <v>1.0840000000000001</v>
      </c>
      <c r="T940" s="27">
        <f>IFERROR(INDEX(Parametros!$B$21:$B$26,MATCH(I940,Parametros!$A$21:$A$26,0)),0)</f>
        <v>0</v>
      </c>
      <c r="U940" s="28">
        <f t="shared" si="57"/>
        <v>1.08</v>
      </c>
      <c r="V940" s="9">
        <f>IF(U940&gt;=Parametros!$B$14,4,IF(U940&gt;=Parametros!$B$13,3,IF(U940&gt;=Parametros!$B$12,2,1)))</f>
        <v>1</v>
      </c>
      <c r="W940" s="5">
        <f>MAX(V940,IF(K940=5,Parametros!$B$17,0),IF(P940="Sim",Parametros!$B$18,0))</f>
        <v>1</v>
      </c>
      <c r="X940" s="5" t="str">
        <f t="shared" si="58"/>
        <v>Baixa</v>
      </c>
      <c r="Y940" s="29">
        <f t="shared" si="59"/>
        <v>1010.49906</v>
      </c>
      <c r="Z940" s="4" t="s">
        <v>659</v>
      </c>
    </row>
    <row r="941" spans="1:26" ht="28.05" customHeight="1" x14ac:dyDescent="0.3">
      <c r="A941" s="5">
        <f t="shared" si="56"/>
        <v>937</v>
      </c>
      <c r="B941" s="23" t="s">
        <v>2066</v>
      </c>
      <c r="C941" s="17" t="s">
        <v>2067</v>
      </c>
      <c r="D941" s="4" t="s">
        <v>50</v>
      </c>
      <c r="E941" s="4" t="s">
        <v>345</v>
      </c>
      <c r="F941" s="4" t="s">
        <v>345</v>
      </c>
      <c r="G941" s="4" t="s">
        <v>171</v>
      </c>
      <c r="H941" s="4" t="s">
        <v>172</v>
      </c>
      <c r="I941" s="24" t="s">
        <v>152</v>
      </c>
      <c r="J941" s="15">
        <v>3</v>
      </c>
      <c r="K941" s="15">
        <v>1</v>
      </c>
      <c r="L941" s="15">
        <v>1</v>
      </c>
      <c r="M941" s="15">
        <v>1</v>
      </c>
      <c r="N941" s="15">
        <v>1</v>
      </c>
      <c r="O941" s="15">
        <v>1</v>
      </c>
      <c r="P941" s="15" t="s">
        <v>415</v>
      </c>
      <c r="Q941" s="23" t="s">
        <v>838</v>
      </c>
      <c r="R941" s="25">
        <f>ROUND((K941*Parametros!$B$4+L941*Parametros!$B$5+M941*Parametros!$B$6+N941*Parametros!$B$7+O941*Parametros!$B$8)/SUM(Parametros!$B$4:$B$8),2)</f>
        <v>1</v>
      </c>
      <c r="S941" s="26">
        <f>IFERROR(INDEX(Parametros!$F$33:$F$42,MATCH(D941,Parametros!$A$33:$A$42,0)),1)</f>
        <v>1.0840000000000001</v>
      </c>
      <c r="T941" s="27">
        <f>IFERROR(INDEX(Parametros!$B$21:$B$26,MATCH(I941,Parametros!$A$21:$A$26,0)),0)</f>
        <v>0</v>
      </c>
      <c r="U941" s="28">
        <f t="shared" si="57"/>
        <v>1.08</v>
      </c>
      <c r="V941" s="9">
        <f>IF(U941&gt;=Parametros!$B$14,4,IF(U941&gt;=Parametros!$B$13,3,IF(U941&gt;=Parametros!$B$12,2,1)))</f>
        <v>1</v>
      </c>
      <c r="W941" s="5">
        <f>MAX(V941,IF(K941=5,Parametros!$B$17,0),IF(P941="Sim",Parametros!$B$18,0))</f>
        <v>1</v>
      </c>
      <c r="X941" s="5" t="str">
        <f t="shared" si="58"/>
        <v>Baixa</v>
      </c>
      <c r="Y941" s="29">
        <f t="shared" si="59"/>
        <v>1010.499059</v>
      </c>
      <c r="Z941" s="4" t="s">
        <v>659</v>
      </c>
    </row>
    <row r="942" spans="1:26" ht="28.05" customHeight="1" x14ac:dyDescent="0.3">
      <c r="A942" s="5">
        <f t="shared" si="56"/>
        <v>938</v>
      </c>
      <c r="B942" s="23" t="s">
        <v>2068</v>
      </c>
      <c r="C942" s="17" t="s">
        <v>2069</v>
      </c>
      <c r="D942" s="4" t="s">
        <v>50</v>
      </c>
      <c r="E942" s="4" t="s">
        <v>345</v>
      </c>
      <c r="F942" s="4" t="s">
        <v>345</v>
      </c>
      <c r="G942" s="4" t="s">
        <v>171</v>
      </c>
      <c r="H942" s="4" t="s">
        <v>172</v>
      </c>
      <c r="I942" s="24" t="s">
        <v>152</v>
      </c>
      <c r="J942" s="15">
        <v>3</v>
      </c>
      <c r="K942" s="15">
        <v>1</v>
      </c>
      <c r="L942" s="15">
        <v>1</v>
      </c>
      <c r="M942" s="15">
        <v>1</v>
      </c>
      <c r="N942" s="15">
        <v>1</v>
      </c>
      <c r="O942" s="15">
        <v>1</v>
      </c>
      <c r="P942" s="15" t="s">
        <v>415</v>
      </c>
      <c r="Q942" s="23" t="s">
        <v>838</v>
      </c>
      <c r="R942" s="25">
        <f>ROUND((K942*Parametros!$B$4+L942*Parametros!$B$5+M942*Parametros!$B$6+N942*Parametros!$B$7+O942*Parametros!$B$8)/SUM(Parametros!$B$4:$B$8),2)</f>
        <v>1</v>
      </c>
      <c r="S942" s="26">
        <f>IFERROR(INDEX(Parametros!$F$33:$F$42,MATCH(D942,Parametros!$A$33:$A$42,0)),1)</f>
        <v>1.0840000000000001</v>
      </c>
      <c r="T942" s="27">
        <f>IFERROR(INDEX(Parametros!$B$21:$B$26,MATCH(I942,Parametros!$A$21:$A$26,0)),0)</f>
        <v>0</v>
      </c>
      <c r="U942" s="28">
        <f t="shared" si="57"/>
        <v>1.08</v>
      </c>
      <c r="V942" s="9">
        <f>IF(U942&gt;=Parametros!$B$14,4,IF(U942&gt;=Parametros!$B$13,3,IF(U942&gt;=Parametros!$B$12,2,1)))</f>
        <v>1</v>
      </c>
      <c r="W942" s="5">
        <f>MAX(V942,IF(K942=5,Parametros!$B$17,0),IF(P942="Sim",Parametros!$B$18,0))</f>
        <v>1</v>
      </c>
      <c r="X942" s="5" t="str">
        <f t="shared" si="58"/>
        <v>Baixa</v>
      </c>
      <c r="Y942" s="29">
        <f t="shared" si="59"/>
        <v>1010.499058</v>
      </c>
      <c r="Z942" s="4" t="s">
        <v>659</v>
      </c>
    </row>
    <row r="943" spans="1:26" ht="28.05" customHeight="1" x14ac:dyDescent="0.3">
      <c r="A943" s="5">
        <f t="shared" si="56"/>
        <v>939</v>
      </c>
      <c r="B943" s="23" t="s">
        <v>2070</v>
      </c>
      <c r="C943" s="17" t="s">
        <v>2071</v>
      </c>
      <c r="D943" s="4" t="s">
        <v>50</v>
      </c>
      <c r="E943" s="4" t="s">
        <v>86</v>
      </c>
      <c r="F943" s="4" t="s">
        <v>554</v>
      </c>
      <c r="G943" s="4" t="s">
        <v>171</v>
      </c>
      <c r="H943" s="4" t="s">
        <v>172</v>
      </c>
      <c r="I943" s="24" t="s">
        <v>152</v>
      </c>
      <c r="J943" s="15">
        <v>3</v>
      </c>
      <c r="K943" s="15">
        <v>1</v>
      </c>
      <c r="L943" s="15">
        <v>1</v>
      </c>
      <c r="M943" s="15">
        <v>1</v>
      </c>
      <c r="N943" s="15">
        <v>1</v>
      </c>
      <c r="O943" s="15">
        <v>1</v>
      </c>
      <c r="P943" s="15" t="s">
        <v>415</v>
      </c>
      <c r="Q943" s="23" t="s">
        <v>838</v>
      </c>
      <c r="R943" s="25">
        <f>ROUND((K943*Parametros!$B$4+L943*Parametros!$B$5+M943*Parametros!$B$6+N943*Parametros!$B$7+O943*Parametros!$B$8)/SUM(Parametros!$B$4:$B$8),2)</f>
        <v>1</v>
      </c>
      <c r="S943" s="26">
        <f>IFERROR(INDEX(Parametros!$F$33:$F$42,MATCH(D943,Parametros!$A$33:$A$42,0)),1)</f>
        <v>1.0840000000000001</v>
      </c>
      <c r="T943" s="27">
        <f>IFERROR(INDEX(Parametros!$B$21:$B$26,MATCH(I943,Parametros!$A$21:$A$26,0)),0)</f>
        <v>0</v>
      </c>
      <c r="U943" s="28">
        <f t="shared" si="57"/>
        <v>1.08</v>
      </c>
      <c r="V943" s="9">
        <f>IF(U943&gt;=Parametros!$B$14,4,IF(U943&gt;=Parametros!$B$13,3,IF(U943&gt;=Parametros!$B$12,2,1)))</f>
        <v>1</v>
      </c>
      <c r="W943" s="5">
        <f>MAX(V943,IF(K943=5,Parametros!$B$17,0),IF(P943="Sim",Parametros!$B$18,0))</f>
        <v>1</v>
      </c>
      <c r="X943" s="5" t="str">
        <f t="shared" si="58"/>
        <v>Baixa</v>
      </c>
      <c r="Y943" s="29">
        <f t="shared" si="59"/>
        <v>1010.499057</v>
      </c>
      <c r="Z943" s="4" t="s">
        <v>659</v>
      </c>
    </row>
    <row r="944" spans="1:26" ht="28.05" customHeight="1" x14ac:dyDescent="0.3">
      <c r="A944" s="5">
        <f t="shared" si="56"/>
        <v>940</v>
      </c>
      <c r="B944" s="23" t="s">
        <v>2072</v>
      </c>
      <c r="C944" s="17" t="s">
        <v>2073</v>
      </c>
      <c r="D944" s="4" t="s">
        <v>50</v>
      </c>
      <c r="E944" s="4" t="s">
        <v>75</v>
      </c>
      <c r="F944" s="4" t="s">
        <v>75</v>
      </c>
      <c r="G944" s="4" t="s">
        <v>184</v>
      </c>
      <c r="H944" s="4" t="s">
        <v>185</v>
      </c>
      <c r="I944" s="24" t="s">
        <v>152</v>
      </c>
      <c r="J944" s="15">
        <v>3</v>
      </c>
      <c r="K944" s="15">
        <v>1</v>
      </c>
      <c r="L944" s="15">
        <v>1</v>
      </c>
      <c r="M944" s="15">
        <v>1</v>
      </c>
      <c r="N944" s="15">
        <v>1</v>
      </c>
      <c r="O944" s="15">
        <v>1</v>
      </c>
      <c r="P944" s="15" t="s">
        <v>415</v>
      </c>
      <c r="Q944" s="23" t="s">
        <v>838</v>
      </c>
      <c r="R944" s="25">
        <f>ROUND((K944*Parametros!$B$4+L944*Parametros!$B$5+M944*Parametros!$B$6+N944*Parametros!$B$7+O944*Parametros!$B$8)/SUM(Parametros!$B$4:$B$8),2)</f>
        <v>1</v>
      </c>
      <c r="S944" s="26">
        <f>IFERROR(INDEX(Parametros!$F$33:$F$42,MATCH(D944,Parametros!$A$33:$A$42,0)),1)</f>
        <v>1.0840000000000001</v>
      </c>
      <c r="T944" s="27">
        <f>IFERROR(INDEX(Parametros!$B$21:$B$26,MATCH(I944,Parametros!$A$21:$A$26,0)),0)</f>
        <v>0</v>
      </c>
      <c r="U944" s="28">
        <f t="shared" si="57"/>
        <v>1.08</v>
      </c>
      <c r="V944" s="9">
        <f>IF(U944&gt;=Parametros!$B$14,4,IF(U944&gt;=Parametros!$B$13,3,IF(U944&gt;=Parametros!$B$12,2,1)))</f>
        <v>1</v>
      </c>
      <c r="W944" s="5">
        <f>MAX(V944,IF(K944=5,Parametros!$B$17,0),IF(P944="Sim",Parametros!$B$18,0))</f>
        <v>1</v>
      </c>
      <c r="X944" s="5" t="str">
        <f t="shared" si="58"/>
        <v>Baixa</v>
      </c>
      <c r="Y944" s="29">
        <f t="shared" si="59"/>
        <v>1010.499056</v>
      </c>
      <c r="Z944" s="4" t="s">
        <v>659</v>
      </c>
    </row>
    <row r="945" spans="1:26" ht="28.05" customHeight="1" x14ac:dyDescent="0.3">
      <c r="A945" s="5">
        <f t="shared" si="56"/>
        <v>941</v>
      </c>
      <c r="B945" s="23" t="s">
        <v>2074</v>
      </c>
      <c r="C945" s="17" t="s">
        <v>2075</v>
      </c>
      <c r="D945" s="4" t="s">
        <v>50</v>
      </c>
      <c r="E945" s="4" t="s">
        <v>75</v>
      </c>
      <c r="F945" s="4" t="s">
        <v>75</v>
      </c>
      <c r="G945" s="4" t="s">
        <v>171</v>
      </c>
      <c r="H945" s="4" t="s">
        <v>172</v>
      </c>
      <c r="I945" s="24" t="s">
        <v>152</v>
      </c>
      <c r="J945" s="15">
        <v>3</v>
      </c>
      <c r="K945" s="15">
        <v>1</v>
      </c>
      <c r="L945" s="15">
        <v>1</v>
      </c>
      <c r="M945" s="15">
        <v>1</v>
      </c>
      <c r="N945" s="15">
        <v>1</v>
      </c>
      <c r="O945" s="15">
        <v>1</v>
      </c>
      <c r="P945" s="15" t="s">
        <v>415</v>
      </c>
      <c r="Q945" s="23" t="s">
        <v>838</v>
      </c>
      <c r="R945" s="25">
        <f>ROUND((K945*Parametros!$B$4+L945*Parametros!$B$5+M945*Parametros!$B$6+N945*Parametros!$B$7+O945*Parametros!$B$8)/SUM(Parametros!$B$4:$B$8),2)</f>
        <v>1</v>
      </c>
      <c r="S945" s="26">
        <f>IFERROR(INDEX(Parametros!$F$33:$F$42,MATCH(D945,Parametros!$A$33:$A$42,0)),1)</f>
        <v>1.0840000000000001</v>
      </c>
      <c r="T945" s="27">
        <f>IFERROR(INDEX(Parametros!$B$21:$B$26,MATCH(I945,Parametros!$A$21:$A$26,0)),0)</f>
        <v>0</v>
      </c>
      <c r="U945" s="28">
        <f t="shared" si="57"/>
        <v>1.08</v>
      </c>
      <c r="V945" s="9">
        <f>IF(U945&gt;=Parametros!$B$14,4,IF(U945&gt;=Parametros!$B$13,3,IF(U945&gt;=Parametros!$B$12,2,1)))</f>
        <v>1</v>
      </c>
      <c r="W945" s="5">
        <f>MAX(V945,IF(K945=5,Parametros!$B$17,0),IF(P945="Sim",Parametros!$B$18,0))</f>
        <v>1</v>
      </c>
      <c r="X945" s="5" t="str">
        <f t="shared" si="58"/>
        <v>Baixa</v>
      </c>
      <c r="Y945" s="29">
        <f t="shared" si="59"/>
        <v>1010.499055</v>
      </c>
      <c r="Z945" s="4" t="s">
        <v>659</v>
      </c>
    </row>
    <row r="946" spans="1:26" ht="28.05" customHeight="1" x14ac:dyDescent="0.3">
      <c r="A946" s="5">
        <f t="shared" si="56"/>
        <v>942</v>
      </c>
      <c r="B946" s="23" t="s">
        <v>2076</v>
      </c>
      <c r="C946" s="17" t="s">
        <v>2077</v>
      </c>
      <c r="D946" s="4" t="s">
        <v>50</v>
      </c>
      <c r="E946" s="4" t="s">
        <v>389</v>
      </c>
      <c r="F946" s="4" t="s">
        <v>389</v>
      </c>
      <c r="G946" s="4" t="s">
        <v>184</v>
      </c>
      <c r="H946" s="4" t="s">
        <v>185</v>
      </c>
      <c r="I946" s="24" t="s">
        <v>152</v>
      </c>
      <c r="J946" s="15">
        <v>3</v>
      </c>
      <c r="K946" s="15">
        <v>1</v>
      </c>
      <c r="L946" s="15">
        <v>1</v>
      </c>
      <c r="M946" s="15">
        <v>1</v>
      </c>
      <c r="N946" s="15">
        <v>1</v>
      </c>
      <c r="O946" s="15">
        <v>1</v>
      </c>
      <c r="P946" s="15" t="s">
        <v>415</v>
      </c>
      <c r="Q946" s="23" t="s">
        <v>838</v>
      </c>
      <c r="R946" s="25">
        <f>ROUND((K946*Parametros!$B$4+L946*Parametros!$B$5+M946*Parametros!$B$6+N946*Parametros!$B$7+O946*Parametros!$B$8)/SUM(Parametros!$B$4:$B$8),2)</f>
        <v>1</v>
      </c>
      <c r="S946" s="26">
        <f>IFERROR(INDEX(Parametros!$F$33:$F$42,MATCH(D946,Parametros!$A$33:$A$42,0)),1)</f>
        <v>1.0840000000000001</v>
      </c>
      <c r="T946" s="27">
        <f>IFERROR(INDEX(Parametros!$B$21:$B$26,MATCH(I946,Parametros!$A$21:$A$26,0)),0)</f>
        <v>0</v>
      </c>
      <c r="U946" s="28">
        <f t="shared" si="57"/>
        <v>1.08</v>
      </c>
      <c r="V946" s="9">
        <f>IF(U946&gt;=Parametros!$B$14,4,IF(U946&gt;=Parametros!$B$13,3,IF(U946&gt;=Parametros!$B$12,2,1)))</f>
        <v>1</v>
      </c>
      <c r="W946" s="5">
        <f>MAX(V946,IF(K946=5,Parametros!$B$17,0),IF(P946="Sim",Parametros!$B$18,0))</f>
        <v>1</v>
      </c>
      <c r="X946" s="5" t="str">
        <f t="shared" si="58"/>
        <v>Baixa</v>
      </c>
      <c r="Y946" s="29">
        <f t="shared" si="59"/>
        <v>1010.499054</v>
      </c>
      <c r="Z946" s="4" t="s">
        <v>659</v>
      </c>
    </row>
    <row r="947" spans="1:26" ht="28.05" customHeight="1" x14ac:dyDescent="0.3">
      <c r="A947" s="5">
        <f t="shared" si="56"/>
        <v>943</v>
      </c>
      <c r="B947" s="23" t="s">
        <v>2078</v>
      </c>
      <c r="C947" s="17" t="s">
        <v>2079</v>
      </c>
      <c r="D947" s="4" t="s">
        <v>50</v>
      </c>
      <c r="E947" s="4" t="s">
        <v>85</v>
      </c>
      <c r="F947" s="4" t="s">
        <v>85</v>
      </c>
      <c r="G947" s="4" t="s">
        <v>171</v>
      </c>
      <c r="H947" s="4" t="s">
        <v>172</v>
      </c>
      <c r="I947" s="24" t="s">
        <v>152</v>
      </c>
      <c r="J947" s="15">
        <v>3</v>
      </c>
      <c r="K947" s="15">
        <v>1</v>
      </c>
      <c r="L947" s="15">
        <v>1</v>
      </c>
      <c r="M947" s="15">
        <v>1</v>
      </c>
      <c r="N947" s="15">
        <v>1</v>
      </c>
      <c r="O947" s="15">
        <v>1</v>
      </c>
      <c r="P947" s="15" t="s">
        <v>415</v>
      </c>
      <c r="Q947" s="23" t="s">
        <v>838</v>
      </c>
      <c r="R947" s="25">
        <f>ROUND((K947*Parametros!$B$4+L947*Parametros!$B$5+M947*Parametros!$B$6+N947*Parametros!$B$7+O947*Parametros!$B$8)/SUM(Parametros!$B$4:$B$8),2)</f>
        <v>1</v>
      </c>
      <c r="S947" s="26">
        <f>IFERROR(INDEX(Parametros!$F$33:$F$42,MATCH(D947,Parametros!$A$33:$A$42,0)),1)</f>
        <v>1.0840000000000001</v>
      </c>
      <c r="T947" s="27">
        <f>IFERROR(INDEX(Parametros!$B$21:$B$26,MATCH(I947,Parametros!$A$21:$A$26,0)),0)</f>
        <v>0</v>
      </c>
      <c r="U947" s="28">
        <f t="shared" si="57"/>
        <v>1.08</v>
      </c>
      <c r="V947" s="9">
        <f>IF(U947&gt;=Parametros!$B$14,4,IF(U947&gt;=Parametros!$B$13,3,IF(U947&gt;=Parametros!$B$12,2,1)))</f>
        <v>1</v>
      </c>
      <c r="W947" s="5">
        <f>MAX(V947,IF(K947=5,Parametros!$B$17,0),IF(P947="Sim",Parametros!$B$18,0))</f>
        <v>1</v>
      </c>
      <c r="X947" s="5" t="str">
        <f t="shared" si="58"/>
        <v>Baixa</v>
      </c>
      <c r="Y947" s="29">
        <f t="shared" si="59"/>
        <v>1010.499053</v>
      </c>
      <c r="Z947" s="4" t="s">
        <v>659</v>
      </c>
    </row>
    <row r="948" spans="1:26" ht="28.05" customHeight="1" x14ac:dyDescent="0.3">
      <c r="A948" s="5">
        <f t="shared" si="56"/>
        <v>944</v>
      </c>
      <c r="B948" s="23" t="s">
        <v>2080</v>
      </c>
      <c r="C948" s="17" t="s">
        <v>2081</v>
      </c>
      <c r="D948" s="4" t="s">
        <v>50</v>
      </c>
      <c r="E948" s="4" t="s">
        <v>86</v>
      </c>
      <c r="F948" s="4" t="s">
        <v>554</v>
      </c>
      <c r="G948" s="4" t="s">
        <v>171</v>
      </c>
      <c r="H948" s="4" t="s">
        <v>172</v>
      </c>
      <c r="I948" s="24" t="s">
        <v>152</v>
      </c>
      <c r="J948" s="15">
        <v>3</v>
      </c>
      <c r="K948" s="15">
        <v>1</v>
      </c>
      <c r="L948" s="15">
        <v>1</v>
      </c>
      <c r="M948" s="15">
        <v>1</v>
      </c>
      <c r="N948" s="15">
        <v>1</v>
      </c>
      <c r="O948" s="15">
        <v>1</v>
      </c>
      <c r="P948" s="15" t="s">
        <v>415</v>
      </c>
      <c r="Q948" s="23" t="s">
        <v>838</v>
      </c>
      <c r="R948" s="25">
        <f>ROUND((K948*Parametros!$B$4+L948*Parametros!$B$5+M948*Parametros!$B$6+N948*Parametros!$B$7+O948*Parametros!$B$8)/SUM(Parametros!$B$4:$B$8),2)</f>
        <v>1</v>
      </c>
      <c r="S948" s="26">
        <f>IFERROR(INDEX(Parametros!$F$33:$F$42,MATCH(D948,Parametros!$A$33:$A$42,0)),1)</f>
        <v>1.0840000000000001</v>
      </c>
      <c r="T948" s="27">
        <f>IFERROR(INDEX(Parametros!$B$21:$B$26,MATCH(I948,Parametros!$A$21:$A$26,0)),0)</f>
        <v>0</v>
      </c>
      <c r="U948" s="28">
        <f t="shared" si="57"/>
        <v>1.08</v>
      </c>
      <c r="V948" s="9">
        <f>IF(U948&gt;=Parametros!$B$14,4,IF(U948&gt;=Parametros!$B$13,3,IF(U948&gt;=Parametros!$B$12,2,1)))</f>
        <v>1</v>
      </c>
      <c r="W948" s="5">
        <f>MAX(V948,IF(K948=5,Parametros!$B$17,0),IF(P948="Sim",Parametros!$B$18,0))</f>
        <v>1</v>
      </c>
      <c r="X948" s="5" t="str">
        <f t="shared" si="58"/>
        <v>Baixa</v>
      </c>
      <c r="Y948" s="29">
        <f t="shared" si="59"/>
        <v>1010.499052</v>
      </c>
      <c r="Z948" s="4" t="s">
        <v>659</v>
      </c>
    </row>
    <row r="949" spans="1:26" ht="28.05" customHeight="1" x14ac:dyDescent="0.3">
      <c r="A949" s="5">
        <f t="shared" si="56"/>
        <v>945</v>
      </c>
      <c r="B949" s="23" t="s">
        <v>2082</v>
      </c>
      <c r="C949" s="17" t="s">
        <v>2083</v>
      </c>
      <c r="D949" s="4" t="s">
        <v>51</v>
      </c>
      <c r="E949" s="4" t="s">
        <v>64</v>
      </c>
      <c r="F949" s="4" t="s">
        <v>64</v>
      </c>
      <c r="G949" s="4" t="s">
        <v>171</v>
      </c>
      <c r="H949" s="4" t="s">
        <v>172</v>
      </c>
      <c r="I949" s="24" t="s">
        <v>152</v>
      </c>
      <c r="J949" s="15">
        <v>2</v>
      </c>
      <c r="K949" s="15">
        <v>1</v>
      </c>
      <c r="L949" s="15">
        <v>1</v>
      </c>
      <c r="M949" s="15">
        <v>1</v>
      </c>
      <c r="N949" s="15">
        <v>1</v>
      </c>
      <c r="O949" s="15">
        <v>1</v>
      </c>
      <c r="P949" s="15" t="s">
        <v>415</v>
      </c>
      <c r="Q949" s="23" t="s">
        <v>838</v>
      </c>
      <c r="R949" s="25">
        <f>ROUND((K949*Parametros!$B$4+L949*Parametros!$B$5+M949*Parametros!$B$6+N949*Parametros!$B$7+O949*Parametros!$B$8)/SUM(Parametros!$B$4:$B$8),2)</f>
        <v>1</v>
      </c>
      <c r="S949" s="26">
        <f>IFERROR(INDEX(Parametros!$F$33:$F$42,MATCH(D949,Parametros!$A$33:$A$42,0)),1)</f>
        <v>1.0669999999999999</v>
      </c>
      <c r="T949" s="27">
        <f>IFERROR(INDEX(Parametros!$B$21:$B$26,MATCH(I949,Parametros!$A$21:$A$26,0)),0)</f>
        <v>0</v>
      </c>
      <c r="U949" s="28">
        <f t="shared" si="57"/>
        <v>1.07</v>
      </c>
      <c r="V949" s="9">
        <f>IF(U949&gt;=Parametros!$B$14,4,IF(U949&gt;=Parametros!$B$13,3,IF(U949&gt;=Parametros!$B$12,2,1)))</f>
        <v>1</v>
      </c>
      <c r="W949" s="5">
        <f>MAX(V949,IF(K949=5,Parametros!$B$17,0),IF(P949="Sim",Parametros!$B$18,0))</f>
        <v>1</v>
      </c>
      <c r="X949" s="5" t="str">
        <f t="shared" si="58"/>
        <v>Baixa</v>
      </c>
      <c r="Y949" s="29">
        <f t="shared" si="59"/>
        <v>1010.499051</v>
      </c>
      <c r="Z949" s="4" t="s">
        <v>659</v>
      </c>
    </row>
    <row r="950" spans="1:26" ht="28.05" customHeight="1" x14ac:dyDescent="0.3">
      <c r="A950" s="5">
        <f t="shared" si="56"/>
        <v>946</v>
      </c>
      <c r="B950" s="23" t="s">
        <v>2084</v>
      </c>
      <c r="C950" s="17" t="s">
        <v>2085</v>
      </c>
      <c r="D950" s="4" t="s">
        <v>51</v>
      </c>
      <c r="E950" s="4" t="s">
        <v>170</v>
      </c>
      <c r="F950" s="4" t="s">
        <v>170</v>
      </c>
      <c r="G950" s="4" t="s">
        <v>107</v>
      </c>
      <c r="H950" s="4" t="s">
        <v>108</v>
      </c>
      <c r="I950" s="24" t="s">
        <v>152</v>
      </c>
      <c r="J950" s="15">
        <v>3</v>
      </c>
      <c r="K950" s="15">
        <v>1</v>
      </c>
      <c r="L950" s="15">
        <v>1</v>
      </c>
      <c r="M950" s="15">
        <v>1</v>
      </c>
      <c r="N950" s="15">
        <v>1</v>
      </c>
      <c r="O950" s="15">
        <v>1</v>
      </c>
      <c r="P950" s="15" t="s">
        <v>415</v>
      </c>
      <c r="Q950" s="23" t="s">
        <v>838</v>
      </c>
      <c r="R950" s="25">
        <f>ROUND((K950*Parametros!$B$4+L950*Parametros!$B$5+M950*Parametros!$B$6+N950*Parametros!$B$7+O950*Parametros!$B$8)/SUM(Parametros!$B$4:$B$8),2)</f>
        <v>1</v>
      </c>
      <c r="S950" s="26">
        <f>IFERROR(INDEX(Parametros!$F$33:$F$42,MATCH(D950,Parametros!$A$33:$A$42,0)),1)</f>
        <v>1.0669999999999999</v>
      </c>
      <c r="T950" s="27">
        <f>IFERROR(INDEX(Parametros!$B$21:$B$26,MATCH(I950,Parametros!$A$21:$A$26,0)),0)</f>
        <v>0</v>
      </c>
      <c r="U950" s="28">
        <f t="shared" si="57"/>
        <v>1.07</v>
      </c>
      <c r="V950" s="9">
        <f>IF(U950&gt;=Parametros!$B$14,4,IF(U950&gt;=Parametros!$B$13,3,IF(U950&gt;=Parametros!$B$12,2,1)))</f>
        <v>1</v>
      </c>
      <c r="W950" s="5">
        <f>MAX(V950,IF(K950=5,Parametros!$B$17,0),IF(P950="Sim",Parametros!$B$18,0))</f>
        <v>1</v>
      </c>
      <c r="X950" s="5" t="str">
        <f t="shared" si="58"/>
        <v>Baixa</v>
      </c>
      <c r="Y950" s="29">
        <f t="shared" si="59"/>
        <v>1010.3990500000001</v>
      </c>
      <c r="Z950" s="4" t="s">
        <v>659</v>
      </c>
    </row>
    <row r="951" spans="1:26" ht="28.05" customHeight="1" x14ac:dyDescent="0.3">
      <c r="A951" s="5">
        <f t="shared" si="56"/>
        <v>947</v>
      </c>
      <c r="B951" s="23" t="s">
        <v>2086</v>
      </c>
      <c r="C951" s="17" t="s">
        <v>2087</v>
      </c>
      <c r="D951" s="4" t="s">
        <v>51</v>
      </c>
      <c r="E951" s="4" t="s">
        <v>170</v>
      </c>
      <c r="F951" s="4" t="s">
        <v>170</v>
      </c>
      <c r="G951" s="4" t="s">
        <v>134</v>
      </c>
      <c r="H951" s="4" t="s">
        <v>108</v>
      </c>
      <c r="I951" s="24" t="s">
        <v>152</v>
      </c>
      <c r="J951" s="15">
        <v>3</v>
      </c>
      <c r="K951" s="15">
        <v>1</v>
      </c>
      <c r="L951" s="15">
        <v>1</v>
      </c>
      <c r="M951" s="15">
        <v>1</v>
      </c>
      <c r="N951" s="15">
        <v>1</v>
      </c>
      <c r="O951" s="15">
        <v>1</v>
      </c>
      <c r="P951" s="15" t="s">
        <v>415</v>
      </c>
      <c r="Q951" s="23" t="s">
        <v>838</v>
      </c>
      <c r="R951" s="25">
        <f>ROUND((K951*Parametros!$B$4+L951*Parametros!$B$5+M951*Parametros!$B$6+N951*Parametros!$B$7+O951*Parametros!$B$8)/SUM(Parametros!$B$4:$B$8),2)</f>
        <v>1</v>
      </c>
      <c r="S951" s="26">
        <f>IFERROR(INDEX(Parametros!$F$33:$F$42,MATCH(D951,Parametros!$A$33:$A$42,0)),1)</f>
        <v>1.0669999999999999</v>
      </c>
      <c r="T951" s="27">
        <f>IFERROR(INDEX(Parametros!$B$21:$B$26,MATCH(I951,Parametros!$A$21:$A$26,0)),0)</f>
        <v>0</v>
      </c>
      <c r="U951" s="28">
        <f t="shared" si="57"/>
        <v>1.07</v>
      </c>
      <c r="V951" s="9">
        <f>IF(U951&gt;=Parametros!$B$14,4,IF(U951&gt;=Parametros!$B$13,3,IF(U951&gt;=Parametros!$B$12,2,1)))</f>
        <v>1</v>
      </c>
      <c r="W951" s="5">
        <f>MAX(V951,IF(K951=5,Parametros!$B$17,0),IF(P951="Sim",Parametros!$B$18,0))</f>
        <v>1</v>
      </c>
      <c r="X951" s="5" t="str">
        <f t="shared" si="58"/>
        <v>Baixa</v>
      </c>
      <c r="Y951" s="29">
        <f t="shared" si="59"/>
        <v>1010.3990490000001</v>
      </c>
      <c r="Z951" s="4" t="s">
        <v>659</v>
      </c>
    </row>
    <row r="952" spans="1:26" ht="28.05" customHeight="1" x14ac:dyDescent="0.3">
      <c r="A952" s="5">
        <f t="shared" si="56"/>
        <v>948</v>
      </c>
      <c r="B952" s="23" t="s">
        <v>2088</v>
      </c>
      <c r="C952" s="17" t="s">
        <v>2085</v>
      </c>
      <c r="D952" s="4" t="s">
        <v>51</v>
      </c>
      <c r="E952" s="4" t="s">
        <v>170</v>
      </c>
      <c r="F952" s="4" t="s">
        <v>170</v>
      </c>
      <c r="G952" s="4" t="s">
        <v>107</v>
      </c>
      <c r="H952" s="4" t="s">
        <v>108</v>
      </c>
      <c r="I952" s="24" t="s">
        <v>152</v>
      </c>
      <c r="J952" s="15">
        <v>3</v>
      </c>
      <c r="K952" s="15">
        <v>1</v>
      </c>
      <c r="L952" s="15">
        <v>1</v>
      </c>
      <c r="M952" s="15">
        <v>1</v>
      </c>
      <c r="N952" s="15">
        <v>1</v>
      </c>
      <c r="O952" s="15">
        <v>1</v>
      </c>
      <c r="P952" s="15" t="s">
        <v>415</v>
      </c>
      <c r="Q952" s="23" t="s">
        <v>838</v>
      </c>
      <c r="R952" s="25">
        <f>ROUND((K952*Parametros!$B$4+L952*Parametros!$B$5+M952*Parametros!$B$6+N952*Parametros!$B$7+O952*Parametros!$B$8)/SUM(Parametros!$B$4:$B$8),2)</f>
        <v>1</v>
      </c>
      <c r="S952" s="26">
        <f>IFERROR(INDEX(Parametros!$F$33:$F$42,MATCH(D952,Parametros!$A$33:$A$42,0)),1)</f>
        <v>1.0669999999999999</v>
      </c>
      <c r="T952" s="27">
        <f>IFERROR(INDEX(Parametros!$B$21:$B$26,MATCH(I952,Parametros!$A$21:$A$26,0)),0)</f>
        <v>0</v>
      </c>
      <c r="U952" s="28">
        <f t="shared" si="57"/>
        <v>1.07</v>
      </c>
      <c r="V952" s="9">
        <f>IF(U952&gt;=Parametros!$B$14,4,IF(U952&gt;=Parametros!$B$13,3,IF(U952&gt;=Parametros!$B$12,2,1)))</f>
        <v>1</v>
      </c>
      <c r="W952" s="5">
        <f>MAX(V952,IF(K952=5,Parametros!$B$17,0),IF(P952="Sim",Parametros!$B$18,0))</f>
        <v>1</v>
      </c>
      <c r="X952" s="5" t="str">
        <f t="shared" si="58"/>
        <v>Baixa</v>
      </c>
      <c r="Y952" s="29">
        <f t="shared" si="59"/>
        <v>1010.3990480000001</v>
      </c>
      <c r="Z952" s="4" t="s">
        <v>659</v>
      </c>
    </row>
    <row r="953" spans="1:26" ht="28.05" customHeight="1" x14ac:dyDescent="0.3">
      <c r="A953" s="5">
        <f t="shared" si="56"/>
        <v>949</v>
      </c>
      <c r="B953" s="23" t="s">
        <v>2089</v>
      </c>
      <c r="C953" s="17" t="s">
        <v>2090</v>
      </c>
      <c r="D953" s="4" t="s">
        <v>51</v>
      </c>
      <c r="E953" s="4" t="s">
        <v>170</v>
      </c>
      <c r="F953" s="4" t="s">
        <v>170</v>
      </c>
      <c r="G953" s="4" t="s">
        <v>171</v>
      </c>
      <c r="H953" s="4" t="s">
        <v>172</v>
      </c>
      <c r="I953" s="24" t="s">
        <v>152</v>
      </c>
      <c r="J953" s="15">
        <v>3</v>
      </c>
      <c r="K953" s="15">
        <v>1</v>
      </c>
      <c r="L953" s="15">
        <v>1</v>
      </c>
      <c r="M953" s="15">
        <v>1</v>
      </c>
      <c r="N953" s="15">
        <v>1</v>
      </c>
      <c r="O953" s="15">
        <v>1</v>
      </c>
      <c r="P953" s="15" t="s">
        <v>415</v>
      </c>
      <c r="Q953" s="23" t="s">
        <v>838</v>
      </c>
      <c r="R953" s="25">
        <f>ROUND((K953*Parametros!$B$4+L953*Parametros!$B$5+M953*Parametros!$B$6+N953*Parametros!$B$7+O953*Parametros!$B$8)/SUM(Parametros!$B$4:$B$8),2)</f>
        <v>1</v>
      </c>
      <c r="S953" s="26">
        <f>IFERROR(INDEX(Parametros!$F$33:$F$42,MATCH(D953,Parametros!$A$33:$A$42,0)),1)</f>
        <v>1.0669999999999999</v>
      </c>
      <c r="T953" s="27">
        <f>IFERROR(INDEX(Parametros!$B$21:$B$26,MATCH(I953,Parametros!$A$21:$A$26,0)),0)</f>
        <v>0</v>
      </c>
      <c r="U953" s="28">
        <f t="shared" si="57"/>
        <v>1.07</v>
      </c>
      <c r="V953" s="9">
        <f>IF(U953&gt;=Parametros!$B$14,4,IF(U953&gt;=Parametros!$B$13,3,IF(U953&gt;=Parametros!$B$12,2,1)))</f>
        <v>1</v>
      </c>
      <c r="W953" s="5">
        <f>MAX(V953,IF(K953=5,Parametros!$B$17,0),IF(P953="Sim",Parametros!$B$18,0))</f>
        <v>1</v>
      </c>
      <c r="X953" s="5" t="str">
        <f t="shared" si="58"/>
        <v>Baixa</v>
      </c>
      <c r="Y953" s="29">
        <f t="shared" si="59"/>
        <v>1010.3990470000001</v>
      </c>
      <c r="Z953" s="4" t="s">
        <v>659</v>
      </c>
    </row>
    <row r="954" spans="1:26" ht="28.05" customHeight="1" x14ac:dyDescent="0.3">
      <c r="A954" s="5">
        <f t="shared" si="56"/>
        <v>950</v>
      </c>
      <c r="B954" s="23" t="s">
        <v>2091</v>
      </c>
      <c r="C954" s="17" t="s">
        <v>2092</v>
      </c>
      <c r="D954" s="4" t="s">
        <v>51</v>
      </c>
      <c r="E954" s="4" t="s">
        <v>170</v>
      </c>
      <c r="F954" s="4" t="s">
        <v>170</v>
      </c>
      <c r="G954" s="4" t="s">
        <v>171</v>
      </c>
      <c r="H954" s="4" t="s">
        <v>172</v>
      </c>
      <c r="I954" s="24" t="s">
        <v>152</v>
      </c>
      <c r="J954" s="15">
        <v>3</v>
      </c>
      <c r="K954" s="15">
        <v>1</v>
      </c>
      <c r="L954" s="15">
        <v>1</v>
      </c>
      <c r="M954" s="15">
        <v>1</v>
      </c>
      <c r="N954" s="15">
        <v>1</v>
      </c>
      <c r="O954" s="15">
        <v>1</v>
      </c>
      <c r="P954" s="15" t="s">
        <v>415</v>
      </c>
      <c r="Q954" s="23" t="s">
        <v>838</v>
      </c>
      <c r="R954" s="25">
        <f>ROUND((K954*Parametros!$B$4+L954*Parametros!$B$5+M954*Parametros!$B$6+N954*Parametros!$B$7+O954*Parametros!$B$8)/SUM(Parametros!$B$4:$B$8),2)</f>
        <v>1</v>
      </c>
      <c r="S954" s="26">
        <f>IFERROR(INDEX(Parametros!$F$33:$F$42,MATCH(D954,Parametros!$A$33:$A$42,0)),1)</f>
        <v>1.0669999999999999</v>
      </c>
      <c r="T954" s="27">
        <f>IFERROR(INDEX(Parametros!$B$21:$B$26,MATCH(I954,Parametros!$A$21:$A$26,0)),0)</f>
        <v>0</v>
      </c>
      <c r="U954" s="28">
        <f t="shared" si="57"/>
        <v>1.07</v>
      </c>
      <c r="V954" s="9">
        <f>IF(U954&gt;=Parametros!$B$14,4,IF(U954&gt;=Parametros!$B$13,3,IF(U954&gt;=Parametros!$B$12,2,1)))</f>
        <v>1</v>
      </c>
      <c r="W954" s="5">
        <f>MAX(V954,IF(K954=5,Parametros!$B$17,0),IF(P954="Sim",Parametros!$B$18,0))</f>
        <v>1</v>
      </c>
      <c r="X954" s="5" t="str">
        <f t="shared" si="58"/>
        <v>Baixa</v>
      </c>
      <c r="Y954" s="29">
        <f t="shared" si="59"/>
        <v>1010.3990460000001</v>
      </c>
      <c r="Z954" s="4" t="s">
        <v>659</v>
      </c>
    </row>
    <row r="955" spans="1:26" ht="28.05" customHeight="1" x14ac:dyDescent="0.3">
      <c r="A955" s="5">
        <f t="shared" si="56"/>
        <v>951</v>
      </c>
      <c r="B955" s="23" t="s">
        <v>2093</v>
      </c>
      <c r="C955" s="17" t="s">
        <v>2094</v>
      </c>
      <c r="D955" s="4" t="s">
        <v>51</v>
      </c>
      <c r="E955" s="4" t="s">
        <v>170</v>
      </c>
      <c r="F955" s="4" t="s">
        <v>170</v>
      </c>
      <c r="G955" s="4" t="s">
        <v>107</v>
      </c>
      <c r="H955" s="4" t="s">
        <v>108</v>
      </c>
      <c r="I955" s="24" t="s">
        <v>152</v>
      </c>
      <c r="J955" s="15">
        <v>3</v>
      </c>
      <c r="K955" s="15">
        <v>1</v>
      </c>
      <c r="L955" s="15">
        <v>1</v>
      </c>
      <c r="M955" s="15">
        <v>1</v>
      </c>
      <c r="N955" s="15">
        <v>1</v>
      </c>
      <c r="O955" s="15">
        <v>1</v>
      </c>
      <c r="P955" s="15" t="s">
        <v>415</v>
      </c>
      <c r="Q955" s="23" t="s">
        <v>838</v>
      </c>
      <c r="R955" s="25">
        <f>ROUND((K955*Parametros!$B$4+L955*Parametros!$B$5+M955*Parametros!$B$6+N955*Parametros!$B$7+O955*Parametros!$B$8)/SUM(Parametros!$B$4:$B$8),2)</f>
        <v>1</v>
      </c>
      <c r="S955" s="26">
        <f>IFERROR(INDEX(Parametros!$F$33:$F$42,MATCH(D955,Parametros!$A$33:$A$42,0)),1)</f>
        <v>1.0669999999999999</v>
      </c>
      <c r="T955" s="27">
        <f>IFERROR(INDEX(Parametros!$B$21:$B$26,MATCH(I955,Parametros!$A$21:$A$26,0)),0)</f>
        <v>0</v>
      </c>
      <c r="U955" s="28">
        <f t="shared" si="57"/>
        <v>1.07</v>
      </c>
      <c r="V955" s="9">
        <f>IF(U955&gt;=Parametros!$B$14,4,IF(U955&gt;=Parametros!$B$13,3,IF(U955&gt;=Parametros!$B$12,2,1)))</f>
        <v>1</v>
      </c>
      <c r="W955" s="5">
        <f>MAX(V955,IF(K955=5,Parametros!$B$17,0),IF(P955="Sim",Parametros!$B$18,0))</f>
        <v>1</v>
      </c>
      <c r="X955" s="5" t="str">
        <f t="shared" si="58"/>
        <v>Baixa</v>
      </c>
      <c r="Y955" s="29">
        <f t="shared" si="59"/>
        <v>1010.3990450000001</v>
      </c>
      <c r="Z955" s="4" t="s">
        <v>659</v>
      </c>
    </row>
    <row r="956" spans="1:26" ht="28.05" customHeight="1" x14ac:dyDescent="0.3">
      <c r="A956" s="5">
        <f t="shared" si="56"/>
        <v>952</v>
      </c>
      <c r="B956" s="23" t="s">
        <v>2095</v>
      </c>
      <c r="C956" s="17" t="s">
        <v>2096</v>
      </c>
      <c r="D956" s="4" t="s">
        <v>51</v>
      </c>
      <c r="E956" s="4" t="s">
        <v>170</v>
      </c>
      <c r="F956" s="4" t="s">
        <v>170</v>
      </c>
      <c r="G956" s="4" t="s">
        <v>171</v>
      </c>
      <c r="H956" s="4" t="s">
        <v>172</v>
      </c>
      <c r="I956" s="24" t="s">
        <v>152</v>
      </c>
      <c r="J956" s="15">
        <v>3</v>
      </c>
      <c r="K956" s="15">
        <v>1</v>
      </c>
      <c r="L956" s="15">
        <v>1</v>
      </c>
      <c r="M956" s="15">
        <v>1</v>
      </c>
      <c r="N956" s="15">
        <v>1</v>
      </c>
      <c r="O956" s="15">
        <v>1</v>
      </c>
      <c r="P956" s="15" t="s">
        <v>415</v>
      </c>
      <c r="Q956" s="23" t="s">
        <v>838</v>
      </c>
      <c r="R956" s="25">
        <f>ROUND((K956*Parametros!$B$4+L956*Parametros!$B$5+M956*Parametros!$B$6+N956*Parametros!$B$7+O956*Parametros!$B$8)/SUM(Parametros!$B$4:$B$8),2)</f>
        <v>1</v>
      </c>
      <c r="S956" s="26">
        <f>IFERROR(INDEX(Parametros!$F$33:$F$42,MATCH(D956,Parametros!$A$33:$A$42,0)),1)</f>
        <v>1.0669999999999999</v>
      </c>
      <c r="T956" s="27">
        <f>IFERROR(INDEX(Parametros!$B$21:$B$26,MATCH(I956,Parametros!$A$21:$A$26,0)),0)</f>
        <v>0</v>
      </c>
      <c r="U956" s="28">
        <f t="shared" si="57"/>
        <v>1.07</v>
      </c>
      <c r="V956" s="9">
        <f>IF(U956&gt;=Parametros!$B$14,4,IF(U956&gt;=Parametros!$B$13,3,IF(U956&gt;=Parametros!$B$12,2,1)))</f>
        <v>1</v>
      </c>
      <c r="W956" s="5">
        <f>MAX(V956,IF(K956=5,Parametros!$B$17,0),IF(P956="Sim",Parametros!$B$18,0))</f>
        <v>1</v>
      </c>
      <c r="X956" s="5" t="str">
        <f t="shared" si="58"/>
        <v>Baixa</v>
      </c>
      <c r="Y956" s="29">
        <f t="shared" si="59"/>
        <v>1010.3990440000001</v>
      </c>
      <c r="Z956" s="4" t="s">
        <v>659</v>
      </c>
    </row>
    <row r="957" spans="1:26" ht="28.05" customHeight="1" x14ac:dyDescent="0.3">
      <c r="A957" s="5">
        <f t="shared" si="56"/>
        <v>953</v>
      </c>
      <c r="B957" s="23" t="s">
        <v>2097</v>
      </c>
      <c r="C957" s="17" t="s">
        <v>2098</v>
      </c>
      <c r="D957" s="4" t="s">
        <v>51</v>
      </c>
      <c r="E957" s="4" t="s">
        <v>81</v>
      </c>
      <c r="F957" s="4" t="s">
        <v>81</v>
      </c>
      <c r="G957" s="4" t="s">
        <v>171</v>
      </c>
      <c r="H957" s="4" t="s">
        <v>172</v>
      </c>
      <c r="I957" s="24" t="s">
        <v>152</v>
      </c>
      <c r="J957" s="15">
        <v>3</v>
      </c>
      <c r="K957" s="15">
        <v>1</v>
      </c>
      <c r="L957" s="15">
        <v>1</v>
      </c>
      <c r="M957" s="15">
        <v>1</v>
      </c>
      <c r="N957" s="15">
        <v>1</v>
      </c>
      <c r="O957" s="15">
        <v>1</v>
      </c>
      <c r="P957" s="15" t="s">
        <v>415</v>
      </c>
      <c r="Q957" s="23" t="s">
        <v>838</v>
      </c>
      <c r="R957" s="25">
        <f>ROUND((K957*Parametros!$B$4+L957*Parametros!$B$5+M957*Parametros!$B$6+N957*Parametros!$B$7+O957*Parametros!$B$8)/SUM(Parametros!$B$4:$B$8),2)</f>
        <v>1</v>
      </c>
      <c r="S957" s="26">
        <f>IFERROR(INDEX(Parametros!$F$33:$F$42,MATCH(D957,Parametros!$A$33:$A$42,0)),1)</f>
        <v>1.0669999999999999</v>
      </c>
      <c r="T957" s="27">
        <f>IFERROR(INDEX(Parametros!$B$21:$B$26,MATCH(I957,Parametros!$A$21:$A$26,0)),0)</f>
        <v>0</v>
      </c>
      <c r="U957" s="28">
        <f t="shared" si="57"/>
        <v>1.07</v>
      </c>
      <c r="V957" s="9">
        <f>IF(U957&gt;=Parametros!$B$14,4,IF(U957&gt;=Parametros!$B$13,3,IF(U957&gt;=Parametros!$B$12,2,1)))</f>
        <v>1</v>
      </c>
      <c r="W957" s="5">
        <f>MAX(V957,IF(K957=5,Parametros!$B$17,0),IF(P957="Sim",Parametros!$B$18,0))</f>
        <v>1</v>
      </c>
      <c r="X957" s="5" t="str">
        <f t="shared" si="58"/>
        <v>Baixa</v>
      </c>
      <c r="Y957" s="29">
        <f t="shared" si="59"/>
        <v>1010.3990430000001</v>
      </c>
      <c r="Z957" s="4" t="s">
        <v>659</v>
      </c>
    </row>
    <row r="958" spans="1:26" ht="28.05" customHeight="1" x14ac:dyDescent="0.3">
      <c r="A958" s="5">
        <f t="shared" si="56"/>
        <v>954</v>
      </c>
      <c r="B958" s="23" t="s">
        <v>2099</v>
      </c>
      <c r="C958" s="17" t="s">
        <v>2100</v>
      </c>
      <c r="D958" s="4" t="s">
        <v>51</v>
      </c>
      <c r="E958" s="4" t="s">
        <v>82</v>
      </c>
      <c r="F958" s="4" t="s">
        <v>82</v>
      </c>
      <c r="G958" s="4" t="s">
        <v>171</v>
      </c>
      <c r="H958" s="4" t="s">
        <v>172</v>
      </c>
      <c r="I958" s="24" t="s">
        <v>152</v>
      </c>
      <c r="J958" s="15">
        <v>3</v>
      </c>
      <c r="K958" s="15">
        <v>1</v>
      </c>
      <c r="L958" s="15">
        <v>1</v>
      </c>
      <c r="M958" s="15">
        <v>1</v>
      </c>
      <c r="N958" s="15">
        <v>1</v>
      </c>
      <c r="O958" s="15">
        <v>1</v>
      </c>
      <c r="P958" s="15" t="s">
        <v>415</v>
      </c>
      <c r="Q958" s="23" t="s">
        <v>838</v>
      </c>
      <c r="R958" s="25">
        <f>ROUND((K958*Parametros!$B$4+L958*Parametros!$B$5+M958*Parametros!$B$6+N958*Parametros!$B$7+O958*Parametros!$B$8)/SUM(Parametros!$B$4:$B$8),2)</f>
        <v>1</v>
      </c>
      <c r="S958" s="26">
        <f>IFERROR(INDEX(Parametros!$F$33:$F$42,MATCH(D958,Parametros!$A$33:$A$42,0)),1)</f>
        <v>1.0669999999999999</v>
      </c>
      <c r="T958" s="27">
        <f>IFERROR(INDEX(Parametros!$B$21:$B$26,MATCH(I958,Parametros!$A$21:$A$26,0)),0)</f>
        <v>0</v>
      </c>
      <c r="U958" s="28">
        <f t="shared" si="57"/>
        <v>1.07</v>
      </c>
      <c r="V958" s="9">
        <f>IF(U958&gt;=Parametros!$B$14,4,IF(U958&gt;=Parametros!$B$13,3,IF(U958&gt;=Parametros!$B$12,2,1)))</f>
        <v>1</v>
      </c>
      <c r="W958" s="5">
        <f>MAX(V958,IF(K958=5,Parametros!$B$17,0),IF(P958="Sim",Parametros!$B$18,0))</f>
        <v>1</v>
      </c>
      <c r="X958" s="5" t="str">
        <f t="shared" si="58"/>
        <v>Baixa</v>
      </c>
      <c r="Y958" s="29">
        <f t="shared" si="59"/>
        <v>1010.3990420000001</v>
      </c>
      <c r="Z958" s="4" t="s">
        <v>659</v>
      </c>
    </row>
    <row r="959" spans="1:26" ht="28.05" customHeight="1" x14ac:dyDescent="0.3">
      <c r="A959" s="5">
        <f t="shared" si="56"/>
        <v>955</v>
      </c>
      <c r="B959" s="23" t="s">
        <v>2101</v>
      </c>
      <c r="C959" s="17" t="s">
        <v>2102</v>
      </c>
      <c r="D959" s="4" t="s">
        <v>51</v>
      </c>
      <c r="E959" s="4" t="s">
        <v>85</v>
      </c>
      <c r="F959" s="4" t="s">
        <v>85</v>
      </c>
      <c r="G959" s="4" t="s">
        <v>112</v>
      </c>
      <c r="H959" s="4" t="s">
        <v>108</v>
      </c>
      <c r="I959" s="24" t="s">
        <v>131</v>
      </c>
      <c r="J959" s="15">
        <v>3</v>
      </c>
      <c r="K959" s="15">
        <v>1</v>
      </c>
      <c r="L959" s="15">
        <v>1</v>
      </c>
      <c r="M959" s="15">
        <v>1</v>
      </c>
      <c r="N959" s="15">
        <v>1</v>
      </c>
      <c r="O959" s="15">
        <v>1</v>
      </c>
      <c r="P959" s="15" t="s">
        <v>415</v>
      </c>
      <c r="Q959" s="23" t="s">
        <v>838</v>
      </c>
      <c r="R959" s="25">
        <f>ROUND((K959*Parametros!$B$4+L959*Parametros!$B$5+M959*Parametros!$B$6+N959*Parametros!$B$7+O959*Parametros!$B$8)/SUM(Parametros!$B$4:$B$8),2)</f>
        <v>1</v>
      </c>
      <c r="S959" s="26">
        <f>IFERROR(INDEX(Parametros!$F$33:$F$42,MATCH(D959,Parametros!$A$33:$A$42,0)),1)</f>
        <v>1.0669999999999999</v>
      </c>
      <c r="T959" s="27">
        <f>IFERROR(INDEX(Parametros!$B$21:$B$26,MATCH(I959,Parametros!$A$21:$A$26,0)),0)</f>
        <v>0</v>
      </c>
      <c r="U959" s="28">
        <f t="shared" si="57"/>
        <v>1.07</v>
      </c>
      <c r="V959" s="9">
        <f>IF(U959&gt;=Parametros!$B$14,4,IF(U959&gt;=Parametros!$B$13,3,IF(U959&gt;=Parametros!$B$12,2,1)))</f>
        <v>1</v>
      </c>
      <c r="W959" s="5">
        <f>MAX(V959,IF(K959=5,Parametros!$B$17,0),IF(P959="Sim",Parametros!$B$18,0))</f>
        <v>1</v>
      </c>
      <c r="X959" s="5" t="str">
        <f t="shared" si="58"/>
        <v>Baixa</v>
      </c>
      <c r="Y959" s="29">
        <f t="shared" si="59"/>
        <v>1010.3990410000001</v>
      </c>
      <c r="Z959" s="4" t="s">
        <v>659</v>
      </c>
    </row>
    <row r="960" spans="1:26" ht="28.05" customHeight="1" x14ac:dyDescent="0.3">
      <c r="A960" s="5">
        <f t="shared" si="56"/>
        <v>956</v>
      </c>
      <c r="B960" s="23" t="s">
        <v>2103</v>
      </c>
      <c r="C960" s="17" t="s">
        <v>2104</v>
      </c>
      <c r="D960" s="4" t="s">
        <v>51</v>
      </c>
      <c r="E960" s="4" t="s">
        <v>64</v>
      </c>
      <c r="F960" s="4" t="s">
        <v>64</v>
      </c>
      <c r="G960" s="4" t="s">
        <v>184</v>
      </c>
      <c r="H960" s="4" t="s">
        <v>185</v>
      </c>
      <c r="I960" s="24" t="s">
        <v>131</v>
      </c>
      <c r="J960" s="15">
        <v>3</v>
      </c>
      <c r="K960" s="15">
        <v>1</v>
      </c>
      <c r="L960" s="15">
        <v>1</v>
      </c>
      <c r="M960" s="15">
        <v>1</v>
      </c>
      <c r="N960" s="15">
        <v>1</v>
      </c>
      <c r="O960" s="15">
        <v>1</v>
      </c>
      <c r="P960" s="15" t="s">
        <v>415</v>
      </c>
      <c r="Q960" s="23" t="s">
        <v>838</v>
      </c>
      <c r="R960" s="25">
        <f>ROUND((K960*Parametros!$B$4+L960*Parametros!$B$5+M960*Parametros!$B$6+N960*Parametros!$B$7+O960*Parametros!$B$8)/SUM(Parametros!$B$4:$B$8),2)</f>
        <v>1</v>
      </c>
      <c r="S960" s="26">
        <f>IFERROR(INDEX(Parametros!$F$33:$F$42,MATCH(D960,Parametros!$A$33:$A$42,0)),1)</f>
        <v>1.0669999999999999</v>
      </c>
      <c r="T960" s="27">
        <f>IFERROR(INDEX(Parametros!$B$21:$B$26,MATCH(I960,Parametros!$A$21:$A$26,0)),0)</f>
        <v>0</v>
      </c>
      <c r="U960" s="28">
        <f t="shared" si="57"/>
        <v>1.07</v>
      </c>
      <c r="V960" s="9">
        <f>IF(U960&gt;=Parametros!$B$14,4,IF(U960&gt;=Parametros!$B$13,3,IF(U960&gt;=Parametros!$B$12,2,1)))</f>
        <v>1</v>
      </c>
      <c r="W960" s="5">
        <f>MAX(V960,IF(K960=5,Parametros!$B$17,0),IF(P960="Sim",Parametros!$B$18,0))</f>
        <v>1</v>
      </c>
      <c r="X960" s="5" t="str">
        <f t="shared" si="58"/>
        <v>Baixa</v>
      </c>
      <c r="Y960" s="29">
        <f t="shared" si="59"/>
        <v>1010.3990400000001</v>
      </c>
      <c r="Z960" s="4" t="s">
        <v>659</v>
      </c>
    </row>
    <row r="961" spans="1:26" ht="28.05" customHeight="1" x14ac:dyDescent="0.3">
      <c r="A961" s="5">
        <f t="shared" si="56"/>
        <v>957</v>
      </c>
      <c r="B961" s="23" t="s">
        <v>2105</v>
      </c>
      <c r="C961" s="17" t="s">
        <v>2106</v>
      </c>
      <c r="D961" s="4" t="s">
        <v>51</v>
      </c>
      <c r="E961" s="4" t="s">
        <v>2107</v>
      </c>
      <c r="F961" s="4" t="s">
        <v>2107</v>
      </c>
      <c r="G961" s="4" t="s">
        <v>112</v>
      </c>
      <c r="H961" s="4" t="s">
        <v>108</v>
      </c>
      <c r="I961" s="24" t="s">
        <v>131</v>
      </c>
      <c r="J961" s="15">
        <v>3</v>
      </c>
      <c r="K961" s="15">
        <v>1</v>
      </c>
      <c r="L961" s="15">
        <v>1</v>
      </c>
      <c r="M961" s="15">
        <v>1</v>
      </c>
      <c r="N961" s="15">
        <v>1</v>
      </c>
      <c r="O961" s="15">
        <v>1</v>
      </c>
      <c r="P961" s="15" t="s">
        <v>415</v>
      </c>
      <c r="Q961" s="23" t="s">
        <v>838</v>
      </c>
      <c r="R961" s="25">
        <f>ROUND((K961*Parametros!$B$4+L961*Parametros!$B$5+M961*Parametros!$B$6+N961*Parametros!$B$7+O961*Parametros!$B$8)/SUM(Parametros!$B$4:$B$8),2)</f>
        <v>1</v>
      </c>
      <c r="S961" s="26">
        <f>IFERROR(INDEX(Parametros!$F$33:$F$42,MATCH(D961,Parametros!$A$33:$A$42,0)),1)</f>
        <v>1.0669999999999999</v>
      </c>
      <c r="T961" s="27">
        <f>IFERROR(INDEX(Parametros!$B$21:$B$26,MATCH(I961,Parametros!$A$21:$A$26,0)),0)</f>
        <v>0</v>
      </c>
      <c r="U961" s="28">
        <f t="shared" si="57"/>
        <v>1.07</v>
      </c>
      <c r="V961" s="9">
        <f>IF(U961&gt;=Parametros!$B$14,4,IF(U961&gt;=Parametros!$B$13,3,IF(U961&gt;=Parametros!$B$12,2,1)))</f>
        <v>1</v>
      </c>
      <c r="W961" s="5">
        <f>MAX(V961,IF(K961=5,Parametros!$B$17,0),IF(P961="Sim",Parametros!$B$18,0))</f>
        <v>1</v>
      </c>
      <c r="X961" s="5" t="str">
        <f t="shared" si="58"/>
        <v>Baixa</v>
      </c>
      <c r="Y961" s="29">
        <f t="shared" si="59"/>
        <v>1010.3990390000001</v>
      </c>
      <c r="Z961" s="4" t="s">
        <v>659</v>
      </c>
    </row>
    <row r="962" spans="1:26" ht="28.05" customHeight="1" x14ac:dyDescent="0.3">
      <c r="A962" s="5">
        <f t="shared" si="56"/>
        <v>958</v>
      </c>
      <c r="B962" s="23" t="s">
        <v>2108</v>
      </c>
      <c r="C962" s="17" t="s">
        <v>2109</v>
      </c>
      <c r="D962" s="4" t="s">
        <v>51</v>
      </c>
      <c r="E962" s="4" t="s">
        <v>170</v>
      </c>
      <c r="F962" s="4" t="s">
        <v>170</v>
      </c>
      <c r="G962" s="4" t="s">
        <v>171</v>
      </c>
      <c r="H962" s="4" t="s">
        <v>172</v>
      </c>
      <c r="I962" s="24" t="s">
        <v>131</v>
      </c>
      <c r="J962" s="15">
        <v>3</v>
      </c>
      <c r="K962" s="15">
        <v>1</v>
      </c>
      <c r="L962" s="15">
        <v>1</v>
      </c>
      <c r="M962" s="15">
        <v>1</v>
      </c>
      <c r="N962" s="15">
        <v>1</v>
      </c>
      <c r="O962" s="15">
        <v>1</v>
      </c>
      <c r="P962" s="15" t="s">
        <v>415</v>
      </c>
      <c r="Q962" s="23" t="s">
        <v>838</v>
      </c>
      <c r="R962" s="25">
        <f>ROUND((K962*Parametros!$B$4+L962*Parametros!$B$5+M962*Parametros!$B$6+N962*Parametros!$B$7+O962*Parametros!$B$8)/SUM(Parametros!$B$4:$B$8),2)</f>
        <v>1</v>
      </c>
      <c r="S962" s="26">
        <f>IFERROR(INDEX(Parametros!$F$33:$F$42,MATCH(D962,Parametros!$A$33:$A$42,0)),1)</f>
        <v>1.0669999999999999</v>
      </c>
      <c r="T962" s="27">
        <f>IFERROR(INDEX(Parametros!$B$21:$B$26,MATCH(I962,Parametros!$A$21:$A$26,0)),0)</f>
        <v>0</v>
      </c>
      <c r="U962" s="28">
        <f t="shared" si="57"/>
        <v>1.07</v>
      </c>
      <c r="V962" s="9">
        <f>IF(U962&gt;=Parametros!$B$14,4,IF(U962&gt;=Parametros!$B$13,3,IF(U962&gt;=Parametros!$B$12,2,1)))</f>
        <v>1</v>
      </c>
      <c r="W962" s="5">
        <f>MAX(V962,IF(K962=5,Parametros!$B$17,0),IF(P962="Sim",Parametros!$B$18,0))</f>
        <v>1</v>
      </c>
      <c r="X962" s="5" t="str">
        <f t="shared" si="58"/>
        <v>Baixa</v>
      </c>
      <c r="Y962" s="29">
        <f t="shared" si="59"/>
        <v>1010.3990380000001</v>
      </c>
      <c r="Z962" s="4" t="s">
        <v>659</v>
      </c>
    </row>
    <row r="963" spans="1:26" ht="28.05" customHeight="1" x14ac:dyDescent="0.3">
      <c r="A963" s="5">
        <f t="shared" si="56"/>
        <v>959</v>
      </c>
      <c r="B963" s="23" t="s">
        <v>2110</v>
      </c>
      <c r="C963" s="17" t="s">
        <v>2111</v>
      </c>
      <c r="D963" s="4" t="s">
        <v>53</v>
      </c>
      <c r="E963" s="4" t="s">
        <v>63</v>
      </c>
      <c r="F963" s="4" t="s">
        <v>63</v>
      </c>
      <c r="G963" s="4" t="s">
        <v>119</v>
      </c>
      <c r="H963" s="4" t="s">
        <v>108</v>
      </c>
      <c r="I963" s="24" t="s">
        <v>152</v>
      </c>
      <c r="J963" s="15">
        <v>1</v>
      </c>
      <c r="K963" s="15">
        <v>1</v>
      </c>
      <c r="L963" s="15">
        <v>1</v>
      </c>
      <c r="M963" s="15">
        <v>1</v>
      </c>
      <c r="N963" s="15">
        <v>1</v>
      </c>
      <c r="O963" s="15">
        <v>1</v>
      </c>
      <c r="P963" s="15" t="s">
        <v>415</v>
      </c>
      <c r="Q963" s="23" t="s">
        <v>416</v>
      </c>
      <c r="R963" s="25">
        <f>ROUND((K963*Parametros!$B$4+L963*Parametros!$B$5+M963*Parametros!$B$6+N963*Parametros!$B$7+O963*Parametros!$B$8)/SUM(Parametros!$B$4:$B$8),2)</f>
        <v>1</v>
      </c>
      <c r="S963" s="26">
        <f>IFERROR(INDEX(Parametros!$F$33:$F$42,MATCH(D963,Parametros!$A$33:$A$42,0)),1)</f>
        <v>1.05</v>
      </c>
      <c r="T963" s="27">
        <f>IFERROR(INDEX(Parametros!$B$21:$B$26,MATCH(I963,Parametros!$A$21:$A$26,0)),0)</f>
        <v>0</v>
      </c>
      <c r="U963" s="28">
        <f t="shared" si="57"/>
        <v>1.05</v>
      </c>
      <c r="V963" s="9">
        <f>IF(U963&gt;=Parametros!$B$14,4,IF(U963&gt;=Parametros!$B$13,3,IF(U963&gt;=Parametros!$B$12,2,1)))</f>
        <v>1</v>
      </c>
      <c r="W963" s="5">
        <f>MAX(V963,IF(K963=5,Parametros!$B$17,0),IF(P963="Sim",Parametros!$B$18,0))</f>
        <v>1</v>
      </c>
      <c r="X963" s="5" t="str">
        <f t="shared" si="58"/>
        <v>Baixa</v>
      </c>
      <c r="Y963" s="29">
        <f t="shared" si="59"/>
        <v>1010.399037</v>
      </c>
      <c r="Z963" s="4" t="s">
        <v>659</v>
      </c>
    </row>
    <row r="964" spans="1:26" ht="28.05" customHeight="1" x14ac:dyDescent="0.3">
      <c r="A964" s="5">
        <f t="shared" si="56"/>
        <v>960</v>
      </c>
      <c r="B964" s="23" t="s">
        <v>2112</v>
      </c>
      <c r="C964" s="17" t="s">
        <v>2113</v>
      </c>
      <c r="D964" s="4" t="s">
        <v>53</v>
      </c>
      <c r="E964" s="4" t="s">
        <v>77</v>
      </c>
      <c r="F964" s="4" t="s">
        <v>77</v>
      </c>
      <c r="G964" s="4" t="s">
        <v>171</v>
      </c>
      <c r="H964" s="4" t="s">
        <v>172</v>
      </c>
      <c r="I964" s="24" t="s">
        <v>152</v>
      </c>
      <c r="J964" s="15">
        <v>2</v>
      </c>
      <c r="K964" s="15">
        <v>1</v>
      </c>
      <c r="L964" s="15">
        <v>1</v>
      </c>
      <c r="M964" s="15">
        <v>1</v>
      </c>
      <c r="N964" s="15">
        <v>1</v>
      </c>
      <c r="O964" s="15">
        <v>1</v>
      </c>
      <c r="P964" s="15" t="s">
        <v>415</v>
      </c>
      <c r="Q964" s="23" t="s">
        <v>838</v>
      </c>
      <c r="R964" s="25">
        <f>ROUND((K964*Parametros!$B$4+L964*Parametros!$B$5+M964*Parametros!$B$6+N964*Parametros!$B$7+O964*Parametros!$B$8)/SUM(Parametros!$B$4:$B$8),2)</f>
        <v>1</v>
      </c>
      <c r="S964" s="26">
        <f>IFERROR(INDEX(Parametros!$F$33:$F$42,MATCH(D964,Parametros!$A$33:$A$42,0)),1)</f>
        <v>1.05</v>
      </c>
      <c r="T964" s="27">
        <f>IFERROR(INDEX(Parametros!$B$21:$B$26,MATCH(I964,Parametros!$A$21:$A$26,0)),0)</f>
        <v>0</v>
      </c>
      <c r="U964" s="28">
        <f t="shared" si="57"/>
        <v>1.05</v>
      </c>
      <c r="V964" s="9">
        <f>IF(U964&gt;=Parametros!$B$14,4,IF(U964&gt;=Parametros!$B$13,3,IF(U964&gt;=Parametros!$B$12,2,1)))</f>
        <v>1</v>
      </c>
      <c r="W964" s="5">
        <f>MAX(V964,IF(K964=5,Parametros!$B$17,0),IF(P964="Sim",Parametros!$B$18,0))</f>
        <v>1</v>
      </c>
      <c r="X964" s="5" t="str">
        <f t="shared" si="58"/>
        <v>Baixa</v>
      </c>
      <c r="Y964" s="29">
        <f t="shared" si="59"/>
        <v>1010.299036</v>
      </c>
      <c r="Z964" s="4" t="s">
        <v>659</v>
      </c>
    </row>
    <row r="965" spans="1:26" ht="28.05" customHeight="1" x14ac:dyDescent="0.3">
      <c r="A965" s="5">
        <f t="shared" ref="A965:A983" si="60">IF(Y965="","",COUNTIF($Y$5:$Y$983,"&gt;"&amp;Y965)+1)</f>
        <v>961</v>
      </c>
      <c r="B965" s="23" t="s">
        <v>2114</v>
      </c>
      <c r="C965" s="17" t="s">
        <v>2115</v>
      </c>
      <c r="D965" s="4" t="s">
        <v>53</v>
      </c>
      <c r="E965" s="4" t="s">
        <v>64</v>
      </c>
      <c r="F965" s="4" t="s">
        <v>64</v>
      </c>
      <c r="G965" s="4" t="s">
        <v>171</v>
      </c>
      <c r="H965" s="4" t="s">
        <v>172</v>
      </c>
      <c r="I965" s="24" t="s">
        <v>152</v>
      </c>
      <c r="J965" s="15">
        <v>2</v>
      </c>
      <c r="K965" s="15">
        <v>1</v>
      </c>
      <c r="L965" s="15">
        <v>1</v>
      </c>
      <c r="M965" s="15">
        <v>1</v>
      </c>
      <c r="N965" s="15">
        <v>1</v>
      </c>
      <c r="O965" s="15">
        <v>1</v>
      </c>
      <c r="P965" s="15" t="s">
        <v>415</v>
      </c>
      <c r="Q965" s="23" t="s">
        <v>838</v>
      </c>
      <c r="R965" s="25">
        <f>ROUND((K965*Parametros!$B$4+L965*Parametros!$B$5+M965*Parametros!$B$6+N965*Parametros!$B$7+O965*Parametros!$B$8)/SUM(Parametros!$B$4:$B$8),2)</f>
        <v>1</v>
      </c>
      <c r="S965" s="26">
        <f>IFERROR(INDEX(Parametros!$F$33:$F$42,MATCH(D965,Parametros!$A$33:$A$42,0)),1)</f>
        <v>1.05</v>
      </c>
      <c r="T965" s="27">
        <f>IFERROR(INDEX(Parametros!$B$21:$B$26,MATCH(I965,Parametros!$A$21:$A$26,0)),0)</f>
        <v>0</v>
      </c>
      <c r="U965" s="28">
        <f t="shared" ref="U965:U1028" si="61">ROUND(R965*S965+T965,2)</f>
        <v>1.05</v>
      </c>
      <c r="V965" s="9">
        <f>IF(U965&gt;=Parametros!$B$14,4,IF(U965&gt;=Parametros!$B$13,3,IF(U965&gt;=Parametros!$B$12,2,1)))</f>
        <v>1</v>
      </c>
      <c r="W965" s="5">
        <f>MAX(V965,IF(K965=5,Parametros!$B$17,0),IF(P965="Sim",Parametros!$B$18,0))</f>
        <v>1</v>
      </c>
      <c r="X965" s="5" t="str">
        <f t="shared" ref="X965:X1028" si="62">CHOOSE(W965,"Baixa","Normal","Alta","Urgente")</f>
        <v>Baixa</v>
      </c>
      <c r="Y965" s="29">
        <f t="shared" ref="Y965:Y983" si="63">W965*1000+U965*10-J965/10-ROW()/1000000</f>
        <v>1010.299035</v>
      </c>
      <c r="Z965" s="4" t="s">
        <v>659</v>
      </c>
    </row>
    <row r="966" spans="1:26" ht="28.05" customHeight="1" x14ac:dyDescent="0.3">
      <c r="A966" s="5">
        <f t="shared" si="60"/>
        <v>962</v>
      </c>
      <c r="B966" s="23" t="s">
        <v>2116</v>
      </c>
      <c r="C966" s="17" t="s">
        <v>2117</v>
      </c>
      <c r="D966" s="4" t="s">
        <v>52</v>
      </c>
      <c r="E966" s="4" t="s">
        <v>64</v>
      </c>
      <c r="F966" s="4" t="s">
        <v>64</v>
      </c>
      <c r="G966" s="4" t="s">
        <v>184</v>
      </c>
      <c r="H966" s="4" t="s">
        <v>185</v>
      </c>
      <c r="I966" s="24" t="s">
        <v>131</v>
      </c>
      <c r="J966" s="15">
        <v>2</v>
      </c>
      <c r="K966" s="15">
        <v>1</v>
      </c>
      <c r="L966" s="15">
        <v>1</v>
      </c>
      <c r="M966" s="15">
        <v>1</v>
      </c>
      <c r="N966" s="15">
        <v>1</v>
      </c>
      <c r="O966" s="15">
        <v>1</v>
      </c>
      <c r="P966" s="15" t="s">
        <v>415</v>
      </c>
      <c r="Q966" s="23" t="s">
        <v>838</v>
      </c>
      <c r="R966" s="25">
        <f>ROUND((K966*Parametros!$B$4+L966*Parametros!$B$5+M966*Parametros!$B$6+N966*Parametros!$B$7+O966*Parametros!$B$8)/SUM(Parametros!$B$4:$B$8),2)</f>
        <v>1</v>
      </c>
      <c r="S966" s="26">
        <f>IFERROR(INDEX(Parametros!$F$33:$F$42,MATCH(D966,Parametros!$A$33:$A$42,0)),1)</f>
        <v>1.05</v>
      </c>
      <c r="T966" s="27">
        <f>IFERROR(INDEX(Parametros!$B$21:$B$26,MATCH(I966,Parametros!$A$21:$A$26,0)),0)</f>
        <v>0</v>
      </c>
      <c r="U966" s="28">
        <f t="shared" si="61"/>
        <v>1.05</v>
      </c>
      <c r="V966" s="9">
        <f>IF(U966&gt;=Parametros!$B$14,4,IF(U966&gt;=Parametros!$B$13,3,IF(U966&gt;=Parametros!$B$12,2,1)))</f>
        <v>1</v>
      </c>
      <c r="W966" s="5">
        <f>MAX(V966,IF(K966=5,Parametros!$B$17,0),IF(P966="Sim",Parametros!$B$18,0))</f>
        <v>1</v>
      </c>
      <c r="X966" s="5" t="str">
        <f t="shared" si="62"/>
        <v>Baixa</v>
      </c>
      <c r="Y966" s="29">
        <f t="shared" si="63"/>
        <v>1010.299034</v>
      </c>
      <c r="Z966" s="4" t="s">
        <v>659</v>
      </c>
    </row>
    <row r="967" spans="1:26" ht="28.05" customHeight="1" x14ac:dyDescent="0.3">
      <c r="A967" s="5">
        <f t="shared" si="60"/>
        <v>963</v>
      </c>
      <c r="B967" s="23" t="s">
        <v>2118</v>
      </c>
      <c r="C967" s="17" t="s">
        <v>2119</v>
      </c>
      <c r="D967" s="4" t="s">
        <v>50</v>
      </c>
      <c r="E967" s="4" t="s">
        <v>86</v>
      </c>
      <c r="F967" s="4" t="s">
        <v>86</v>
      </c>
      <c r="G967" s="4" t="s">
        <v>112</v>
      </c>
      <c r="H967" s="4" t="s">
        <v>108</v>
      </c>
      <c r="I967" s="24" t="s">
        <v>152</v>
      </c>
      <c r="J967" s="15">
        <v>5</v>
      </c>
      <c r="K967" s="15">
        <v>1</v>
      </c>
      <c r="L967" s="15">
        <v>1</v>
      </c>
      <c r="M967" s="15">
        <v>1</v>
      </c>
      <c r="N967" s="15">
        <v>1</v>
      </c>
      <c r="O967" s="15">
        <v>1</v>
      </c>
      <c r="P967" s="15" t="s">
        <v>415</v>
      </c>
      <c r="Q967" s="23" t="s">
        <v>838</v>
      </c>
      <c r="R967" s="25">
        <f>ROUND((K967*Parametros!$B$4+L967*Parametros!$B$5+M967*Parametros!$B$6+N967*Parametros!$B$7+O967*Parametros!$B$8)/SUM(Parametros!$B$4:$B$8),2)</f>
        <v>1</v>
      </c>
      <c r="S967" s="26">
        <f>IFERROR(INDEX(Parametros!$F$33:$F$42,MATCH(D967,Parametros!$A$33:$A$42,0)),1)</f>
        <v>1.0840000000000001</v>
      </c>
      <c r="T967" s="27">
        <f>IFERROR(INDEX(Parametros!$B$21:$B$26,MATCH(I967,Parametros!$A$21:$A$26,0)),0)</f>
        <v>0</v>
      </c>
      <c r="U967" s="28">
        <f t="shared" si="61"/>
        <v>1.08</v>
      </c>
      <c r="V967" s="9">
        <f>IF(U967&gt;=Parametros!$B$14,4,IF(U967&gt;=Parametros!$B$13,3,IF(U967&gt;=Parametros!$B$12,2,1)))</f>
        <v>1</v>
      </c>
      <c r="W967" s="5">
        <f>MAX(V967,IF(K967=5,Parametros!$B$17,0),IF(P967="Sim",Parametros!$B$18,0))</f>
        <v>1</v>
      </c>
      <c r="X967" s="5" t="str">
        <f t="shared" si="62"/>
        <v>Baixa</v>
      </c>
      <c r="Y967" s="29">
        <f t="shared" si="63"/>
        <v>1010.299033</v>
      </c>
      <c r="Z967" s="4" t="s">
        <v>659</v>
      </c>
    </row>
    <row r="968" spans="1:26" ht="28.05" customHeight="1" x14ac:dyDescent="0.3">
      <c r="A968" s="5">
        <f t="shared" si="60"/>
        <v>964</v>
      </c>
      <c r="B968" s="23" t="s">
        <v>2120</v>
      </c>
      <c r="C968" s="17" t="s">
        <v>2121</v>
      </c>
      <c r="D968" s="4" t="s">
        <v>50</v>
      </c>
      <c r="E968" s="4" t="s">
        <v>65</v>
      </c>
      <c r="F968" s="4" t="s">
        <v>65</v>
      </c>
      <c r="G968" s="4" t="s">
        <v>171</v>
      </c>
      <c r="H968" s="4" t="s">
        <v>172</v>
      </c>
      <c r="I968" s="24" t="s">
        <v>359</v>
      </c>
      <c r="J968" s="15">
        <v>2</v>
      </c>
      <c r="K968" s="15">
        <v>1</v>
      </c>
      <c r="L968" s="15">
        <v>1</v>
      </c>
      <c r="M968" s="15">
        <v>1</v>
      </c>
      <c r="N968" s="15">
        <v>1</v>
      </c>
      <c r="O968" s="15">
        <v>2</v>
      </c>
      <c r="P968" s="15" t="s">
        <v>415</v>
      </c>
      <c r="Q968" s="23" t="s">
        <v>838</v>
      </c>
      <c r="R968" s="25">
        <f>ROUND((K968*Parametros!$B$4+L968*Parametros!$B$5+M968*Parametros!$B$6+N968*Parametros!$B$7+O968*Parametros!$B$8)/SUM(Parametros!$B$4:$B$8),2)</f>
        <v>1.1499999999999999</v>
      </c>
      <c r="S968" s="26">
        <f>IFERROR(INDEX(Parametros!$F$33:$F$42,MATCH(D968,Parametros!$A$33:$A$42,0)),1)</f>
        <v>1.0840000000000001</v>
      </c>
      <c r="T968" s="27">
        <f>IFERROR(INDEX(Parametros!$B$21:$B$26,MATCH(I968,Parametros!$A$21:$A$26,0)),0)</f>
        <v>-0.2</v>
      </c>
      <c r="U968" s="28">
        <f t="shared" si="61"/>
        <v>1.05</v>
      </c>
      <c r="V968" s="9">
        <f>IF(U968&gt;=Parametros!$B$14,4,IF(U968&gt;=Parametros!$B$13,3,IF(U968&gt;=Parametros!$B$12,2,1)))</f>
        <v>1</v>
      </c>
      <c r="W968" s="5">
        <f>MAX(V968,IF(K968=5,Parametros!$B$17,0),IF(P968="Sim",Parametros!$B$18,0))</f>
        <v>1</v>
      </c>
      <c r="X968" s="5" t="str">
        <f t="shared" si="62"/>
        <v>Baixa</v>
      </c>
      <c r="Y968" s="29">
        <f t="shared" si="63"/>
        <v>1010.299032</v>
      </c>
      <c r="Z968" s="4" t="s">
        <v>1410</v>
      </c>
    </row>
    <row r="969" spans="1:26" ht="28.05" customHeight="1" x14ac:dyDescent="0.3">
      <c r="A969" s="5">
        <f t="shared" si="60"/>
        <v>965</v>
      </c>
      <c r="B969" s="23" t="s">
        <v>2122</v>
      </c>
      <c r="C969" s="17" t="s">
        <v>2123</v>
      </c>
      <c r="D969" s="4" t="s">
        <v>50</v>
      </c>
      <c r="E969" s="4" t="s">
        <v>65</v>
      </c>
      <c r="F969" s="4" t="s">
        <v>65</v>
      </c>
      <c r="G969" s="4" t="s">
        <v>171</v>
      </c>
      <c r="H969" s="4" t="s">
        <v>172</v>
      </c>
      <c r="I969" s="24" t="s">
        <v>359</v>
      </c>
      <c r="J969" s="15">
        <v>2</v>
      </c>
      <c r="K969" s="15">
        <v>1</v>
      </c>
      <c r="L969" s="15">
        <v>1</v>
      </c>
      <c r="M969" s="15">
        <v>1</v>
      </c>
      <c r="N969" s="15">
        <v>1</v>
      </c>
      <c r="O969" s="15">
        <v>2</v>
      </c>
      <c r="P969" s="15" t="s">
        <v>415</v>
      </c>
      <c r="Q969" s="23" t="s">
        <v>838</v>
      </c>
      <c r="R969" s="25">
        <f>ROUND((K969*Parametros!$B$4+L969*Parametros!$B$5+M969*Parametros!$B$6+N969*Parametros!$B$7+O969*Parametros!$B$8)/SUM(Parametros!$B$4:$B$8),2)</f>
        <v>1.1499999999999999</v>
      </c>
      <c r="S969" s="26">
        <f>IFERROR(INDEX(Parametros!$F$33:$F$42,MATCH(D969,Parametros!$A$33:$A$42,0)),1)</f>
        <v>1.0840000000000001</v>
      </c>
      <c r="T969" s="27">
        <f>IFERROR(INDEX(Parametros!$B$21:$B$26,MATCH(I969,Parametros!$A$21:$A$26,0)),0)</f>
        <v>-0.2</v>
      </c>
      <c r="U969" s="28">
        <f t="shared" si="61"/>
        <v>1.05</v>
      </c>
      <c r="V969" s="9">
        <f>IF(U969&gt;=Parametros!$B$14,4,IF(U969&gt;=Parametros!$B$13,3,IF(U969&gt;=Parametros!$B$12,2,1)))</f>
        <v>1</v>
      </c>
      <c r="W969" s="5">
        <f>MAX(V969,IF(K969=5,Parametros!$B$17,0),IF(P969="Sim",Parametros!$B$18,0))</f>
        <v>1</v>
      </c>
      <c r="X969" s="5" t="str">
        <f t="shared" si="62"/>
        <v>Baixa</v>
      </c>
      <c r="Y969" s="29">
        <f t="shared" si="63"/>
        <v>1010.2990309999999</v>
      </c>
      <c r="Z969" s="4" t="s">
        <v>1410</v>
      </c>
    </row>
    <row r="970" spans="1:26" ht="28.05" customHeight="1" x14ac:dyDescent="0.3">
      <c r="A970" s="5">
        <f t="shared" si="60"/>
        <v>966</v>
      </c>
      <c r="B970" s="23" t="s">
        <v>2124</v>
      </c>
      <c r="C970" s="17" t="s">
        <v>2125</v>
      </c>
      <c r="D970" s="4" t="s">
        <v>53</v>
      </c>
      <c r="E970" s="4" t="s">
        <v>76</v>
      </c>
      <c r="F970" s="4" t="s">
        <v>76</v>
      </c>
      <c r="G970" s="4" t="s">
        <v>171</v>
      </c>
      <c r="H970" s="4" t="s">
        <v>172</v>
      </c>
      <c r="I970" s="24" t="s">
        <v>152</v>
      </c>
      <c r="J970" s="15">
        <v>3</v>
      </c>
      <c r="K970" s="15">
        <v>1</v>
      </c>
      <c r="L970" s="15">
        <v>1</v>
      </c>
      <c r="M970" s="15">
        <v>1</v>
      </c>
      <c r="N970" s="15">
        <v>1</v>
      </c>
      <c r="O970" s="15">
        <v>1</v>
      </c>
      <c r="P970" s="15" t="s">
        <v>415</v>
      </c>
      <c r="Q970" s="23" t="s">
        <v>838</v>
      </c>
      <c r="R970" s="25">
        <f>ROUND((K970*Parametros!$B$4+L970*Parametros!$B$5+M970*Parametros!$B$6+N970*Parametros!$B$7+O970*Parametros!$B$8)/SUM(Parametros!$B$4:$B$8),2)</f>
        <v>1</v>
      </c>
      <c r="S970" s="26">
        <f>IFERROR(INDEX(Parametros!$F$33:$F$42,MATCH(D970,Parametros!$A$33:$A$42,0)),1)</f>
        <v>1.05</v>
      </c>
      <c r="T970" s="27">
        <f>IFERROR(INDEX(Parametros!$B$21:$B$26,MATCH(I970,Parametros!$A$21:$A$26,0)),0)</f>
        <v>0</v>
      </c>
      <c r="U970" s="28">
        <f t="shared" si="61"/>
        <v>1.05</v>
      </c>
      <c r="V970" s="9">
        <f>IF(U970&gt;=Parametros!$B$14,4,IF(U970&gt;=Parametros!$B$13,3,IF(U970&gt;=Parametros!$B$12,2,1)))</f>
        <v>1</v>
      </c>
      <c r="W970" s="5">
        <f>MAX(V970,IF(K970=5,Parametros!$B$17,0),IF(P970="Sim",Parametros!$B$18,0))</f>
        <v>1</v>
      </c>
      <c r="X970" s="5" t="str">
        <f t="shared" si="62"/>
        <v>Baixa</v>
      </c>
      <c r="Y970" s="29">
        <f t="shared" si="63"/>
        <v>1010.19903</v>
      </c>
      <c r="Z970" s="4" t="s">
        <v>659</v>
      </c>
    </row>
    <row r="971" spans="1:26" ht="28.05" customHeight="1" x14ac:dyDescent="0.3">
      <c r="A971" s="5">
        <f t="shared" si="60"/>
        <v>967</v>
      </c>
      <c r="B971" s="23" t="s">
        <v>2126</v>
      </c>
      <c r="C971" s="17" t="s">
        <v>2127</v>
      </c>
      <c r="D971" s="4" t="s">
        <v>53</v>
      </c>
      <c r="E971" s="4" t="s">
        <v>76</v>
      </c>
      <c r="F971" s="4" t="s">
        <v>76</v>
      </c>
      <c r="G971" s="4" t="s">
        <v>171</v>
      </c>
      <c r="H971" s="4" t="s">
        <v>172</v>
      </c>
      <c r="I971" s="24" t="s">
        <v>152</v>
      </c>
      <c r="J971" s="15">
        <v>3</v>
      </c>
      <c r="K971" s="15">
        <v>1</v>
      </c>
      <c r="L971" s="15">
        <v>1</v>
      </c>
      <c r="M971" s="15">
        <v>1</v>
      </c>
      <c r="N971" s="15">
        <v>1</v>
      </c>
      <c r="O971" s="15">
        <v>1</v>
      </c>
      <c r="P971" s="15" t="s">
        <v>415</v>
      </c>
      <c r="Q971" s="23" t="s">
        <v>838</v>
      </c>
      <c r="R971" s="25">
        <f>ROUND((K971*Parametros!$B$4+L971*Parametros!$B$5+M971*Parametros!$B$6+N971*Parametros!$B$7+O971*Parametros!$B$8)/SUM(Parametros!$B$4:$B$8),2)</f>
        <v>1</v>
      </c>
      <c r="S971" s="26">
        <f>IFERROR(INDEX(Parametros!$F$33:$F$42,MATCH(D971,Parametros!$A$33:$A$42,0)),1)</f>
        <v>1.05</v>
      </c>
      <c r="T971" s="27">
        <f>IFERROR(INDEX(Parametros!$B$21:$B$26,MATCH(I971,Parametros!$A$21:$A$26,0)),0)</f>
        <v>0</v>
      </c>
      <c r="U971" s="28">
        <f t="shared" si="61"/>
        <v>1.05</v>
      </c>
      <c r="V971" s="9">
        <f>IF(U971&gt;=Parametros!$B$14,4,IF(U971&gt;=Parametros!$B$13,3,IF(U971&gt;=Parametros!$B$12,2,1)))</f>
        <v>1</v>
      </c>
      <c r="W971" s="5">
        <f>MAX(V971,IF(K971=5,Parametros!$B$17,0),IF(P971="Sim",Parametros!$B$18,0))</f>
        <v>1</v>
      </c>
      <c r="X971" s="5" t="str">
        <f t="shared" si="62"/>
        <v>Baixa</v>
      </c>
      <c r="Y971" s="29">
        <f t="shared" si="63"/>
        <v>1010.199029</v>
      </c>
      <c r="Z971" s="4" t="s">
        <v>659</v>
      </c>
    </row>
    <row r="972" spans="1:26" ht="28.05" customHeight="1" x14ac:dyDescent="0.3">
      <c r="A972" s="5">
        <f t="shared" si="60"/>
        <v>968</v>
      </c>
      <c r="B972" s="23" t="s">
        <v>2128</v>
      </c>
      <c r="C972" s="17" t="s">
        <v>2129</v>
      </c>
      <c r="D972" s="4" t="s">
        <v>53</v>
      </c>
      <c r="E972" s="4" t="s">
        <v>64</v>
      </c>
      <c r="F972" s="4" t="s">
        <v>64</v>
      </c>
      <c r="G972" s="4" t="s">
        <v>171</v>
      </c>
      <c r="H972" s="4" t="s">
        <v>172</v>
      </c>
      <c r="I972" s="24" t="s">
        <v>131</v>
      </c>
      <c r="J972" s="15">
        <v>3</v>
      </c>
      <c r="K972" s="15">
        <v>1</v>
      </c>
      <c r="L972" s="15">
        <v>1</v>
      </c>
      <c r="M972" s="15">
        <v>1</v>
      </c>
      <c r="N972" s="15">
        <v>1</v>
      </c>
      <c r="O972" s="15">
        <v>1</v>
      </c>
      <c r="P972" s="15" t="s">
        <v>415</v>
      </c>
      <c r="Q972" s="23" t="s">
        <v>838</v>
      </c>
      <c r="R972" s="25">
        <f>ROUND((K972*Parametros!$B$4+L972*Parametros!$B$5+M972*Parametros!$B$6+N972*Parametros!$B$7+O972*Parametros!$B$8)/SUM(Parametros!$B$4:$B$8),2)</f>
        <v>1</v>
      </c>
      <c r="S972" s="26">
        <f>IFERROR(INDEX(Parametros!$F$33:$F$42,MATCH(D972,Parametros!$A$33:$A$42,0)),1)</f>
        <v>1.05</v>
      </c>
      <c r="T972" s="27">
        <f>IFERROR(INDEX(Parametros!$B$21:$B$26,MATCH(I972,Parametros!$A$21:$A$26,0)),0)</f>
        <v>0</v>
      </c>
      <c r="U972" s="28">
        <f t="shared" si="61"/>
        <v>1.05</v>
      </c>
      <c r="V972" s="9">
        <f>IF(U972&gt;=Parametros!$B$14,4,IF(U972&gt;=Parametros!$B$13,3,IF(U972&gt;=Parametros!$B$12,2,1)))</f>
        <v>1</v>
      </c>
      <c r="W972" s="5">
        <f>MAX(V972,IF(K972=5,Parametros!$B$17,0),IF(P972="Sim",Parametros!$B$18,0))</f>
        <v>1</v>
      </c>
      <c r="X972" s="5" t="str">
        <f t="shared" si="62"/>
        <v>Baixa</v>
      </c>
      <c r="Y972" s="29">
        <f t="shared" si="63"/>
        <v>1010.199028</v>
      </c>
      <c r="Z972" s="4" t="s">
        <v>659</v>
      </c>
    </row>
    <row r="973" spans="1:26" ht="28.05" customHeight="1" x14ac:dyDescent="0.3">
      <c r="A973" s="5">
        <f t="shared" si="60"/>
        <v>969</v>
      </c>
      <c r="B973" s="23" t="s">
        <v>2130</v>
      </c>
      <c r="C973" s="17" t="s">
        <v>2131</v>
      </c>
      <c r="D973" s="4" t="s">
        <v>52</v>
      </c>
      <c r="E973" s="4" t="s">
        <v>82</v>
      </c>
      <c r="F973" s="4" t="s">
        <v>82</v>
      </c>
      <c r="G973" s="4" t="s">
        <v>171</v>
      </c>
      <c r="H973" s="4" t="s">
        <v>172</v>
      </c>
      <c r="I973" s="24" t="s">
        <v>152</v>
      </c>
      <c r="J973" s="15">
        <v>3</v>
      </c>
      <c r="K973" s="15">
        <v>1</v>
      </c>
      <c r="L973" s="15">
        <v>1</v>
      </c>
      <c r="M973" s="15">
        <v>1</v>
      </c>
      <c r="N973" s="15">
        <v>1</v>
      </c>
      <c r="O973" s="15">
        <v>1</v>
      </c>
      <c r="P973" s="15" t="s">
        <v>415</v>
      </c>
      <c r="Q973" s="23" t="s">
        <v>838</v>
      </c>
      <c r="R973" s="25">
        <f>ROUND((K973*Parametros!$B$4+L973*Parametros!$B$5+M973*Parametros!$B$6+N973*Parametros!$B$7+O973*Parametros!$B$8)/SUM(Parametros!$B$4:$B$8),2)</f>
        <v>1</v>
      </c>
      <c r="S973" s="26">
        <f>IFERROR(INDEX(Parametros!$F$33:$F$42,MATCH(D973,Parametros!$A$33:$A$42,0)),1)</f>
        <v>1.05</v>
      </c>
      <c r="T973" s="27">
        <f>IFERROR(INDEX(Parametros!$B$21:$B$26,MATCH(I973,Parametros!$A$21:$A$26,0)),0)</f>
        <v>0</v>
      </c>
      <c r="U973" s="28">
        <f t="shared" si="61"/>
        <v>1.05</v>
      </c>
      <c r="V973" s="9">
        <f>IF(U973&gt;=Parametros!$B$14,4,IF(U973&gt;=Parametros!$B$13,3,IF(U973&gt;=Parametros!$B$12,2,1)))</f>
        <v>1</v>
      </c>
      <c r="W973" s="5">
        <f>MAX(V973,IF(K973=5,Parametros!$B$17,0),IF(P973="Sim",Parametros!$B$18,0))</f>
        <v>1</v>
      </c>
      <c r="X973" s="5" t="str">
        <f t="shared" si="62"/>
        <v>Baixa</v>
      </c>
      <c r="Y973" s="29">
        <f t="shared" si="63"/>
        <v>1010.199027</v>
      </c>
      <c r="Z973" s="4" t="s">
        <v>659</v>
      </c>
    </row>
    <row r="974" spans="1:26" ht="28.05" customHeight="1" x14ac:dyDescent="0.3">
      <c r="A974" s="5">
        <f t="shared" si="60"/>
        <v>970</v>
      </c>
      <c r="B974" s="23" t="s">
        <v>2132</v>
      </c>
      <c r="C974" s="17" t="s">
        <v>2133</v>
      </c>
      <c r="D974" s="4" t="s">
        <v>52</v>
      </c>
      <c r="E974" s="4" t="s">
        <v>64</v>
      </c>
      <c r="F974" s="4" t="s">
        <v>64</v>
      </c>
      <c r="G974" s="4" t="s">
        <v>171</v>
      </c>
      <c r="H974" s="4" t="s">
        <v>172</v>
      </c>
      <c r="I974" s="24" t="s">
        <v>152</v>
      </c>
      <c r="J974" s="15">
        <v>3</v>
      </c>
      <c r="K974" s="15">
        <v>1</v>
      </c>
      <c r="L974" s="15">
        <v>1</v>
      </c>
      <c r="M974" s="15">
        <v>1</v>
      </c>
      <c r="N974" s="15">
        <v>1</v>
      </c>
      <c r="O974" s="15">
        <v>1</v>
      </c>
      <c r="P974" s="15" t="s">
        <v>415</v>
      </c>
      <c r="Q974" s="23" t="s">
        <v>838</v>
      </c>
      <c r="R974" s="25">
        <f>ROUND((K974*Parametros!$B$4+L974*Parametros!$B$5+M974*Parametros!$B$6+N974*Parametros!$B$7+O974*Parametros!$B$8)/SUM(Parametros!$B$4:$B$8),2)</f>
        <v>1</v>
      </c>
      <c r="S974" s="26">
        <f>IFERROR(INDEX(Parametros!$F$33:$F$42,MATCH(D974,Parametros!$A$33:$A$42,0)),1)</f>
        <v>1.05</v>
      </c>
      <c r="T974" s="27">
        <f>IFERROR(INDEX(Parametros!$B$21:$B$26,MATCH(I974,Parametros!$A$21:$A$26,0)),0)</f>
        <v>0</v>
      </c>
      <c r="U974" s="28">
        <f t="shared" si="61"/>
        <v>1.05</v>
      </c>
      <c r="V974" s="9">
        <f>IF(U974&gt;=Parametros!$B$14,4,IF(U974&gt;=Parametros!$B$13,3,IF(U974&gt;=Parametros!$B$12,2,1)))</f>
        <v>1</v>
      </c>
      <c r="W974" s="5">
        <f>MAX(V974,IF(K974=5,Parametros!$B$17,0),IF(P974="Sim",Parametros!$B$18,0))</f>
        <v>1</v>
      </c>
      <c r="X974" s="5" t="str">
        <f t="shared" si="62"/>
        <v>Baixa</v>
      </c>
      <c r="Y974" s="29">
        <f t="shared" si="63"/>
        <v>1010.199026</v>
      </c>
      <c r="Z974" s="4" t="s">
        <v>659</v>
      </c>
    </row>
    <row r="975" spans="1:26" ht="28.05" customHeight="1" x14ac:dyDescent="0.3">
      <c r="A975" s="5">
        <f t="shared" si="60"/>
        <v>971</v>
      </c>
      <c r="B975" s="23" t="s">
        <v>2134</v>
      </c>
      <c r="C975" s="17" t="s">
        <v>2135</v>
      </c>
      <c r="D975" s="4" t="s">
        <v>52</v>
      </c>
      <c r="E975" s="4" t="s">
        <v>345</v>
      </c>
      <c r="F975" s="4" t="s">
        <v>345</v>
      </c>
      <c r="G975" s="4" t="s">
        <v>171</v>
      </c>
      <c r="H975" s="4" t="s">
        <v>172</v>
      </c>
      <c r="I975" s="24" t="s">
        <v>152</v>
      </c>
      <c r="J975" s="15">
        <v>3</v>
      </c>
      <c r="K975" s="15">
        <v>1</v>
      </c>
      <c r="L975" s="15">
        <v>1</v>
      </c>
      <c r="M975" s="15">
        <v>1</v>
      </c>
      <c r="N975" s="15">
        <v>1</v>
      </c>
      <c r="O975" s="15">
        <v>1</v>
      </c>
      <c r="P975" s="15" t="s">
        <v>415</v>
      </c>
      <c r="Q975" s="23" t="s">
        <v>838</v>
      </c>
      <c r="R975" s="25">
        <f>ROUND((K975*Parametros!$B$4+L975*Parametros!$B$5+M975*Parametros!$B$6+N975*Parametros!$B$7+O975*Parametros!$B$8)/SUM(Parametros!$B$4:$B$8),2)</f>
        <v>1</v>
      </c>
      <c r="S975" s="26">
        <f>IFERROR(INDEX(Parametros!$F$33:$F$42,MATCH(D975,Parametros!$A$33:$A$42,0)),1)</f>
        <v>1.05</v>
      </c>
      <c r="T975" s="27">
        <f>IFERROR(INDEX(Parametros!$B$21:$B$26,MATCH(I975,Parametros!$A$21:$A$26,0)),0)</f>
        <v>0</v>
      </c>
      <c r="U975" s="28">
        <f t="shared" si="61"/>
        <v>1.05</v>
      </c>
      <c r="V975" s="9">
        <f>IF(U975&gt;=Parametros!$B$14,4,IF(U975&gt;=Parametros!$B$13,3,IF(U975&gt;=Parametros!$B$12,2,1)))</f>
        <v>1</v>
      </c>
      <c r="W975" s="5">
        <f>MAX(V975,IF(K975=5,Parametros!$B$17,0),IF(P975="Sim",Parametros!$B$18,0))</f>
        <v>1</v>
      </c>
      <c r="X975" s="5" t="str">
        <f t="shared" si="62"/>
        <v>Baixa</v>
      </c>
      <c r="Y975" s="29">
        <f t="shared" si="63"/>
        <v>1010.199025</v>
      </c>
      <c r="Z975" s="4" t="s">
        <v>659</v>
      </c>
    </row>
    <row r="976" spans="1:26" ht="28.05" customHeight="1" x14ac:dyDescent="0.3">
      <c r="A976" s="5">
        <f t="shared" si="60"/>
        <v>972</v>
      </c>
      <c r="B976" s="23" t="s">
        <v>2136</v>
      </c>
      <c r="C976" s="17" t="s">
        <v>2137</v>
      </c>
      <c r="D976" s="4" t="s">
        <v>52</v>
      </c>
      <c r="E976" s="4" t="s">
        <v>69</v>
      </c>
      <c r="F976" s="4" t="s">
        <v>69</v>
      </c>
      <c r="G976" s="4" t="s">
        <v>107</v>
      </c>
      <c r="H976" s="4" t="s">
        <v>108</v>
      </c>
      <c r="I976" s="24" t="s">
        <v>152</v>
      </c>
      <c r="J976" s="15">
        <v>3</v>
      </c>
      <c r="K976" s="15">
        <v>1</v>
      </c>
      <c r="L976" s="15">
        <v>1</v>
      </c>
      <c r="M976" s="15">
        <v>1</v>
      </c>
      <c r="N976" s="15">
        <v>1</v>
      </c>
      <c r="O976" s="15">
        <v>1</v>
      </c>
      <c r="P976" s="15" t="s">
        <v>415</v>
      </c>
      <c r="Q976" s="23" t="s">
        <v>838</v>
      </c>
      <c r="R976" s="25">
        <f>ROUND((K976*Parametros!$B$4+L976*Parametros!$B$5+M976*Parametros!$B$6+N976*Parametros!$B$7+O976*Parametros!$B$8)/SUM(Parametros!$B$4:$B$8),2)</f>
        <v>1</v>
      </c>
      <c r="S976" s="26">
        <f>IFERROR(INDEX(Parametros!$F$33:$F$42,MATCH(D976,Parametros!$A$33:$A$42,0)),1)</f>
        <v>1.05</v>
      </c>
      <c r="T976" s="27">
        <f>IFERROR(INDEX(Parametros!$B$21:$B$26,MATCH(I976,Parametros!$A$21:$A$26,0)),0)</f>
        <v>0</v>
      </c>
      <c r="U976" s="28">
        <f t="shared" si="61"/>
        <v>1.05</v>
      </c>
      <c r="V976" s="9">
        <f>IF(U976&gt;=Parametros!$B$14,4,IF(U976&gt;=Parametros!$B$13,3,IF(U976&gt;=Parametros!$B$12,2,1)))</f>
        <v>1</v>
      </c>
      <c r="W976" s="5">
        <f>MAX(V976,IF(K976=5,Parametros!$B$17,0),IF(P976="Sim",Parametros!$B$18,0))</f>
        <v>1</v>
      </c>
      <c r="X976" s="5" t="str">
        <f t="shared" si="62"/>
        <v>Baixa</v>
      </c>
      <c r="Y976" s="29">
        <f t="shared" si="63"/>
        <v>1010.199024</v>
      </c>
      <c r="Z976" s="4" t="s">
        <v>659</v>
      </c>
    </row>
    <row r="977" spans="1:26" ht="28.05" customHeight="1" x14ac:dyDescent="0.3">
      <c r="A977" s="5">
        <f t="shared" si="60"/>
        <v>973</v>
      </c>
      <c r="B977" s="23" t="s">
        <v>2138</v>
      </c>
      <c r="C977" s="17" t="s">
        <v>2139</v>
      </c>
      <c r="D977" s="4" t="s">
        <v>52</v>
      </c>
      <c r="E977" s="4" t="s">
        <v>345</v>
      </c>
      <c r="F977" s="4" t="s">
        <v>345</v>
      </c>
      <c r="G977" s="4" t="s">
        <v>171</v>
      </c>
      <c r="H977" s="4" t="s">
        <v>172</v>
      </c>
      <c r="I977" s="24" t="s">
        <v>152</v>
      </c>
      <c r="J977" s="15">
        <v>3</v>
      </c>
      <c r="K977" s="15">
        <v>1</v>
      </c>
      <c r="L977" s="15">
        <v>1</v>
      </c>
      <c r="M977" s="15">
        <v>1</v>
      </c>
      <c r="N977" s="15">
        <v>1</v>
      </c>
      <c r="O977" s="15">
        <v>1</v>
      </c>
      <c r="P977" s="15" t="s">
        <v>415</v>
      </c>
      <c r="Q977" s="23" t="s">
        <v>838</v>
      </c>
      <c r="R977" s="25">
        <f>ROUND((K977*Parametros!$B$4+L977*Parametros!$B$5+M977*Parametros!$B$6+N977*Parametros!$B$7+O977*Parametros!$B$8)/SUM(Parametros!$B$4:$B$8),2)</f>
        <v>1</v>
      </c>
      <c r="S977" s="26">
        <f>IFERROR(INDEX(Parametros!$F$33:$F$42,MATCH(D977,Parametros!$A$33:$A$42,0)),1)</f>
        <v>1.05</v>
      </c>
      <c r="T977" s="27">
        <f>IFERROR(INDEX(Parametros!$B$21:$B$26,MATCH(I977,Parametros!$A$21:$A$26,0)),0)</f>
        <v>0</v>
      </c>
      <c r="U977" s="28">
        <f t="shared" si="61"/>
        <v>1.05</v>
      </c>
      <c r="V977" s="9">
        <f>IF(U977&gt;=Parametros!$B$14,4,IF(U977&gt;=Parametros!$B$13,3,IF(U977&gt;=Parametros!$B$12,2,1)))</f>
        <v>1</v>
      </c>
      <c r="W977" s="5">
        <f>MAX(V977,IF(K977=5,Parametros!$B$17,0),IF(P977="Sim",Parametros!$B$18,0))</f>
        <v>1</v>
      </c>
      <c r="X977" s="5" t="str">
        <f t="shared" si="62"/>
        <v>Baixa</v>
      </c>
      <c r="Y977" s="29">
        <f t="shared" si="63"/>
        <v>1010.199023</v>
      </c>
      <c r="Z977" s="4" t="s">
        <v>659</v>
      </c>
    </row>
    <row r="978" spans="1:26" ht="28.05" customHeight="1" x14ac:dyDescent="0.3">
      <c r="A978" s="5">
        <f t="shared" si="60"/>
        <v>974</v>
      </c>
      <c r="B978" s="23" t="s">
        <v>2140</v>
      </c>
      <c r="C978" s="17" t="s">
        <v>2141</v>
      </c>
      <c r="D978" s="4" t="s">
        <v>54</v>
      </c>
      <c r="E978" s="4" t="s">
        <v>64</v>
      </c>
      <c r="F978" s="4" t="s">
        <v>64</v>
      </c>
      <c r="G978" s="4" t="s">
        <v>184</v>
      </c>
      <c r="H978" s="4" t="s">
        <v>185</v>
      </c>
      <c r="I978" s="24" t="s">
        <v>152</v>
      </c>
      <c r="J978" s="15">
        <v>2</v>
      </c>
      <c r="K978" s="15">
        <v>1</v>
      </c>
      <c r="L978" s="15">
        <v>1</v>
      </c>
      <c r="M978" s="15">
        <v>1</v>
      </c>
      <c r="N978" s="15">
        <v>1</v>
      </c>
      <c r="O978" s="15">
        <v>1</v>
      </c>
      <c r="P978" s="15" t="s">
        <v>415</v>
      </c>
      <c r="Q978" s="23" t="s">
        <v>838</v>
      </c>
      <c r="R978" s="25">
        <f>ROUND((K978*Parametros!$B$4+L978*Parametros!$B$5+M978*Parametros!$B$6+N978*Parametros!$B$7+O978*Parametros!$B$8)/SUM(Parametros!$B$4:$B$8),2)</f>
        <v>1</v>
      </c>
      <c r="S978" s="26">
        <f>IFERROR(INDEX(Parametros!$F$33:$F$42,MATCH(D978,Parametros!$A$33:$A$42,0)),1)</f>
        <v>1.034</v>
      </c>
      <c r="T978" s="27">
        <f>IFERROR(INDEX(Parametros!$B$21:$B$26,MATCH(I978,Parametros!$A$21:$A$26,0)),0)</f>
        <v>0</v>
      </c>
      <c r="U978" s="28">
        <f t="shared" si="61"/>
        <v>1.03</v>
      </c>
      <c r="V978" s="9">
        <f>IF(U978&gt;=Parametros!$B$14,4,IF(U978&gt;=Parametros!$B$13,3,IF(U978&gt;=Parametros!$B$12,2,1)))</f>
        <v>1</v>
      </c>
      <c r="W978" s="5">
        <f>MAX(V978,IF(K978=5,Parametros!$B$17,0),IF(P978="Sim",Parametros!$B$18,0))</f>
        <v>1</v>
      </c>
      <c r="X978" s="5" t="str">
        <f t="shared" si="62"/>
        <v>Baixa</v>
      </c>
      <c r="Y978" s="29">
        <f t="shared" si="63"/>
        <v>1010.0990219999999</v>
      </c>
      <c r="Z978" s="4" t="s">
        <v>659</v>
      </c>
    </row>
    <row r="979" spans="1:26" ht="28.05" customHeight="1" x14ac:dyDescent="0.3">
      <c r="A979" s="5">
        <f t="shared" si="60"/>
        <v>975</v>
      </c>
      <c r="B979" s="23" t="s">
        <v>2142</v>
      </c>
      <c r="C979" s="17" t="s">
        <v>2143</v>
      </c>
      <c r="D979" s="4" t="s">
        <v>54</v>
      </c>
      <c r="E979" s="4" t="s">
        <v>2144</v>
      </c>
      <c r="F979" s="4" t="s">
        <v>2144</v>
      </c>
      <c r="G979" s="4" t="s">
        <v>171</v>
      </c>
      <c r="H979" s="4" t="s">
        <v>172</v>
      </c>
      <c r="I979" s="24" t="s">
        <v>152</v>
      </c>
      <c r="J979" s="15">
        <v>3</v>
      </c>
      <c r="K979" s="15">
        <v>1</v>
      </c>
      <c r="L979" s="15">
        <v>1</v>
      </c>
      <c r="M979" s="15">
        <v>1</v>
      </c>
      <c r="N979" s="15">
        <v>1</v>
      </c>
      <c r="O979" s="15">
        <v>1</v>
      </c>
      <c r="P979" s="15" t="s">
        <v>415</v>
      </c>
      <c r="Q979" s="23" t="s">
        <v>838</v>
      </c>
      <c r="R979" s="25">
        <f>ROUND((K979*Parametros!$B$4+L979*Parametros!$B$5+M979*Parametros!$B$6+N979*Parametros!$B$7+O979*Parametros!$B$8)/SUM(Parametros!$B$4:$B$8),2)</f>
        <v>1</v>
      </c>
      <c r="S979" s="26">
        <f>IFERROR(INDEX(Parametros!$F$33:$F$42,MATCH(D979,Parametros!$A$33:$A$42,0)),1)</f>
        <v>1.034</v>
      </c>
      <c r="T979" s="27">
        <f>IFERROR(INDEX(Parametros!$B$21:$B$26,MATCH(I979,Parametros!$A$21:$A$26,0)),0)</f>
        <v>0</v>
      </c>
      <c r="U979" s="28">
        <f t="shared" si="61"/>
        <v>1.03</v>
      </c>
      <c r="V979" s="9">
        <f>IF(U979&gt;=Parametros!$B$14,4,IF(U979&gt;=Parametros!$B$13,3,IF(U979&gt;=Parametros!$B$12,2,1)))</f>
        <v>1</v>
      </c>
      <c r="W979" s="5">
        <f>MAX(V979,IF(K979=5,Parametros!$B$17,0),IF(P979="Sim",Parametros!$B$18,0))</f>
        <v>1</v>
      </c>
      <c r="X979" s="5" t="str">
        <f t="shared" si="62"/>
        <v>Baixa</v>
      </c>
      <c r="Y979" s="29">
        <f t="shared" si="63"/>
        <v>1009.999021</v>
      </c>
      <c r="Z979" s="4" t="s">
        <v>659</v>
      </c>
    </row>
    <row r="980" spans="1:26" ht="28.05" customHeight="1" x14ac:dyDescent="0.3">
      <c r="A980" s="5">
        <f t="shared" si="60"/>
        <v>976</v>
      </c>
      <c r="B980" s="23" t="s">
        <v>2145</v>
      </c>
      <c r="C980" s="17" t="s">
        <v>2146</v>
      </c>
      <c r="D980" s="4" t="s">
        <v>52</v>
      </c>
      <c r="E980" s="4" t="s">
        <v>66</v>
      </c>
      <c r="F980" s="4" t="s">
        <v>66</v>
      </c>
      <c r="G980" s="4" t="s">
        <v>171</v>
      </c>
      <c r="H980" s="4" t="s">
        <v>172</v>
      </c>
      <c r="I980" s="24" t="s">
        <v>359</v>
      </c>
      <c r="J980" s="15">
        <v>2</v>
      </c>
      <c r="K980" s="15">
        <v>1</v>
      </c>
      <c r="L980" s="15">
        <v>1</v>
      </c>
      <c r="M980" s="15">
        <v>1</v>
      </c>
      <c r="N980" s="15">
        <v>1</v>
      </c>
      <c r="O980" s="15">
        <v>2</v>
      </c>
      <c r="P980" s="15" t="s">
        <v>415</v>
      </c>
      <c r="Q980" s="23" t="s">
        <v>838</v>
      </c>
      <c r="R980" s="25">
        <f>ROUND((K980*Parametros!$B$4+L980*Parametros!$B$5+M980*Parametros!$B$6+N980*Parametros!$B$7+O980*Parametros!$B$8)/SUM(Parametros!$B$4:$B$8),2)</f>
        <v>1.1499999999999999</v>
      </c>
      <c r="S980" s="26">
        <f>IFERROR(INDEX(Parametros!$F$33:$F$42,MATCH(D980,Parametros!$A$33:$A$42,0)),1)</f>
        <v>1.05</v>
      </c>
      <c r="T980" s="27">
        <f>IFERROR(INDEX(Parametros!$B$21:$B$26,MATCH(I980,Parametros!$A$21:$A$26,0)),0)</f>
        <v>-0.2</v>
      </c>
      <c r="U980" s="28">
        <f t="shared" si="61"/>
        <v>1.01</v>
      </c>
      <c r="V980" s="9">
        <f>IF(U980&gt;=Parametros!$B$14,4,IF(U980&gt;=Parametros!$B$13,3,IF(U980&gt;=Parametros!$B$12,2,1)))</f>
        <v>1</v>
      </c>
      <c r="W980" s="5">
        <f>MAX(V980,IF(K980=5,Parametros!$B$17,0),IF(P980="Sim",Parametros!$B$18,0))</f>
        <v>1</v>
      </c>
      <c r="X980" s="5" t="str">
        <f t="shared" si="62"/>
        <v>Baixa</v>
      </c>
      <c r="Y980" s="29">
        <f t="shared" si="63"/>
        <v>1009.89902</v>
      </c>
      <c r="Z980" s="4" t="s">
        <v>1410</v>
      </c>
    </row>
    <row r="981" spans="1:26" ht="28.05" customHeight="1" x14ac:dyDescent="0.3">
      <c r="A981" s="5">
        <f t="shared" si="60"/>
        <v>977</v>
      </c>
      <c r="B981" s="23" t="s">
        <v>2147</v>
      </c>
      <c r="C981" s="17" t="s">
        <v>2148</v>
      </c>
      <c r="D981" s="4" t="s">
        <v>50</v>
      </c>
      <c r="E981" s="4" t="s">
        <v>65</v>
      </c>
      <c r="F981" s="4" t="s">
        <v>65</v>
      </c>
      <c r="G981" s="4" t="s">
        <v>171</v>
      </c>
      <c r="H981" s="4" t="s">
        <v>172</v>
      </c>
      <c r="I981" s="24" t="s">
        <v>954</v>
      </c>
      <c r="J981" s="15">
        <v>2</v>
      </c>
      <c r="K981" s="15">
        <v>1</v>
      </c>
      <c r="L981" s="15">
        <v>1</v>
      </c>
      <c r="M981" s="15">
        <v>1</v>
      </c>
      <c r="N981" s="15">
        <v>1</v>
      </c>
      <c r="O981" s="15">
        <v>1</v>
      </c>
      <c r="P981" s="15" t="s">
        <v>415</v>
      </c>
      <c r="Q981" s="23" t="s">
        <v>838</v>
      </c>
      <c r="R981" s="25">
        <f>ROUND((K981*Parametros!$B$4+L981*Parametros!$B$5+M981*Parametros!$B$6+N981*Parametros!$B$7+O981*Parametros!$B$8)/SUM(Parametros!$B$4:$B$8),2)</f>
        <v>1</v>
      </c>
      <c r="S981" s="26">
        <f>IFERROR(INDEX(Parametros!$F$33:$F$42,MATCH(D981,Parametros!$A$33:$A$42,0)),1)</f>
        <v>1.0840000000000001</v>
      </c>
      <c r="T981" s="27">
        <f>IFERROR(INDEX(Parametros!$B$21:$B$26,MATCH(I981,Parametros!$A$21:$A$26,0)),0)</f>
        <v>-0.3</v>
      </c>
      <c r="U981" s="28">
        <f t="shared" si="61"/>
        <v>0.78</v>
      </c>
      <c r="V981" s="9">
        <f>IF(U981&gt;=Parametros!$B$14,4,IF(U981&gt;=Parametros!$B$13,3,IF(U981&gt;=Parametros!$B$12,2,1)))</f>
        <v>1</v>
      </c>
      <c r="W981" s="5">
        <f>MAX(V981,IF(K981=5,Parametros!$B$17,0),IF(P981="Sim",Parametros!$B$18,0))</f>
        <v>1</v>
      </c>
      <c r="X981" s="5" t="str">
        <f t="shared" si="62"/>
        <v>Baixa</v>
      </c>
      <c r="Y981" s="29">
        <f t="shared" si="63"/>
        <v>1007.5990189999999</v>
      </c>
      <c r="Z981" s="4" t="s">
        <v>1213</v>
      </c>
    </row>
    <row r="982" spans="1:26" ht="28.05" customHeight="1" x14ac:dyDescent="0.3">
      <c r="A982" s="5">
        <f t="shared" si="60"/>
        <v>978</v>
      </c>
      <c r="B982" s="23" t="s">
        <v>2149</v>
      </c>
      <c r="C982" s="17" t="s">
        <v>2150</v>
      </c>
      <c r="D982" s="4" t="s">
        <v>53</v>
      </c>
      <c r="E982" s="4" t="s">
        <v>76</v>
      </c>
      <c r="F982" s="4" t="s">
        <v>76</v>
      </c>
      <c r="G982" s="4" t="s">
        <v>184</v>
      </c>
      <c r="H982" s="4" t="s">
        <v>185</v>
      </c>
      <c r="I982" s="24" t="s">
        <v>954</v>
      </c>
      <c r="J982" s="15">
        <v>2</v>
      </c>
      <c r="K982" s="15">
        <v>1</v>
      </c>
      <c r="L982" s="15">
        <v>1</v>
      </c>
      <c r="M982" s="15">
        <v>1</v>
      </c>
      <c r="N982" s="15">
        <v>1</v>
      </c>
      <c r="O982" s="15">
        <v>1</v>
      </c>
      <c r="P982" s="15" t="s">
        <v>415</v>
      </c>
      <c r="Q982" s="23" t="s">
        <v>838</v>
      </c>
      <c r="R982" s="25">
        <f>ROUND((K982*Parametros!$B$4+L982*Parametros!$B$5+M982*Parametros!$B$6+N982*Parametros!$B$7+O982*Parametros!$B$8)/SUM(Parametros!$B$4:$B$8),2)</f>
        <v>1</v>
      </c>
      <c r="S982" s="26">
        <f>IFERROR(INDEX(Parametros!$F$33:$F$42,MATCH(D982,Parametros!$A$33:$A$42,0)),1)</f>
        <v>1.05</v>
      </c>
      <c r="T982" s="27">
        <f>IFERROR(INDEX(Parametros!$B$21:$B$26,MATCH(I982,Parametros!$A$21:$A$26,0)),0)</f>
        <v>-0.3</v>
      </c>
      <c r="U982" s="28">
        <f t="shared" si="61"/>
        <v>0.75</v>
      </c>
      <c r="V982" s="9">
        <f>IF(U982&gt;=Parametros!$B$14,4,IF(U982&gt;=Parametros!$B$13,3,IF(U982&gt;=Parametros!$B$12,2,1)))</f>
        <v>1</v>
      </c>
      <c r="W982" s="5">
        <f>MAX(V982,IF(K982=5,Parametros!$B$17,0),IF(P982="Sim",Parametros!$B$18,0))</f>
        <v>1</v>
      </c>
      <c r="X982" s="5" t="str">
        <f t="shared" si="62"/>
        <v>Baixa</v>
      </c>
      <c r="Y982" s="29">
        <f t="shared" si="63"/>
        <v>1007.2990179999999</v>
      </c>
      <c r="Z982" s="4" t="s">
        <v>1213</v>
      </c>
    </row>
    <row r="983" spans="1:26" ht="28.05" customHeight="1" x14ac:dyDescent="0.3">
      <c r="A983" s="5">
        <f t="shared" si="60"/>
        <v>979</v>
      </c>
      <c r="B983" s="23" t="s">
        <v>2151</v>
      </c>
      <c r="C983" s="17" t="s">
        <v>2152</v>
      </c>
      <c r="D983" s="4" t="s">
        <v>56</v>
      </c>
      <c r="E983" s="4" t="s">
        <v>71</v>
      </c>
      <c r="F983" s="4" t="s">
        <v>71</v>
      </c>
      <c r="G983" s="4" t="s">
        <v>112</v>
      </c>
      <c r="H983" s="4" t="s">
        <v>108</v>
      </c>
      <c r="I983" s="24" t="s">
        <v>954</v>
      </c>
      <c r="J983" s="15">
        <v>2</v>
      </c>
      <c r="K983" s="15">
        <v>1</v>
      </c>
      <c r="L983" s="15">
        <v>1</v>
      </c>
      <c r="M983" s="15">
        <v>1</v>
      </c>
      <c r="N983" s="15">
        <v>1</v>
      </c>
      <c r="O983" s="15">
        <v>1</v>
      </c>
      <c r="P983" s="15" t="s">
        <v>415</v>
      </c>
      <c r="Q983" s="23" t="s">
        <v>416</v>
      </c>
      <c r="R983" s="25">
        <f>ROUND((K983*Parametros!$B$4+L983*Parametros!$B$5+M983*Parametros!$B$6+N983*Parametros!$B$7+O983*Parametros!$B$8)/SUM(Parametros!$B$4:$B$8),2)</f>
        <v>1</v>
      </c>
      <c r="S983" s="26">
        <f>IFERROR(INDEX(Parametros!$F$33:$F$42,MATCH(D983,Parametros!$A$33:$A$42,0)),1)</f>
        <v>1.0169999999999999</v>
      </c>
      <c r="T983" s="27">
        <f>IFERROR(INDEX(Parametros!$B$21:$B$26,MATCH(I983,Parametros!$A$21:$A$26,0)),0)</f>
        <v>-0.3</v>
      </c>
      <c r="U983" s="28">
        <f t="shared" si="61"/>
        <v>0.72</v>
      </c>
      <c r="V983" s="9">
        <f>IF(U983&gt;=Parametros!$B$14,4,IF(U983&gt;=Parametros!$B$13,3,IF(U983&gt;=Parametros!$B$12,2,1)))</f>
        <v>1</v>
      </c>
      <c r="W983" s="5">
        <f>MAX(V983,IF(K983=5,Parametros!$B$17,0),IF(P983="Sim",Parametros!$B$18,0))</f>
        <v>1</v>
      </c>
      <c r="X983" s="5" t="str">
        <f t="shared" si="62"/>
        <v>Baixa</v>
      </c>
      <c r="Y983" s="29">
        <f t="shared" si="63"/>
        <v>1006.999017</v>
      </c>
      <c r="Z983" s="4" t="s">
        <v>1213</v>
      </c>
    </row>
  </sheetData>
  <autoFilter ref="A4:Z983" xr:uid="{00000000-0009-0000-0000-000004000000}"/>
  <conditionalFormatting sqref="X5:X983">
    <cfRule type="expression" dxfId="3" priority="1">
      <formula>$X5="Urgente"</formula>
    </cfRule>
    <cfRule type="expression" dxfId="2" priority="2">
      <formula>$X5="Alta"</formula>
    </cfRule>
    <cfRule type="expression" dxfId="1" priority="3">
      <formula>$X5="Normal"</formula>
    </cfRule>
    <cfRule type="expression" dxfId="0" priority="4">
      <formula>$X5="Baixa"</formula>
    </cfRule>
  </conditionalFormatting>
  <dataValidations count="2">
    <dataValidation type="whole" showErrorMessage="1" errorTitle="Nota" error="Use um número inteiro de 1 a 5." sqref="J5:O983" xr:uid="{00000000-0002-0000-0400-000000000000}">
      <formula1>1</formula1>
      <formula2>5</formula2>
    </dataValidation>
    <dataValidation type="list" sqref="P5:P983" xr:uid="{00000000-0002-0000-0400-000001000000}">
      <formula1>"Sim,Não"</formula1>
    </dataValidation>
  </dataValidations>
  <hyperlinks>
    <hyperlink ref="C5" r:id="rId1" xr:uid="{00000000-0004-0000-0400-000000000000}"/>
    <hyperlink ref="C6" r:id="rId2" xr:uid="{00000000-0004-0000-0400-000001000000}"/>
    <hyperlink ref="C7" r:id="rId3" xr:uid="{00000000-0004-0000-0400-000002000000}"/>
    <hyperlink ref="C8" r:id="rId4" xr:uid="{00000000-0004-0000-0400-000003000000}"/>
    <hyperlink ref="C9" r:id="rId5" xr:uid="{00000000-0004-0000-0400-000004000000}"/>
    <hyperlink ref="C10" r:id="rId6" xr:uid="{00000000-0004-0000-0400-000005000000}"/>
    <hyperlink ref="C11" r:id="rId7" xr:uid="{00000000-0004-0000-0400-000006000000}"/>
    <hyperlink ref="C12" r:id="rId8" xr:uid="{00000000-0004-0000-0400-000007000000}"/>
    <hyperlink ref="C13" r:id="rId9" xr:uid="{00000000-0004-0000-0400-000008000000}"/>
    <hyperlink ref="C14" r:id="rId10" xr:uid="{00000000-0004-0000-0400-000009000000}"/>
    <hyperlink ref="C15" r:id="rId11" xr:uid="{00000000-0004-0000-0400-00000A000000}"/>
    <hyperlink ref="C16" r:id="rId12" xr:uid="{00000000-0004-0000-0400-00000B000000}"/>
    <hyperlink ref="C17" r:id="rId13" xr:uid="{00000000-0004-0000-0400-00000C000000}"/>
    <hyperlink ref="C18" r:id="rId14" xr:uid="{00000000-0004-0000-0400-00000D000000}"/>
    <hyperlink ref="C19" r:id="rId15" xr:uid="{00000000-0004-0000-0400-00000E000000}"/>
    <hyperlink ref="C20" r:id="rId16" xr:uid="{00000000-0004-0000-0400-00000F000000}"/>
    <hyperlink ref="C21" r:id="rId17" xr:uid="{00000000-0004-0000-0400-000010000000}"/>
    <hyperlink ref="C22" r:id="rId18" xr:uid="{00000000-0004-0000-0400-000011000000}"/>
    <hyperlink ref="C23" r:id="rId19" xr:uid="{00000000-0004-0000-0400-000012000000}"/>
    <hyperlink ref="C24" r:id="rId20" xr:uid="{00000000-0004-0000-0400-000013000000}"/>
    <hyperlink ref="C25" r:id="rId21" xr:uid="{00000000-0004-0000-0400-000014000000}"/>
    <hyperlink ref="C26" r:id="rId22" xr:uid="{00000000-0004-0000-0400-000015000000}"/>
    <hyperlink ref="C27" r:id="rId23" xr:uid="{00000000-0004-0000-0400-000016000000}"/>
    <hyperlink ref="C28" r:id="rId24" xr:uid="{00000000-0004-0000-0400-000017000000}"/>
    <hyperlink ref="C29" r:id="rId25" xr:uid="{00000000-0004-0000-0400-000018000000}"/>
    <hyperlink ref="C30" r:id="rId26" xr:uid="{00000000-0004-0000-0400-000019000000}"/>
    <hyperlink ref="C31" r:id="rId27" xr:uid="{00000000-0004-0000-0400-00001A000000}"/>
    <hyperlink ref="C32" r:id="rId28" xr:uid="{00000000-0004-0000-0400-00001B000000}"/>
    <hyperlink ref="C33" r:id="rId29" xr:uid="{00000000-0004-0000-0400-00001C000000}"/>
    <hyperlink ref="C34" r:id="rId30" xr:uid="{00000000-0004-0000-0400-00001D000000}"/>
    <hyperlink ref="C35" r:id="rId31" xr:uid="{00000000-0004-0000-0400-00001E000000}"/>
    <hyperlink ref="C36" r:id="rId32" xr:uid="{00000000-0004-0000-0400-00001F000000}"/>
    <hyperlink ref="C37" r:id="rId33" xr:uid="{00000000-0004-0000-0400-000020000000}"/>
    <hyperlink ref="C38" r:id="rId34" xr:uid="{00000000-0004-0000-0400-000021000000}"/>
    <hyperlink ref="C39" r:id="rId35" xr:uid="{00000000-0004-0000-0400-000022000000}"/>
    <hyperlink ref="C40" r:id="rId36" xr:uid="{00000000-0004-0000-0400-000023000000}"/>
    <hyperlink ref="C41" r:id="rId37" xr:uid="{00000000-0004-0000-0400-000024000000}"/>
    <hyperlink ref="C42" r:id="rId38" xr:uid="{00000000-0004-0000-0400-000025000000}"/>
    <hyperlink ref="C43" r:id="rId39" xr:uid="{00000000-0004-0000-0400-000026000000}"/>
    <hyperlink ref="C44" r:id="rId40" xr:uid="{00000000-0004-0000-0400-000027000000}"/>
    <hyperlink ref="C45" r:id="rId41" xr:uid="{00000000-0004-0000-0400-000028000000}"/>
    <hyperlink ref="C46" r:id="rId42" xr:uid="{00000000-0004-0000-0400-000029000000}"/>
    <hyperlink ref="C47" r:id="rId43" xr:uid="{00000000-0004-0000-0400-00002A000000}"/>
    <hyperlink ref="C48" r:id="rId44" xr:uid="{00000000-0004-0000-0400-00002B000000}"/>
    <hyperlink ref="C49" r:id="rId45" xr:uid="{00000000-0004-0000-0400-00002C000000}"/>
    <hyperlink ref="C50" r:id="rId46" xr:uid="{00000000-0004-0000-0400-00002D000000}"/>
    <hyperlink ref="C51" r:id="rId47" xr:uid="{00000000-0004-0000-0400-00002E000000}"/>
    <hyperlink ref="C52" r:id="rId48" xr:uid="{00000000-0004-0000-0400-00002F000000}"/>
    <hyperlink ref="C53" r:id="rId49" xr:uid="{00000000-0004-0000-0400-000030000000}"/>
    <hyperlink ref="C54" r:id="rId50" xr:uid="{00000000-0004-0000-0400-000031000000}"/>
    <hyperlink ref="C55" r:id="rId51" xr:uid="{00000000-0004-0000-0400-000032000000}"/>
    <hyperlink ref="C56" r:id="rId52" xr:uid="{00000000-0004-0000-0400-000033000000}"/>
    <hyperlink ref="C57" r:id="rId53" xr:uid="{00000000-0004-0000-0400-000034000000}"/>
    <hyperlink ref="C58" r:id="rId54" xr:uid="{00000000-0004-0000-0400-000035000000}"/>
    <hyperlink ref="C59" r:id="rId55" xr:uid="{00000000-0004-0000-0400-000036000000}"/>
    <hyperlink ref="C60" r:id="rId56" xr:uid="{00000000-0004-0000-0400-000037000000}"/>
    <hyperlink ref="C61" r:id="rId57" xr:uid="{00000000-0004-0000-0400-000038000000}"/>
    <hyperlink ref="C62" r:id="rId58" xr:uid="{00000000-0004-0000-0400-000039000000}"/>
    <hyperlink ref="C63" r:id="rId59" xr:uid="{00000000-0004-0000-0400-00003A000000}"/>
    <hyperlink ref="C64" r:id="rId60" xr:uid="{00000000-0004-0000-0400-00003B000000}"/>
    <hyperlink ref="C65" r:id="rId61" xr:uid="{00000000-0004-0000-0400-00003C000000}"/>
    <hyperlink ref="C66" r:id="rId62" xr:uid="{00000000-0004-0000-0400-00003D000000}"/>
    <hyperlink ref="C67" r:id="rId63" xr:uid="{00000000-0004-0000-0400-00003E000000}"/>
    <hyperlink ref="C68" r:id="rId64" xr:uid="{00000000-0004-0000-0400-00003F000000}"/>
    <hyperlink ref="C69" r:id="rId65" xr:uid="{00000000-0004-0000-0400-000040000000}"/>
    <hyperlink ref="C70" r:id="rId66" xr:uid="{00000000-0004-0000-0400-000041000000}"/>
    <hyperlink ref="C71" r:id="rId67" xr:uid="{00000000-0004-0000-0400-000042000000}"/>
    <hyperlink ref="C72" r:id="rId68" xr:uid="{00000000-0004-0000-0400-000043000000}"/>
    <hyperlink ref="C73" r:id="rId69" xr:uid="{00000000-0004-0000-0400-000044000000}"/>
    <hyperlink ref="C74" r:id="rId70" xr:uid="{00000000-0004-0000-0400-000045000000}"/>
    <hyperlink ref="C75" r:id="rId71" xr:uid="{00000000-0004-0000-0400-000046000000}"/>
    <hyperlink ref="C76" r:id="rId72" xr:uid="{00000000-0004-0000-0400-000047000000}"/>
    <hyperlink ref="C77" r:id="rId73" xr:uid="{00000000-0004-0000-0400-000048000000}"/>
    <hyperlink ref="C78" r:id="rId74" xr:uid="{00000000-0004-0000-0400-000049000000}"/>
    <hyperlink ref="C79" r:id="rId75" xr:uid="{00000000-0004-0000-0400-00004A000000}"/>
    <hyperlink ref="C80" r:id="rId76" xr:uid="{00000000-0004-0000-0400-00004B000000}"/>
    <hyperlink ref="C81" r:id="rId77" xr:uid="{00000000-0004-0000-0400-00004C000000}"/>
    <hyperlink ref="C82" r:id="rId78" xr:uid="{00000000-0004-0000-0400-00004D000000}"/>
    <hyperlink ref="C83" r:id="rId79" xr:uid="{00000000-0004-0000-0400-00004E000000}"/>
    <hyperlink ref="C84" r:id="rId80" xr:uid="{00000000-0004-0000-0400-00004F000000}"/>
    <hyperlink ref="C85" r:id="rId81" xr:uid="{00000000-0004-0000-0400-000050000000}"/>
    <hyperlink ref="C86" r:id="rId82" xr:uid="{00000000-0004-0000-0400-000051000000}"/>
    <hyperlink ref="C87" r:id="rId83" xr:uid="{00000000-0004-0000-0400-000052000000}"/>
    <hyperlink ref="C88" r:id="rId84" xr:uid="{00000000-0004-0000-0400-000053000000}"/>
    <hyperlink ref="C89" r:id="rId85" xr:uid="{00000000-0004-0000-0400-000054000000}"/>
    <hyperlink ref="C90" r:id="rId86" xr:uid="{00000000-0004-0000-0400-000055000000}"/>
    <hyperlink ref="C91" r:id="rId87" xr:uid="{00000000-0004-0000-0400-000056000000}"/>
    <hyperlink ref="C92" r:id="rId88" xr:uid="{00000000-0004-0000-0400-000057000000}"/>
    <hyperlink ref="C93" r:id="rId89" xr:uid="{00000000-0004-0000-0400-000058000000}"/>
    <hyperlink ref="C94" r:id="rId90" xr:uid="{00000000-0004-0000-0400-000059000000}"/>
    <hyperlink ref="C95" r:id="rId91" xr:uid="{00000000-0004-0000-0400-00005A000000}"/>
    <hyperlink ref="C96" r:id="rId92" xr:uid="{00000000-0004-0000-0400-00005B000000}"/>
    <hyperlink ref="C97" r:id="rId93" xr:uid="{00000000-0004-0000-0400-00005C000000}"/>
    <hyperlink ref="C98" r:id="rId94" xr:uid="{00000000-0004-0000-0400-00005D000000}"/>
    <hyperlink ref="C99" r:id="rId95" xr:uid="{00000000-0004-0000-0400-00005E000000}"/>
    <hyperlink ref="C100" r:id="rId96" xr:uid="{00000000-0004-0000-0400-00005F000000}"/>
    <hyperlink ref="C101" r:id="rId97" xr:uid="{00000000-0004-0000-0400-000060000000}"/>
    <hyperlink ref="C102" r:id="rId98" xr:uid="{00000000-0004-0000-0400-000061000000}"/>
    <hyperlink ref="C103" r:id="rId99" xr:uid="{00000000-0004-0000-0400-000062000000}"/>
    <hyperlink ref="C104" r:id="rId100" xr:uid="{00000000-0004-0000-0400-000063000000}"/>
    <hyperlink ref="C105" r:id="rId101" xr:uid="{00000000-0004-0000-0400-000064000000}"/>
    <hyperlink ref="C106" r:id="rId102" xr:uid="{00000000-0004-0000-0400-000065000000}"/>
    <hyperlink ref="C107" r:id="rId103" xr:uid="{00000000-0004-0000-0400-000066000000}"/>
    <hyperlink ref="C108" r:id="rId104" xr:uid="{00000000-0004-0000-0400-000067000000}"/>
    <hyperlink ref="C109" r:id="rId105" xr:uid="{00000000-0004-0000-0400-000068000000}"/>
    <hyperlink ref="C110" r:id="rId106" xr:uid="{00000000-0004-0000-0400-000069000000}"/>
    <hyperlink ref="C111" r:id="rId107" xr:uid="{00000000-0004-0000-0400-00006A000000}"/>
    <hyperlink ref="C112" r:id="rId108" xr:uid="{00000000-0004-0000-0400-00006B000000}"/>
    <hyperlink ref="C113" r:id="rId109" xr:uid="{00000000-0004-0000-0400-00006C000000}"/>
    <hyperlink ref="C114" r:id="rId110" xr:uid="{00000000-0004-0000-0400-00006D000000}"/>
    <hyperlink ref="C115" r:id="rId111" xr:uid="{00000000-0004-0000-0400-00006E000000}"/>
    <hyperlink ref="C116" r:id="rId112" xr:uid="{00000000-0004-0000-0400-00006F000000}"/>
    <hyperlink ref="C117" r:id="rId113" xr:uid="{00000000-0004-0000-0400-000070000000}"/>
    <hyperlink ref="C118" r:id="rId114" xr:uid="{00000000-0004-0000-0400-000071000000}"/>
    <hyperlink ref="C119" r:id="rId115" xr:uid="{00000000-0004-0000-0400-000072000000}"/>
    <hyperlink ref="C120" r:id="rId116" xr:uid="{00000000-0004-0000-0400-000073000000}"/>
    <hyperlink ref="C121" r:id="rId117" xr:uid="{00000000-0004-0000-0400-000074000000}"/>
    <hyperlink ref="C122" r:id="rId118" xr:uid="{00000000-0004-0000-0400-000075000000}"/>
    <hyperlink ref="C123" r:id="rId119" xr:uid="{00000000-0004-0000-0400-000076000000}"/>
    <hyperlink ref="C124" r:id="rId120" xr:uid="{00000000-0004-0000-0400-000077000000}"/>
    <hyperlink ref="C125" r:id="rId121" xr:uid="{00000000-0004-0000-0400-000078000000}"/>
    <hyperlink ref="C126" r:id="rId122" xr:uid="{00000000-0004-0000-0400-000079000000}"/>
    <hyperlink ref="C127" r:id="rId123" xr:uid="{00000000-0004-0000-0400-00007A000000}"/>
    <hyperlink ref="C128" r:id="rId124" xr:uid="{00000000-0004-0000-0400-00007B000000}"/>
    <hyperlink ref="C129" r:id="rId125" xr:uid="{00000000-0004-0000-0400-00007C000000}"/>
    <hyperlink ref="C130" r:id="rId126" xr:uid="{00000000-0004-0000-0400-00007D000000}"/>
    <hyperlink ref="C131" r:id="rId127" xr:uid="{00000000-0004-0000-0400-00007E000000}"/>
    <hyperlink ref="C132" r:id="rId128" xr:uid="{00000000-0004-0000-0400-00007F000000}"/>
    <hyperlink ref="C133" r:id="rId129" xr:uid="{00000000-0004-0000-0400-000080000000}"/>
    <hyperlink ref="C134" r:id="rId130" xr:uid="{00000000-0004-0000-0400-000081000000}"/>
    <hyperlink ref="C135" r:id="rId131" xr:uid="{00000000-0004-0000-0400-000082000000}"/>
    <hyperlink ref="C136" r:id="rId132" xr:uid="{00000000-0004-0000-0400-000083000000}"/>
    <hyperlink ref="C137" r:id="rId133" xr:uid="{00000000-0004-0000-0400-000084000000}"/>
    <hyperlink ref="C138" r:id="rId134" xr:uid="{00000000-0004-0000-0400-000085000000}"/>
    <hyperlink ref="C139" r:id="rId135" xr:uid="{00000000-0004-0000-0400-000086000000}"/>
    <hyperlink ref="C140" r:id="rId136" xr:uid="{00000000-0004-0000-0400-000087000000}"/>
    <hyperlink ref="C141" r:id="rId137" xr:uid="{00000000-0004-0000-0400-000088000000}"/>
    <hyperlink ref="C142" r:id="rId138" xr:uid="{00000000-0004-0000-0400-000089000000}"/>
    <hyperlink ref="C143" r:id="rId139" xr:uid="{00000000-0004-0000-0400-00008A000000}"/>
    <hyperlink ref="C144" r:id="rId140" xr:uid="{00000000-0004-0000-0400-00008B000000}"/>
    <hyperlink ref="C145" r:id="rId141" xr:uid="{00000000-0004-0000-0400-00008C000000}"/>
    <hyperlink ref="C146" r:id="rId142" xr:uid="{00000000-0004-0000-0400-00008D000000}"/>
    <hyperlink ref="C147" r:id="rId143" xr:uid="{00000000-0004-0000-0400-00008E000000}"/>
    <hyperlink ref="C148" r:id="rId144" xr:uid="{00000000-0004-0000-0400-00008F000000}"/>
    <hyperlink ref="C149" r:id="rId145" xr:uid="{00000000-0004-0000-0400-000090000000}"/>
    <hyperlink ref="C150" r:id="rId146" xr:uid="{00000000-0004-0000-0400-000091000000}"/>
    <hyperlink ref="C151" r:id="rId147" xr:uid="{00000000-0004-0000-0400-000092000000}"/>
    <hyperlink ref="C152" r:id="rId148" xr:uid="{00000000-0004-0000-0400-000093000000}"/>
    <hyperlink ref="C153" r:id="rId149" xr:uid="{00000000-0004-0000-0400-000094000000}"/>
    <hyperlink ref="C154" r:id="rId150" xr:uid="{00000000-0004-0000-0400-000095000000}"/>
    <hyperlink ref="C155" r:id="rId151" xr:uid="{00000000-0004-0000-0400-000096000000}"/>
    <hyperlink ref="C156" r:id="rId152" xr:uid="{00000000-0004-0000-0400-000097000000}"/>
    <hyperlink ref="C157" r:id="rId153" xr:uid="{00000000-0004-0000-0400-000098000000}"/>
    <hyperlink ref="C158" r:id="rId154" xr:uid="{00000000-0004-0000-0400-000099000000}"/>
    <hyperlink ref="C159" r:id="rId155" xr:uid="{00000000-0004-0000-0400-00009A000000}"/>
    <hyperlink ref="C160" r:id="rId156" xr:uid="{00000000-0004-0000-0400-00009B000000}"/>
    <hyperlink ref="C161" r:id="rId157" xr:uid="{00000000-0004-0000-0400-00009C000000}"/>
    <hyperlink ref="C162" r:id="rId158" xr:uid="{00000000-0004-0000-0400-00009D000000}"/>
    <hyperlink ref="C163" r:id="rId159" xr:uid="{00000000-0004-0000-0400-00009E000000}"/>
    <hyperlink ref="C164" r:id="rId160" xr:uid="{00000000-0004-0000-0400-00009F000000}"/>
    <hyperlink ref="C165" r:id="rId161" xr:uid="{00000000-0004-0000-0400-0000A0000000}"/>
    <hyperlink ref="C166" r:id="rId162" xr:uid="{00000000-0004-0000-0400-0000A1000000}"/>
    <hyperlink ref="C167" r:id="rId163" xr:uid="{00000000-0004-0000-0400-0000A2000000}"/>
    <hyperlink ref="C168" r:id="rId164" xr:uid="{00000000-0004-0000-0400-0000A3000000}"/>
    <hyperlink ref="C169" r:id="rId165" xr:uid="{00000000-0004-0000-0400-0000A4000000}"/>
    <hyperlink ref="C170" r:id="rId166" xr:uid="{00000000-0004-0000-0400-0000A5000000}"/>
    <hyperlink ref="C171" r:id="rId167" xr:uid="{00000000-0004-0000-0400-0000A6000000}"/>
    <hyperlink ref="C172" r:id="rId168" xr:uid="{00000000-0004-0000-0400-0000A7000000}"/>
    <hyperlink ref="C173" r:id="rId169" xr:uid="{00000000-0004-0000-0400-0000A8000000}"/>
    <hyperlink ref="C174" r:id="rId170" xr:uid="{00000000-0004-0000-0400-0000A9000000}"/>
    <hyperlink ref="C175" r:id="rId171" xr:uid="{00000000-0004-0000-0400-0000AA000000}"/>
    <hyperlink ref="C176" r:id="rId172" xr:uid="{00000000-0004-0000-0400-0000AB000000}"/>
    <hyperlink ref="C177" r:id="rId173" xr:uid="{00000000-0004-0000-0400-0000AC000000}"/>
    <hyperlink ref="C178" r:id="rId174" xr:uid="{00000000-0004-0000-0400-0000AD000000}"/>
    <hyperlink ref="C179" r:id="rId175" xr:uid="{00000000-0004-0000-0400-0000AE000000}"/>
    <hyperlink ref="C180" r:id="rId176" xr:uid="{00000000-0004-0000-0400-0000AF000000}"/>
    <hyperlink ref="C181" r:id="rId177" xr:uid="{00000000-0004-0000-0400-0000B0000000}"/>
    <hyperlink ref="C182" r:id="rId178" xr:uid="{00000000-0004-0000-0400-0000B1000000}"/>
    <hyperlink ref="C183" r:id="rId179" xr:uid="{00000000-0004-0000-0400-0000B2000000}"/>
    <hyperlink ref="C184" r:id="rId180" xr:uid="{00000000-0004-0000-0400-0000B3000000}"/>
    <hyperlink ref="C185" r:id="rId181" xr:uid="{00000000-0004-0000-0400-0000B4000000}"/>
    <hyperlink ref="C186" r:id="rId182" xr:uid="{00000000-0004-0000-0400-0000B5000000}"/>
    <hyperlink ref="C187" r:id="rId183" xr:uid="{00000000-0004-0000-0400-0000B6000000}"/>
    <hyperlink ref="C188" r:id="rId184" xr:uid="{00000000-0004-0000-0400-0000B7000000}"/>
    <hyperlink ref="C189" r:id="rId185" xr:uid="{00000000-0004-0000-0400-0000B8000000}"/>
    <hyperlink ref="C190" r:id="rId186" xr:uid="{00000000-0004-0000-0400-0000B9000000}"/>
    <hyperlink ref="C191" r:id="rId187" xr:uid="{00000000-0004-0000-0400-0000BA000000}"/>
    <hyperlink ref="C192" r:id="rId188" xr:uid="{00000000-0004-0000-0400-0000BB000000}"/>
    <hyperlink ref="C193" r:id="rId189" xr:uid="{00000000-0004-0000-0400-0000BC000000}"/>
    <hyperlink ref="C194" r:id="rId190" xr:uid="{00000000-0004-0000-0400-0000BD000000}"/>
    <hyperlink ref="C195" r:id="rId191" xr:uid="{00000000-0004-0000-0400-0000BE000000}"/>
    <hyperlink ref="C196" r:id="rId192" xr:uid="{00000000-0004-0000-0400-0000BF000000}"/>
    <hyperlink ref="C197" r:id="rId193" xr:uid="{00000000-0004-0000-0400-0000C0000000}"/>
    <hyperlink ref="C198" r:id="rId194" xr:uid="{00000000-0004-0000-0400-0000C1000000}"/>
    <hyperlink ref="C199" r:id="rId195" xr:uid="{00000000-0004-0000-0400-0000C2000000}"/>
    <hyperlink ref="C200" r:id="rId196" xr:uid="{00000000-0004-0000-0400-0000C3000000}"/>
    <hyperlink ref="C201" r:id="rId197" xr:uid="{00000000-0004-0000-0400-0000C4000000}"/>
    <hyperlink ref="C202" r:id="rId198" xr:uid="{00000000-0004-0000-0400-0000C5000000}"/>
    <hyperlink ref="C203" r:id="rId199" xr:uid="{00000000-0004-0000-0400-0000C6000000}"/>
    <hyperlink ref="C204" r:id="rId200" xr:uid="{00000000-0004-0000-0400-0000C7000000}"/>
    <hyperlink ref="C205" r:id="rId201" xr:uid="{00000000-0004-0000-0400-0000C8000000}"/>
    <hyperlink ref="C206" r:id="rId202" xr:uid="{00000000-0004-0000-0400-0000C9000000}"/>
    <hyperlink ref="C207" r:id="rId203" xr:uid="{00000000-0004-0000-0400-0000CA000000}"/>
    <hyperlink ref="C208" r:id="rId204" xr:uid="{00000000-0004-0000-0400-0000CB000000}"/>
    <hyperlink ref="C209" r:id="rId205" xr:uid="{00000000-0004-0000-0400-0000CC000000}"/>
    <hyperlink ref="C210" r:id="rId206" xr:uid="{00000000-0004-0000-0400-0000CD000000}"/>
    <hyperlink ref="C211" r:id="rId207" xr:uid="{00000000-0004-0000-0400-0000CE000000}"/>
    <hyperlink ref="C212" r:id="rId208" xr:uid="{00000000-0004-0000-0400-0000CF000000}"/>
    <hyperlink ref="C213" r:id="rId209" xr:uid="{00000000-0004-0000-0400-0000D0000000}"/>
    <hyperlink ref="C214" r:id="rId210" xr:uid="{00000000-0004-0000-0400-0000D1000000}"/>
    <hyperlink ref="C215" r:id="rId211" xr:uid="{00000000-0004-0000-0400-0000D2000000}"/>
    <hyperlink ref="C216" r:id="rId212" xr:uid="{00000000-0004-0000-0400-0000D3000000}"/>
    <hyperlink ref="C217" r:id="rId213" xr:uid="{00000000-0004-0000-0400-0000D4000000}"/>
    <hyperlink ref="C218" r:id="rId214" xr:uid="{00000000-0004-0000-0400-0000D5000000}"/>
    <hyperlink ref="C219" r:id="rId215" xr:uid="{00000000-0004-0000-0400-0000D6000000}"/>
    <hyperlink ref="C220" r:id="rId216" xr:uid="{00000000-0004-0000-0400-0000D7000000}"/>
    <hyperlink ref="C221" r:id="rId217" xr:uid="{00000000-0004-0000-0400-0000D8000000}"/>
    <hyperlink ref="C222" r:id="rId218" xr:uid="{00000000-0004-0000-0400-0000D9000000}"/>
    <hyperlink ref="C223" r:id="rId219" xr:uid="{00000000-0004-0000-0400-0000DA000000}"/>
    <hyperlink ref="C224" r:id="rId220" xr:uid="{00000000-0004-0000-0400-0000DB000000}"/>
    <hyperlink ref="C225" r:id="rId221" xr:uid="{00000000-0004-0000-0400-0000DC000000}"/>
    <hyperlink ref="C226" r:id="rId222" xr:uid="{00000000-0004-0000-0400-0000DD000000}"/>
    <hyperlink ref="C227" r:id="rId223" xr:uid="{00000000-0004-0000-0400-0000DE000000}"/>
    <hyperlink ref="C228" r:id="rId224" xr:uid="{00000000-0004-0000-0400-0000DF000000}"/>
    <hyperlink ref="C229" r:id="rId225" xr:uid="{00000000-0004-0000-0400-0000E0000000}"/>
    <hyperlink ref="C230" r:id="rId226" xr:uid="{00000000-0004-0000-0400-0000E1000000}"/>
    <hyperlink ref="C231" r:id="rId227" xr:uid="{00000000-0004-0000-0400-0000E2000000}"/>
    <hyperlink ref="C232" r:id="rId228" xr:uid="{00000000-0004-0000-0400-0000E3000000}"/>
    <hyperlink ref="C233" r:id="rId229" xr:uid="{00000000-0004-0000-0400-0000E4000000}"/>
    <hyperlink ref="C234" r:id="rId230" xr:uid="{00000000-0004-0000-0400-0000E5000000}"/>
    <hyperlink ref="C235" r:id="rId231" xr:uid="{00000000-0004-0000-0400-0000E6000000}"/>
    <hyperlink ref="C236" r:id="rId232" xr:uid="{00000000-0004-0000-0400-0000E7000000}"/>
    <hyperlink ref="C237" r:id="rId233" xr:uid="{00000000-0004-0000-0400-0000E8000000}"/>
    <hyperlink ref="C238" r:id="rId234" xr:uid="{00000000-0004-0000-0400-0000E9000000}"/>
    <hyperlink ref="C239" r:id="rId235" xr:uid="{00000000-0004-0000-0400-0000EA000000}"/>
    <hyperlink ref="C240" r:id="rId236" xr:uid="{00000000-0004-0000-0400-0000EB000000}"/>
    <hyperlink ref="C241" r:id="rId237" xr:uid="{00000000-0004-0000-0400-0000EC000000}"/>
    <hyperlink ref="C242" r:id="rId238" xr:uid="{00000000-0004-0000-0400-0000ED000000}"/>
    <hyperlink ref="C243" r:id="rId239" xr:uid="{00000000-0004-0000-0400-0000EE000000}"/>
    <hyperlink ref="C244" r:id="rId240" xr:uid="{00000000-0004-0000-0400-0000EF000000}"/>
    <hyperlink ref="C245" r:id="rId241" xr:uid="{00000000-0004-0000-0400-0000F0000000}"/>
    <hyperlink ref="C246" r:id="rId242" xr:uid="{00000000-0004-0000-0400-0000F1000000}"/>
    <hyperlink ref="C247" r:id="rId243" xr:uid="{00000000-0004-0000-0400-0000F2000000}"/>
    <hyperlink ref="C248" r:id="rId244" xr:uid="{00000000-0004-0000-0400-0000F3000000}"/>
    <hyperlink ref="C249" r:id="rId245" xr:uid="{00000000-0004-0000-0400-0000F4000000}"/>
    <hyperlink ref="C250" r:id="rId246" xr:uid="{00000000-0004-0000-0400-0000F5000000}"/>
    <hyperlink ref="C251" r:id="rId247" xr:uid="{00000000-0004-0000-0400-0000F6000000}"/>
    <hyperlink ref="C252" r:id="rId248" xr:uid="{00000000-0004-0000-0400-0000F7000000}"/>
    <hyperlink ref="C253" r:id="rId249" xr:uid="{00000000-0004-0000-0400-0000F8000000}"/>
    <hyperlink ref="C254" r:id="rId250" xr:uid="{00000000-0004-0000-0400-0000F9000000}"/>
    <hyperlink ref="C255" r:id="rId251" xr:uid="{00000000-0004-0000-0400-0000FA000000}"/>
    <hyperlink ref="C256" r:id="rId252" xr:uid="{00000000-0004-0000-0400-0000FB000000}"/>
    <hyperlink ref="C257" r:id="rId253" xr:uid="{00000000-0004-0000-0400-0000FC000000}"/>
    <hyperlink ref="C258" r:id="rId254" xr:uid="{00000000-0004-0000-0400-0000FD000000}"/>
    <hyperlink ref="C259" r:id="rId255" xr:uid="{00000000-0004-0000-0400-0000FE000000}"/>
    <hyperlink ref="C260" r:id="rId256" xr:uid="{00000000-0004-0000-0400-0000FF000000}"/>
    <hyperlink ref="C261" r:id="rId257" xr:uid="{00000000-0004-0000-0400-000000010000}"/>
    <hyperlink ref="C262" r:id="rId258" xr:uid="{00000000-0004-0000-0400-000001010000}"/>
    <hyperlink ref="C263" r:id="rId259" xr:uid="{00000000-0004-0000-0400-000002010000}"/>
    <hyperlink ref="C264" r:id="rId260" xr:uid="{00000000-0004-0000-0400-000003010000}"/>
    <hyperlink ref="C265" r:id="rId261" xr:uid="{00000000-0004-0000-0400-000004010000}"/>
    <hyperlink ref="C266" r:id="rId262" xr:uid="{00000000-0004-0000-0400-000005010000}"/>
    <hyperlink ref="C267" r:id="rId263" xr:uid="{00000000-0004-0000-0400-000006010000}"/>
    <hyperlink ref="C268" r:id="rId264" xr:uid="{00000000-0004-0000-0400-000007010000}"/>
    <hyperlink ref="C269" r:id="rId265" xr:uid="{00000000-0004-0000-0400-000008010000}"/>
    <hyperlink ref="C270" r:id="rId266" xr:uid="{00000000-0004-0000-0400-000009010000}"/>
    <hyperlink ref="C271" r:id="rId267" xr:uid="{00000000-0004-0000-0400-00000A010000}"/>
    <hyperlink ref="C272" r:id="rId268" xr:uid="{00000000-0004-0000-0400-00000B010000}"/>
    <hyperlink ref="C273" r:id="rId269" xr:uid="{00000000-0004-0000-0400-00000C010000}"/>
    <hyperlink ref="C274" r:id="rId270" xr:uid="{00000000-0004-0000-0400-00000D010000}"/>
    <hyperlink ref="C275" r:id="rId271" xr:uid="{00000000-0004-0000-0400-00000E010000}"/>
    <hyperlink ref="C276" r:id="rId272" xr:uid="{00000000-0004-0000-0400-00000F010000}"/>
    <hyperlink ref="C277" r:id="rId273" xr:uid="{00000000-0004-0000-0400-000010010000}"/>
    <hyperlink ref="C278" r:id="rId274" xr:uid="{00000000-0004-0000-0400-000011010000}"/>
    <hyperlink ref="C279" r:id="rId275" xr:uid="{00000000-0004-0000-0400-000012010000}"/>
    <hyperlink ref="C280" r:id="rId276" xr:uid="{00000000-0004-0000-0400-000013010000}"/>
    <hyperlink ref="C281" r:id="rId277" xr:uid="{00000000-0004-0000-0400-000014010000}"/>
    <hyperlink ref="C282" r:id="rId278" xr:uid="{00000000-0004-0000-0400-000015010000}"/>
    <hyperlink ref="C283" r:id="rId279" xr:uid="{00000000-0004-0000-0400-000016010000}"/>
    <hyperlink ref="C284" r:id="rId280" xr:uid="{00000000-0004-0000-0400-000017010000}"/>
    <hyperlink ref="C285" r:id="rId281" xr:uid="{00000000-0004-0000-0400-000018010000}"/>
    <hyperlink ref="C286" r:id="rId282" xr:uid="{00000000-0004-0000-0400-000019010000}"/>
    <hyperlink ref="C287" r:id="rId283" xr:uid="{00000000-0004-0000-0400-00001A010000}"/>
    <hyperlink ref="C288" r:id="rId284" xr:uid="{00000000-0004-0000-0400-00001B010000}"/>
    <hyperlink ref="C289" r:id="rId285" xr:uid="{00000000-0004-0000-0400-00001C010000}"/>
    <hyperlink ref="C290" r:id="rId286" xr:uid="{00000000-0004-0000-0400-00001D010000}"/>
    <hyperlink ref="C291" r:id="rId287" xr:uid="{00000000-0004-0000-0400-00001E010000}"/>
    <hyperlink ref="C292" r:id="rId288" xr:uid="{00000000-0004-0000-0400-00001F010000}"/>
    <hyperlink ref="C293" r:id="rId289" xr:uid="{00000000-0004-0000-0400-000020010000}"/>
    <hyperlink ref="C294" r:id="rId290" xr:uid="{00000000-0004-0000-0400-000021010000}"/>
    <hyperlink ref="C295" r:id="rId291" xr:uid="{00000000-0004-0000-0400-000022010000}"/>
    <hyperlink ref="C296" r:id="rId292" xr:uid="{00000000-0004-0000-0400-000023010000}"/>
    <hyperlink ref="C297" r:id="rId293" xr:uid="{00000000-0004-0000-0400-000024010000}"/>
    <hyperlink ref="C298" r:id="rId294" xr:uid="{00000000-0004-0000-0400-000025010000}"/>
    <hyperlink ref="C299" r:id="rId295" xr:uid="{00000000-0004-0000-0400-000026010000}"/>
    <hyperlink ref="C300" r:id="rId296" xr:uid="{00000000-0004-0000-0400-000027010000}"/>
    <hyperlink ref="C301" r:id="rId297" xr:uid="{00000000-0004-0000-0400-000028010000}"/>
    <hyperlink ref="C302" r:id="rId298" xr:uid="{00000000-0004-0000-0400-000029010000}"/>
    <hyperlink ref="C303" r:id="rId299" xr:uid="{00000000-0004-0000-0400-00002A010000}"/>
    <hyperlink ref="C304" r:id="rId300" xr:uid="{00000000-0004-0000-0400-00002B010000}"/>
    <hyperlink ref="C305" r:id="rId301" xr:uid="{00000000-0004-0000-0400-00002C010000}"/>
    <hyperlink ref="C306" r:id="rId302" xr:uid="{00000000-0004-0000-0400-00002D010000}"/>
    <hyperlink ref="C307" r:id="rId303" xr:uid="{00000000-0004-0000-0400-00002E010000}"/>
    <hyperlink ref="C308" r:id="rId304" xr:uid="{00000000-0004-0000-0400-00002F010000}"/>
    <hyperlink ref="C309" r:id="rId305" xr:uid="{00000000-0004-0000-0400-000030010000}"/>
    <hyperlink ref="C310" r:id="rId306" xr:uid="{00000000-0004-0000-0400-000031010000}"/>
    <hyperlink ref="C311" r:id="rId307" xr:uid="{00000000-0004-0000-0400-000032010000}"/>
    <hyperlink ref="C312" r:id="rId308" xr:uid="{00000000-0004-0000-0400-000033010000}"/>
    <hyperlink ref="C313" r:id="rId309" xr:uid="{00000000-0004-0000-0400-000034010000}"/>
    <hyperlink ref="C314" r:id="rId310" xr:uid="{00000000-0004-0000-0400-000035010000}"/>
    <hyperlink ref="C315" r:id="rId311" xr:uid="{00000000-0004-0000-0400-000036010000}"/>
    <hyperlink ref="C316" r:id="rId312" xr:uid="{00000000-0004-0000-0400-000037010000}"/>
    <hyperlink ref="C317" r:id="rId313" xr:uid="{00000000-0004-0000-0400-000038010000}"/>
    <hyperlink ref="C318" r:id="rId314" xr:uid="{00000000-0004-0000-0400-000039010000}"/>
    <hyperlink ref="C319" r:id="rId315" xr:uid="{00000000-0004-0000-0400-00003A010000}"/>
    <hyperlink ref="C320" r:id="rId316" xr:uid="{00000000-0004-0000-0400-00003B010000}"/>
    <hyperlink ref="C321" r:id="rId317" xr:uid="{00000000-0004-0000-0400-00003C010000}"/>
    <hyperlink ref="C322" r:id="rId318" xr:uid="{00000000-0004-0000-0400-00003D010000}"/>
    <hyperlink ref="C323" r:id="rId319" xr:uid="{00000000-0004-0000-0400-00003E010000}"/>
    <hyperlink ref="C324" r:id="rId320" xr:uid="{00000000-0004-0000-0400-00003F010000}"/>
    <hyperlink ref="C325" r:id="rId321" xr:uid="{00000000-0004-0000-0400-000040010000}"/>
    <hyperlink ref="C326" r:id="rId322" xr:uid="{00000000-0004-0000-0400-000041010000}"/>
    <hyperlink ref="C327" r:id="rId323" xr:uid="{00000000-0004-0000-0400-000042010000}"/>
    <hyperlink ref="C328" r:id="rId324" xr:uid="{00000000-0004-0000-0400-000043010000}"/>
    <hyperlink ref="C329" r:id="rId325" xr:uid="{00000000-0004-0000-0400-000044010000}"/>
    <hyperlink ref="C330" r:id="rId326" xr:uid="{00000000-0004-0000-0400-000045010000}"/>
    <hyperlink ref="C331" r:id="rId327" xr:uid="{00000000-0004-0000-0400-000046010000}"/>
    <hyperlink ref="C332" r:id="rId328" xr:uid="{00000000-0004-0000-0400-000047010000}"/>
    <hyperlink ref="C333" r:id="rId329" xr:uid="{00000000-0004-0000-0400-000048010000}"/>
    <hyperlink ref="C334" r:id="rId330" xr:uid="{00000000-0004-0000-0400-000049010000}"/>
    <hyperlink ref="C335" r:id="rId331" xr:uid="{00000000-0004-0000-0400-00004A010000}"/>
    <hyperlink ref="C336" r:id="rId332" xr:uid="{00000000-0004-0000-0400-00004B010000}"/>
    <hyperlink ref="C337" r:id="rId333" xr:uid="{00000000-0004-0000-0400-00004C010000}"/>
    <hyperlink ref="C338" r:id="rId334" xr:uid="{00000000-0004-0000-0400-00004D010000}"/>
    <hyperlink ref="C339" r:id="rId335" xr:uid="{00000000-0004-0000-0400-00004E010000}"/>
    <hyperlink ref="C340" r:id="rId336" xr:uid="{00000000-0004-0000-0400-00004F010000}"/>
    <hyperlink ref="C341" r:id="rId337" xr:uid="{00000000-0004-0000-0400-000050010000}"/>
    <hyperlink ref="C342" r:id="rId338" xr:uid="{00000000-0004-0000-0400-000051010000}"/>
    <hyperlink ref="C343" r:id="rId339" xr:uid="{00000000-0004-0000-0400-000052010000}"/>
    <hyperlink ref="C344" r:id="rId340" xr:uid="{00000000-0004-0000-0400-000053010000}"/>
    <hyperlink ref="C345" r:id="rId341" xr:uid="{00000000-0004-0000-0400-000054010000}"/>
    <hyperlink ref="C346" r:id="rId342" xr:uid="{00000000-0004-0000-0400-000055010000}"/>
    <hyperlink ref="C347" r:id="rId343" xr:uid="{00000000-0004-0000-0400-000056010000}"/>
    <hyperlink ref="C348" r:id="rId344" xr:uid="{00000000-0004-0000-0400-000057010000}"/>
    <hyperlink ref="C349" r:id="rId345" xr:uid="{00000000-0004-0000-0400-000058010000}"/>
    <hyperlink ref="C350" r:id="rId346" xr:uid="{00000000-0004-0000-0400-000059010000}"/>
    <hyperlink ref="C351" r:id="rId347" xr:uid="{00000000-0004-0000-0400-00005A010000}"/>
    <hyperlink ref="C352" r:id="rId348" xr:uid="{00000000-0004-0000-0400-00005B010000}"/>
    <hyperlink ref="C353" r:id="rId349" xr:uid="{00000000-0004-0000-0400-00005C010000}"/>
    <hyperlink ref="C354" r:id="rId350" xr:uid="{00000000-0004-0000-0400-00005D010000}"/>
    <hyperlink ref="C355" r:id="rId351" xr:uid="{00000000-0004-0000-0400-00005E010000}"/>
    <hyperlink ref="C356" r:id="rId352" xr:uid="{00000000-0004-0000-0400-00005F010000}"/>
    <hyperlink ref="C357" r:id="rId353" xr:uid="{00000000-0004-0000-0400-000060010000}"/>
    <hyperlink ref="C358" r:id="rId354" xr:uid="{00000000-0004-0000-0400-000061010000}"/>
    <hyperlink ref="C359" r:id="rId355" xr:uid="{00000000-0004-0000-0400-000062010000}"/>
    <hyperlink ref="C360" r:id="rId356" xr:uid="{00000000-0004-0000-0400-000063010000}"/>
    <hyperlink ref="C361" r:id="rId357" xr:uid="{00000000-0004-0000-0400-000064010000}"/>
    <hyperlink ref="C362" r:id="rId358" xr:uid="{00000000-0004-0000-0400-000065010000}"/>
    <hyperlink ref="C363" r:id="rId359" xr:uid="{00000000-0004-0000-0400-000066010000}"/>
    <hyperlink ref="C364" r:id="rId360" xr:uid="{00000000-0004-0000-0400-000067010000}"/>
    <hyperlink ref="C365" r:id="rId361" xr:uid="{00000000-0004-0000-0400-000068010000}"/>
    <hyperlink ref="C366" r:id="rId362" xr:uid="{00000000-0004-0000-0400-000069010000}"/>
    <hyperlink ref="C367" r:id="rId363" xr:uid="{00000000-0004-0000-0400-00006A010000}"/>
    <hyperlink ref="C368" r:id="rId364" xr:uid="{00000000-0004-0000-0400-00006B010000}"/>
    <hyperlink ref="C369" r:id="rId365" xr:uid="{00000000-0004-0000-0400-00006C010000}"/>
    <hyperlink ref="C370" r:id="rId366" xr:uid="{00000000-0004-0000-0400-00006D010000}"/>
    <hyperlink ref="C371" r:id="rId367" xr:uid="{00000000-0004-0000-0400-00006E010000}"/>
    <hyperlink ref="C372" r:id="rId368" xr:uid="{00000000-0004-0000-0400-00006F010000}"/>
    <hyperlink ref="C373" r:id="rId369" xr:uid="{00000000-0004-0000-0400-000070010000}"/>
    <hyperlink ref="C374" r:id="rId370" xr:uid="{00000000-0004-0000-0400-000071010000}"/>
    <hyperlink ref="C375" r:id="rId371" xr:uid="{00000000-0004-0000-0400-000072010000}"/>
    <hyperlink ref="C376" r:id="rId372" xr:uid="{00000000-0004-0000-0400-000073010000}"/>
    <hyperlink ref="C377" r:id="rId373" xr:uid="{00000000-0004-0000-0400-000074010000}"/>
    <hyperlink ref="C378" r:id="rId374" xr:uid="{00000000-0004-0000-0400-000075010000}"/>
    <hyperlink ref="C379" r:id="rId375" xr:uid="{00000000-0004-0000-0400-000076010000}"/>
    <hyperlink ref="C380" r:id="rId376" xr:uid="{00000000-0004-0000-0400-000077010000}"/>
    <hyperlink ref="C381" r:id="rId377" xr:uid="{00000000-0004-0000-0400-000078010000}"/>
    <hyperlink ref="C382" r:id="rId378" xr:uid="{00000000-0004-0000-0400-000079010000}"/>
    <hyperlink ref="C383" r:id="rId379" xr:uid="{00000000-0004-0000-0400-00007A010000}"/>
    <hyperlink ref="C384" r:id="rId380" xr:uid="{00000000-0004-0000-0400-00007B010000}"/>
    <hyperlink ref="C385" r:id="rId381" xr:uid="{00000000-0004-0000-0400-00007C010000}"/>
    <hyperlink ref="C386" r:id="rId382" xr:uid="{00000000-0004-0000-0400-00007D010000}"/>
    <hyperlink ref="C387" r:id="rId383" xr:uid="{00000000-0004-0000-0400-00007E010000}"/>
    <hyperlink ref="C388" r:id="rId384" xr:uid="{00000000-0004-0000-0400-00007F010000}"/>
    <hyperlink ref="C389" r:id="rId385" xr:uid="{00000000-0004-0000-0400-000080010000}"/>
    <hyperlink ref="C390" r:id="rId386" xr:uid="{00000000-0004-0000-0400-000081010000}"/>
    <hyperlink ref="C391" r:id="rId387" xr:uid="{00000000-0004-0000-0400-000082010000}"/>
    <hyperlink ref="C392" r:id="rId388" xr:uid="{00000000-0004-0000-0400-000083010000}"/>
    <hyperlink ref="C393" r:id="rId389" xr:uid="{00000000-0004-0000-0400-000084010000}"/>
    <hyperlink ref="C394" r:id="rId390" xr:uid="{00000000-0004-0000-0400-000085010000}"/>
    <hyperlink ref="C395" r:id="rId391" xr:uid="{00000000-0004-0000-0400-000086010000}"/>
    <hyperlink ref="C396" r:id="rId392" xr:uid="{00000000-0004-0000-0400-000087010000}"/>
    <hyperlink ref="C397" r:id="rId393" xr:uid="{00000000-0004-0000-0400-000088010000}"/>
    <hyperlink ref="C398" r:id="rId394" xr:uid="{00000000-0004-0000-0400-000089010000}"/>
    <hyperlink ref="C399" r:id="rId395" xr:uid="{00000000-0004-0000-0400-00008A010000}"/>
    <hyperlink ref="C400" r:id="rId396" xr:uid="{00000000-0004-0000-0400-00008B010000}"/>
    <hyperlink ref="C401" r:id="rId397" xr:uid="{00000000-0004-0000-0400-00008C010000}"/>
    <hyperlink ref="C402" r:id="rId398" xr:uid="{00000000-0004-0000-0400-00008D010000}"/>
    <hyperlink ref="C403" r:id="rId399" xr:uid="{00000000-0004-0000-0400-00008E010000}"/>
    <hyperlink ref="C404" r:id="rId400" xr:uid="{00000000-0004-0000-0400-00008F010000}"/>
    <hyperlink ref="C405" r:id="rId401" xr:uid="{00000000-0004-0000-0400-000090010000}"/>
    <hyperlink ref="C406" r:id="rId402" xr:uid="{00000000-0004-0000-0400-000091010000}"/>
    <hyperlink ref="C407" r:id="rId403" xr:uid="{00000000-0004-0000-0400-000092010000}"/>
    <hyperlink ref="C408" r:id="rId404" xr:uid="{00000000-0004-0000-0400-000093010000}"/>
    <hyperlink ref="C409" r:id="rId405" xr:uid="{00000000-0004-0000-0400-000094010000}"/>
    <hyperlink ref="C410" r:id="rId406" xr:uid="{00000000-0004-0000-0400-000095010000}"/>
    <hyperlink ref="C411" r:id="rId407" xr:uid="{00000000-0004-0000-0400-000096010000}"/>
    <hyperlink ref="C412" r:id="rId408" xr:uid="{00000000-0004-0000-0400-000097010000}"/>
    <hyperlink ref="C413" r:id="rId409" xr:uid="{00000000-0004-0000-0400-000098010000}"/>
    <hyperlink ref="C414" r:id="rId410" xr:uid="{00000000-0004-0000-0400-000099010000}"/>
    <hyperlink ref="C415" r:id="rId411" xr:uid="{00000000-0004-0000-0400-00009A010000}"/>
    <hyperlink ref="C416" r:id="rId412" xr:uid="{00000000-0004-0000-0400-00009B010000}"/>
    <hyperlink ref="C417" r:id="rId413" xr:uid="{00000000-0004-0000-0400-00009C010000}"/>
    <hyperlink ref="C418" r:id="rId414" xr:uid="{00000000-0004-0000-0400-00009D010000}"/>
    <hyperlink ref="C419" r:id="rId415" xr:uid="{00000000-0004-0000-0400-00009E010000}"/>
    <hyperlink ref="C420" r:id="rId416" xr:uid="{00000000-0004-0000-0400-00009F010000}"/>
    <hyperlink ref="C421" r:id="rId417" xr:uid="{00000000-0004-0000-0400-0000A0010000}"/>
    <hyperlink ref="C422" r:id="rId418" xr:uid="{00000000-0004-0000-0400-0000A1010000}"/>
    <hyperlink ref="C423" r:id="rId419" xr:uid="{00000000-0004-0000-0400-0000A2010000}"/>
    <hyperlink ref="C424" r:id="rId420" xr:uid="{00000000-0004-0000-0400-0000A3010000}"/>
    <hyperlink ref="C425" r:id="rId421" xr:uid="{00000000-0004-0000-0400-0000A4010000}"/>
    <hyperlink ref="C426" r:id="rId422" xr:uid="{00000000-0004-0000-0400-0000A5010000}"/>
    <hyperlink ref="C427" r:id="rId423" xr:uid="{00000000-0004-0000-0400-0000A6010000}"/>
    <hyperlink ref="C428" r:id="rId424" xr:uid="{00000000-0004-0000-0400-0000A7010000}"/>
    <hyperlink ref="C429" r:id="rId425" xr:uid="{00000000-0004-0000-0400-0000A8010000}"/>
    <hyperlink ref="C430" r:id="rId426" xr:uid="{00000000-0004-0000-0400-0000A9010000}"/>
    <hyperlink ref="C431" r:id="rId427" xr:uid="{00000000-0004-0000-0400-0000AA010000}"/>
    <hyperlink ref="C432" r:id="rId428" xr:uid="{00000000-0004-0000-0400-0000AB010000}"/>
    <hyperlink ref="C433" r:id="rId429" xr:uid="{00000000-0004-0000-0400-0000AC010000}"/>
    <hyperlink ref="C434" r:id="rId430" xr:uid="{00000000-0004-0000-0400-0000AD010000}"/>
    <hyperlink ref="C435" r:id="rId431" xr:uid="{00000000-0004-0000-0400-0000AE010000}"/>
    <hyperlink ref="C436" r:id="rId432" xr:uid="{00000000-0004-0000-0400-0000AF010000}"/>
    <hyperlink ref="C437" r:id="rId433" xr:uid="{00000000-0004-0000-0400-0000B0010000}"/>
    <hyperlink ref="C438" r:id="rId434" xr:uid="{00000000-0004-0000-0400-0000B1010000}"/>
    <hyperlink ref="C439" r:id="rId435" xr:uid="{00000000-0004-0000-0400-0000B2010000}"/>
    <hyperlink ref="C440" r:id="rId436" xr:uid="{00000000-0004-0000-0400-0000B3010000}"/>
    <hyperlink ref="C441" r:id="rId437" xr:uid="{00000000-0004-0000-0400-0000B4010000}"/>
    <hyperlink ref="C442" r:id="rId438" xr:uid="{00000000-0004-0000-0400-0000B5010000}"/>
    <hyperlink ref="C443" r:id="rId439" xr:uid="{00000000-0004-0000-0400-0000B6010000}"/>
    <hyperlink ref="C444" r:id="rId440" xr:uid="{00000000-0004-0000-0400-0000B7010000}"/>
    <hyperlink ref="C445" r:id="rId441" xr:uid="{00000000-0004-0000-0400-0000B8010000}"/>
    <hyperlink ref="C446" r:id="rId442" xr:uid="{00000000-0004-0000-0400-0000B9010000}"/>
    <hyperlink ref="C447" r:id="rId443" xr:uid="{00000000-0004-0000-0400-0000BA010000}"/>
    <hyperlink ref="C448" r:id="rId444" xr:uid="{00000000-0004-0000-0400-0000BB010000}"/>
    <hyperlink ref="C449" r:id="rId445" xr:uid="{00000000-0004-0000-0400-0000BC010000}"/>
    <hyperlink ref="C450" r:id="rId446" xr:uid="{00000000-0004-0000-0400-0000BD010000}"/>
    <hyperlink ref="C451" r:id="rId447" xr:uid="{00000000-0004-0000-0400-0000BE010000}"/>
    <hyperlink ref="C452" r:id="rId448" xr:uid="{00000000-0004-0000-0400-0000BF010000}"/>
    <hyperlink ref="C453" r:id="rId449" xr:uid="{00000000-0004-0000-0400-0000C0010000}"/>
    <hyperlink ref="C454" r:id="rId450" xr:uid="{00000000-0004-0000-0400-0000C1010000}"/>
    <hyperlink ref="C455" r:id="rId451" xr:uid="{00000000-0004-0000-0400-0000C2010000}"/>
    <hyperlink ref="C456" r:id="rId452" xr:uid="{00000000-0004-0000-0400-0000C3010000}"/>
    <hyperlink ref="C457" r:id="rId453" xr:uid="{00000000-0004-0000-0400-0000C4010000}"/>
    <hyperlink ref="C458" r:id="rId454" xr:uid="{00000000-0004-0000-0400-0000C5010000}"/>
    <hyperlink ref="C459" r:id="rId455" xr:uid="{00000000-0004-0000-0400-0000C6010000}"/>
    <hyperlink ref="C460" r:id="rId456" xr:uid="{00000000-0004-0000-0400-0000C7010000}"/>
    <hyperlink ref="C461" r:id="rId457" xr:uid="{00000000-0004-0000-0400-0000C8010000}"/>
    <hyperlink ref="C462" r:id="rId458" xr:uid="{00000000-0004-0000-0400-0000C9010000}"/>
    <hyperlink ref="C463" r:id="rId459" xr:uid="{00000000-0004-0000-0400-0000CA010000}"/>
    <hyperlink ref="C464" r:id="rId460" xr:uid="{00000000-0004-0000-0400-0000CB010000}"/>
    <hyperlink ref="C465" r:id="rId461" xr:uid="{00000000-0004-0000-0400-0000CC010000}"/>
    <hyperlink ref="C466" r:id="rId462" xr:uid="{00000000-0004-0000-0400-0000CD010000}"/>
    <hyperlink ref="C467" r:id="rId463" xr:uid="{00000000-0004-0000-0400-0000CE010000}"/>
    <hyperlink ref="C468" r:id="rId464" xr:uid="{00000000-0004-0000-0400-0000CF010000}"/>
    <hyperlink ref="C469" r:id="rId465" xr:uid="{00000000-0004-0000-0400-0000D0010000}"/>
    <hyperlink ref="C470" r:id="rId466" xr:uid="{00000000-0004-0000-0400-0000D1010000}"/>
    <hyperlink ref="C471" r:id="rId467" xr:uid="{00000000-0004-0000-0400-0000D2010000}"/>
    <hyperlink ref="C472" r:id="rId468" xr:uid="{00000000-0004-0000-0400-0000D3010000}"/>
    <hyperlink ref="C473" r:id="rId469" xr:uid="{00000000-0004-0000-0400-0000D4010000}"/>
    <hyperlink ref="C474" r:id="rId470" xr:uid="{00000000-0004-0000-0400-0000D5010000}"/>
    <hyperlink ref="C475" r:id="rId471" xr:uid="{00000000-0004-0000-0400-0000D6010000}"/>
    <hyperlink ref="C476" r:id="rId472" xr:uid="{00000000-0004-0000-0400-0000D7010000}"/>
    <hyperlink ref="C477" r:id="rId473" xr:uid="{00000000-0004-0000-0400-0000D8010000}"/>
    <hyperlink ref="C478" r:id="rId474" xr:uid="{00000000-0004-0000-0400-0000D9010000}"/>
    <hyperlink ref="C479" r:id="rId475" xr:uid="{00000000-0004-0000-0400-0000DA010000}"/>
    <hyperlink ref="C480" r:id="rId476" xr:uid="{00000000-0004-0000-0400-0000DB010000}"/>
    <hyperlink ref="C481" r:id="rId477" xr:uid="{00000000-0004-0000-0400-0000DC010000}"/>
    <hyperlink ref="C482" r:id="rId478" xr:uid="{00000000-0004-0000-0400-0000DD010000}"/>
    <hyperlink ref="C483" r:id="rId479" xr:uid="{00000000-0004-0000-0400-0000DE010000}"/>
    <hyperlink ref="C484" r:id="rId480" xr:uid="{00000000-0004-0000-0400-0000DF010000}"/>
    <hyperlink ref="C485" r:id="rId481" xr:uid="{00000000-0004-0000-0400-0000E0010000}"/>
    <hyperlink ref="C486" r:id="rId482" xr:uid="{00000000-0004-0000-0400-0000E1010000}"/>
    <hyperlink ref="C487" r:id="rId483" xr:uid="{00000000-0004-0000-0400-0000E2010000}"/>
    <hyperlink ref="C488" r:id="rId484" xr:uid="{00000000-0004-0000-0400-0000E3010000}"/>
    <hyperlink ref="C489" r:id="rId485" xr:uid="{00000000-0004-0000-0400-0000E4010000}"/>
    <hyperlink ref="C490" r:id="rId486" xr:uid="{00000000-0004-0000-0400-0000E5010000}"/>
    <hyperlink ref="C491" r:id="rId487" xr:uid="{00000000-0004-0000-0400-0000E6010000}"/>
    <hyperlink ref="C492" r:id="rId488" xr:uid="{00000000-0004-0000-0400-0000E7010000}"/>
    <hyperlink ref="C493" r:id="rId489" xr:uid="{00000000-0004-0000-0400-0000E8010000}"/>
    <hyperlink ref="C494" r:id="rId490" xr:uid="{00000000-0004-0000-0400-0000E9010000}"/>
    <hyperlink ref="C495" r:id="rId491" xr:uid="{00000000-0004-0000-0400-0000EA010000}"/>
    <hyperlink ref="C496" r:id="rId492" xr:uid="{00000000-0004-0000-0400-0000EB010000}"/>
    <hyperlink ref="C497" r:id="rId493" xr:uid="{00000000-0004-0000-0400-0000EC010000}"/>
    <hyperlink ref="C498" r:id="rId494" xr:uid="{00000000-0004-0000-0400-0000ED010000}"/>
    <hyperlink ref="C499" r:id="rId495" xr:uid="{00000000-0004-0000-0400-0000EE010000}"/>
    <hyperlink ref="C500" r:id="rId496" xr:uid="{00000000-0004-0000-0400-0000EF010000}"/>
    <hyperlink ref="C501" r:id="rId497" xr:uid="{00000000-0004-0000-0400-0000F0010000}"/>
    <hyperlink ref="C502" r:id="rId498" xr:uid="{00000000-0004-0000-0400-0000F1010000}"/>
    <hyperlink ref="C503" r:id="rId499" xr:uid="{00000000-0004-0000-0400-0000F2010000}"/>
    <hyperlink ref="C504" r:id="rId500" xr:uid="{00000000-0004-0000-0400-0000F3010000}"/>
    <hyperlink ref="C505" r:id="rId501" xr:uid="{00000000-0004-0000-0400-0000F4010000}"/>
    <hyperlink ref="C506" r:id="rId502" xr:uid="{00000000-0004-0000-0400-0000F5010000}"/>
    <hyperlink ref="C507" r:id="rId503" xr:uid="{00000000-0004-0000-0400-0000F6010000}"/>
    <hyperlink ref="C508" r:id="rId504" xr:uid="{00000000-0004-0000-0400-0000F7010000}"/>
    <hyperlink ref="C509" r:id="rId505" xr:uid="{00000000-0004-0000-0400-0000F8010000}"/>
    <hyperlink ref="C510" r:id="rId506" xr:uid="{00000000-0004-0000-0400-0000F9010000}"/>
    <hyperlink ref="C511" r:id="rId507" xr:uid="{00000000-0004-0000-0400-0000FA010000}"/>
    <hyperlink ref="C512" r:id="rId508" xr:uid="{00000000-0004-0000-0400-0000FB010000}"/>
    <hyperlink ref="C513" r:id="rId509" xr:uid="{00000000-0004-0000-0400-0000FC010000}"/>
    <hyperlink ref="C514" r:id="rId510" xr:uid="{00000000-0004-0000-0400-0000FD010000}"/>
    <hyperlink ref="C515" r:id="rId511" xr:uid="{00000000-0004-0000-0400-0000FE010000}"/>
    <hyperlink ref="C516" r:id="rId512" xr:uid="{00000000-0004-0000-0400-0000FF010000}"/>
    <hyperlink ref="C517" r:id="rId513" xr:uid="{00000000-0004-0000-0400-000000020000}"/>
    <hyperlink ref="C518" r:id="rId514" xr:uid="{00000000-0004-0000-0400-000001020000}"/>
    <hyperlink ref="C519" r:id="rId515" xr:uid="{00000000-0004-0000-0400-000002020000}"/>
    <hyperlink ref="C520" r:id="rId516" xr:uid="{00000000-0004-0000-0400-000003020000}"/>
    <hyperlink ref="C521" r:id="rId517" xr:uid="{00000000-0004-0000-0400-000004020000}"/>
    <hyperlink ref="C522" r:id="rId518" xr:uid="{00000000-0004-0000-0400-000005020000}"/>
    <hyperlink ref="C523" r:id="rId519" xr:uid="{00000000-0004-0000-0400-000006020000}"/>
    <hyperlink ref="C524" r:id="rId520" xr:uid="{00000000-0004-0000-0400-000007020000}"/>
    <hyperlink ref="C525" r:id="rId521" xr:uid="{00000000-0004-0000-0400-000008020000}"/>
    <hyperlink ref="C526" r:id="rId522" xr:uid="{00000000-0004-0000-0400-000009020000}"/>
    <hyperlink ref="C527" r:id="rId523" xr:uid="{00000000-0004-0000-0400-00000A020000}"/>
    <hyperlink ref="C528" r:id="rId524" xr:uid="{00000000-0004-0000-0400-00000B020000}"/>
    <hyperlink ref="C529" r:id="rId525" xr:uid="{00000000-0004-0000-0400-00000C020000}"/>
    <hyperlink ref="C530" r:id="rId526" xr:uid="{00000000-0004-0000-0400-00000D020000}"/>
    <hyperlink ref="C531" r:id="rId527" xr:uid="{00000000-0004-0000-0400-00000E020000}"/>
    <hyperlink ref="C532" r:id="rId528" xr:uid="{00000000-0004-0000-0400-00000F020000}"/>
    <hyperlink ref="C533" r:id="rId529" xr:uid="{00000000-0004-0000-0400-000010020000}"/>
    <hyperlink ref="C534" r:id="rId530" xr:uid="{00000000-0004-0000-0400-000011020000}"/>
    <hyperlink ref="C535" r:id="rId531" xr:uid="{00000000-0004-0000-0400-000012020000}"/>
    <hyperlink ref="C536" r:id="rId532" xr:uid="{00000000-0004-0000-0400-000013020000}"/>
    <hyperlink ref="C537" r:id="rId533" xr:uid="{00000000-0004-0000-0400-000014020000}"/>
    <hyperlink ref="C538" r:id="rId534" xr:uid="{00000000-0004-0000-0400-000015020000}"/>
    <hyperlink ref="C539" r:id="rId535" xr:uid="{00000000-0004-0000-0400-000016020000}"/>
    <hyperlink ref="C540" r:id="rId536" xr:uid="{00000000-0004-0000-0400-000017020000}"/>
    <hyperlink ref="C541" r:id="rId537" xr:uid="{00000000-0004-0000-0400-000018020000}"/>
    <hyperlink ref="C542" r:id="rId538" xr:uid="{00000000-0004-0000-0400-000019020000}"/>
    <hyperlink ref="C543" r:id="rId539" xr:uid="{00000000-0004-0000-0400-00001A020000}"/>
    <hyperlink ref="C544" r:id="rId540" xr:uid="{00000000-0004-0000-0400-00001B020000}"/>
    <hyperlink ref="C545" r:id="rId541" xr:uid="{00000000-0004-0000-0400-00001C020000}"/>
    <hyperlink ref="C546" r:id="rId542" xr:uid="{00000000-0004-0000-0400-00001D020000}"/>
    <hyperlink ref="C547" r:id="rId543" xr:uid="{00000000-0004-0000-0400-00001E020000}"/>
    <hyperlink ref="C548" r:id="rId544" xr:uid="{00000000-0004-0000-0400-00001F020000}"/>
    <hyperlink ref="C549" r:id="rId545" xr:uid="{00000000-0004-0000-0400-000020020000}"/>
    <hyperlink ref="C550" r:id="rId546" xr:uid="{00000000-0004-0000-0400-000021020000}"/>
    <hyperlink ref="C551" r:id="rId547" xr:uid="{00000000-0004-0000-0400-000022020000}"/>
    <hyperlink ref="C552" r:id="rId548" xr:uid="{00000000-0004-0000-0400-000023020000}"/>
    <hyperlink ref="C553" r:id="rId549" xr:uid="{00000000-0004-0000-0400-000024020000}"/>
    <hyperlink ref="C554" r:id="rId550" xr:uid="{00000000-0004-0000-0400-000025020000}"/>
    <hyperlink ref="C555" r:id="rId551" xr:uid="{00000000-0004-0000-0400-000026020000}"/>
    <hyperlink ref="C556" r:id="rId552" xr:uid="{00000000-0004-0000-0400-000027020000}"/>
    <hyperlink ref="C557" r:id="rId553" xr:uid="{00000000-0004-0000-0400-000028020000}"/>
    <hyperlink ref="C558" r:id="rId554" xr:uid="{00000000-0004-0000-0400-000029020000}"/>
    <hyperlink ref="C559" r:id="rId555" xr:uid="{00000000-0004-0000-0400-00002A020000}"/>
    <hyperlink ref="C560" r:id="rId556" xr:uid="{00000000-0004-0000-0400-00002B020000}"/>
    <hyperlink ref="C561" r:id="rId557" xr:uid="{00000000-0004-0000-0400-00002C020000}"/>
    <hyperlink ref="C562" r:id="rId558" xr:uid="{00000000-0004-0000-0400-00002D020000}"/>
    <hyperlink ref="C563" r:id="rId559" xr:uid="{00000000-0004-0000-0400-00002E020000}"/>
    <hyperlink ref="C564" r:id="rId560" xr:uid="{00000000-0004-0000-0400-00002F020000}"/>
    <hyperlink ref="C565" r:id="rId561" xr:uid="{00000000-0004-0000-0400-000030020000}"/>
    <hyperlink ref="C566" r:id="rId562" xr:uid="{00000000-0004-0000-0400-000031020000}"/>
    <hyperlink ref="C567" r:id="rId563" xr:uid="{00000000-0004-0000-0400-000032020000}"/>
    <hyperlink ref="C568" r:id="rId564" xr:uid="{00000000-0004-0000-0400-000033020000}"/>
    <hyperlink ref="C569" r:id="rId565" xr:uid="{00000000-0004-0000-0400-000034020000}"/>
    <hyperlink ref="C570" r:id="rId566" xr:uid="{00000000-0004-0000-0400-000035020000}"/>
    <hyperlink ref="C571" r:id="rId567" xr:uid="{00000000-0004-0000-0400-000036020000}"/>
    <hyperlink ref="C572" r:id="rId568" xr:uid="{00000000-0004-0000-0400-000037020000}"/>
    <hyperlink ref="C573" r:id="rId569" xr:uid="{00000000-0004-0000-0400-000038020000}"/>
    <hyperlink ref="C574" r:id="rId570" xr:uid="{00000000-0004-0000-0400-000039020000}"/>
    <hyperlink ref="C575" r:id="rId571" xr:uid="{00000000-0004-0000-0400-00003A020000}"/>
    <hyperlink ref="C576" r:id="rId572" xr:uid="{00000000-0004-0000-0400-00003B020000}"/>
    <hyperlink ref="C577" r:id="rId573" xr:uid="{00000000-0004-0000-0400-00003C020000}"/>
    <hyperlink ref="C578" r:id="rId574" xr:uid="{00000000-0004-0000-0400-00003D020000}"/>
    <hyperlink ref="C579" r:id="rId575" xr:uid="{00000000-0004-0000-0400-00003E020000}"/>
    <hyperlink ref="C580" r:id="rId576" xr:uid="{00000000-0004-0000-0400-00003F020000}"/>
    <hyperlink ref="C581" r:id="rId577" xr:uid="{00000000-0004-0000-0400-000040020000}"/>
    <hyperlink ref="C582" r:id="rId578" xr:uid="{00000000-0004-0000-0400-000041020000}"/>
    <hyperlink ref="C583" r:id="rId579" xr:uid="{00000000-0004-0000-0400-000042020000}"/>
    <hyperlink ref="C584" r:id="rId580" xr:uid="{00000000-0004-0000-0400-000043020000}"/>
    <hyperlink ref="C585" r:id="rId581" xr:uid="{00000000-0004-0000-0400-000044020000}"/>
    <hyperlink ref="C586" r:id="rId582" xr:uid="{00000000-0004-0000-0400-000045020000}"/>
    <hyperlink ref="C587" r:id="rId583" xr:uid="{00000000-0004-0000-0400-000046020000}"/>
    <hyperlink ref="C588" r:id="rId584" xr:uid="{00000000-0004-0000-0400-000047020000}"/>
    <hyperlink ref="C589" r:id="rId585" xr:uid="{00000000-0004-0000-0400-000048020000}"/>
    <hyperlink ref="C590" r:id="rId586" xr:uid="{00000000-0004-0000-0400-000049020000}"/>
    <hyperlink ref="C591" r:id="rId587" xr:uid="{00000000-0004-0000-0400-00004A020000}"/>
    <hyperlink ref="C592" r:id="rId588" xr:uid="{00000000-0004-0000-0400-00004B020000}"/>
    <hyperlink ref="C593" r:id="rId589" xr:uid="{00000000-0004-0000-0400-00004C020000}"/>
    <hyperlink ref="C594" r:id="rId590" xr:uid="{00000000-0004-0000-0400-00004D020000}"/>
    <hyperlink ref="C595" r:id="rId591" xr:uid="{00000000-0004-0000-0400-00004E020000}"/>
    <hyperlink ref="C596" r:id="rId592" xr:uid="{00000000-0004-0000-0400-00004F020000}"/>
    <hyperlink ref="C597" r:id="rId593" xr:uid="{00000000-0004-0000-0400-000050020000}"/>
    <hyperlink ref="C598" r:id="rId594" xr:uid="{00000000-0004-0000-0400-000051020000}"/>
    <hyperlink ref="C599" r:id="rId595" xr:uid="{00000000-0004-0000-0400-000052020000}"/>
    <hyperlink ref="C600" r:id="rId596" xr:uid="{00000000-0004-0000-0400-000053020000}"/>
    <hyperlink ref="C601" r:id="rId597" xr:uid="{00000000-0004-0000-0400-000054020000}"/>
    <hyperlink ref="C602" r:id="rId598" xr:uid="{00000000-0004-0000-0400-000055020000}"/>
    <hyperlink ref="C603" r:id="rId599" xr:uid="{00000000-0004-0000-0400-000056020000}"/>
    <hyperlink ref="C604" r:id="rId600" xr:uid="{00000000-0004-0000-0400-000057020000}"/>
    <hyperlink ref="C605" r:id="rId601" xr:uid="{00000000-0004-0000-0400-000058020000}"/>
    <hyperlink ref="C606" r:id="rId602" xr:uid="{00000000-0004-0000-0400-000059020000}"/>
    <hyperlink ref="C607" r:id="rId603" xr:uid="{00000000-0004-0000-0400-00005A020000}"/>
    <hyperlink ref="C608" r:id="rId604" xr:uid="{00000000-0004-0000-0400-00005B020000}"/>
    <hyperlink ref="C609" r:id="rId605" xr:uid="{00000000-0004-0000-0400-00005C020000}"/>
    <hyperlink ref="C610" r:id="rId606" xr:uid="{00000000-0004-0000-0400-00005D020000}"/>
    <hyperlink ref="C611" r:id="rId607" xr:uid="{00000000-0004-0000-0400-00005E020000}"/>
    <hyperlink ref="C612" r:id="rId608" xr:uid="{00000000-0004-0000-0400-00005F020000}"/>
    <hyperlink ref="C613" r:id="rId609" xr:uid="{00000000-0004-0000-0400-000060020000}"/>
    <hyperlink ref="C614" r:id="rId610" xr:uid="{00000000-0004-0000-0400-000061020000}"/>
    <hyperlink ref="C615" r:id="rId611" xr:uid="{00000000-0004-0000-0400-000062020000}"/>
    <hyperlink ref="C616" r:id="rId612" xr:uid="{00000000-0004-0000-0400-000063020000}"/>
    <hyperlink ref="C617" r:id="rId613" xr:uid="{00000000-0004-0000-0400-000064020000}"/>
    <hyperlink ref="C618" r:id="rId614" xr:uid="{00000000-0004-0000-0400-000065020000}"/>
    <hyperlink ref="C619" r:id="rId615" xr:uid="{00000000-0004-0000-0400-000066020000}"/>
    <hyperlink ref="C620" r:id="rId616" xr:uid="{00000000-0004-0000-0400-000067020000}"/>
    <hyperlink ref="C621" r:id="rId617" xr:uid="{00000000-0004-0000-0400-000068020000}"/>
    <hyperlink ref="C622" r:id="rId618" xr:uid="{00000000-0004-0000-0400-000069020000}"/>
    <hyperlink ref="C623" r:id="rId619" xr:uid="{00000000-0004-0000-0400-00006A020000}"/>
    <hyperlink ref="C624" r:id="rId620" xr:uid="{00000000-0004-0000-0400-00006B020000}"/>
    <hyperlink ref="C625" r:id="rId621" xr:uid="{00000000-0004-0000-0400-00006C020000}"/>
    <hyperlink ref="C626" r:id="rId622" xr:uid="{00000000-0004-0000-0400-00006D020000}"/>
    <hyperlink ref="C627" r:id="rId623" xr:uid="{00000000-0004-0000-0400-00006E020000}"/>
    <hyperlink ref="C628" r:id="rId624" xr:uid="{00000000-0004-0000-0400-00006F020000}"/>
    <hyperlink ref="C629" r:id="rId625" xr:uid="{00000000-0004-0000-0400-000070020000}"/>
    <hyperlink ref="C630" r:id="rId626" xr:uid="{00000000-0004-0000-0400-000071020000}"/>
    <hyperlink ref="C631" r:id="rId627" xr:uid="{00000000-0004-0000-0400-000072020000}"/>
    <hyperlink ref="C632" r:id="rId628" xr:uid="{00000000-0004-0000-0400-000073020000}"/>
    <hyperlink ref="C633" r:id="rId629" xr:uid="{00000000-0004-0000-0400-000074020000}"/>
    <hyperlink ref="C634" r:id="rId630" xr:uid="{00000000-0004-0000-0400-000075020000}"/>
    <hyperlink ref="C635" r:id="rId631" xr:uid="{00000000-0004-0000-0400-000076020000}"/>
    <hyperlink ref="C636" r:id="rId632" xr:uid="{00000000-0004-0000-0400-000077020000}"/>
    <hyperlink ref="C637" r:id="rId633" xr:uid="{00000000-0004-0000-0400-000078020000}"/>
    <hyperlink ref="C638" r:id="rId634" xr:uid="{00000000-0004-0000-0400-000079020000}"/>
    <hyperlink ref="C639" r:id="rId635" xr:uid="{00000000-0004-0000-0400-00007A020000}"/>
    <hyperlink ref="C640" r:id="rId636" xr:uid="{00000000-0004-0000-0400-00007B020000}"/>
    <hyperlink ref="C641" r:id="rId637" xr:uid="{00000000-0004-0000-0400-00007C020000}"/>
    <hyperlink ref="C642" r:id="rId638" xr:uid="{00000000-0004-0000-0400-00007D020000}"/>
    <hyperlink ref="C643" r:id="rId639" xr:uid="{00000000-0004-0000-0400-00007E020000}"/>
    <hyperlink ref="C644" r:id="rId640" xr:uid="{00000000-0004-0000-0400-00007F020000}"/>
    <hyperlink ref="C645" r:id="rId641" xr:uid="{00000000-0004-0000-0400-000080020000}"/>
    <hyperlink ref="C646" r:id="rId642" xr:uid="{00000000-0004-0000-0400-000081020000}"/>
    <hyperlink ref="C647" r:id="rId643" xr:uid="{00000000-0004-0000-0400-000082020000}"/>
    <hyperlink ref="C648" r:id="rId644" xr:uid="{00000000-0004-0000-0400-000083020000}"/>
    <hyperlink ref="C649" r:id="rId645" xr:uid="{00000000-0004-0000-0400-000084020000}"/>
    <hyperlink ref="C650" r:id="rId646" xr:uid="{00000000-0004-0000-0400-000085020000}"/>
    <hyperlink ref="C651" r:id="rId647" xr:uid="{00000000-0004-0000-0400-000086020000}"/>
    <hyperlink ref="C652" r:id="rId648" xr:uid="{00000000-0004-0000-0400-000087020000}"/>
    <hyperlink ref="C653" r:id="rId649" xr:uid="{00000000-0004-0000-0400-000088020000}"/>
    <hyperlink ref="C654" r:id="rId650" xr:uid="{00000000-0004-0000-0400-000089020000}"/>
    <hyperlink ref="C655" r:id="rId651" xr:uid="{00000000-0004-0000-0400-00008A020000}"/>
    <hyperlink ref="C656" r:id="rId652" xr:uid="{00000000-0004-0000-0400-00008B020000}"/>
    <hyperlink ref="C657" r:id="rId653" xr:uid="{00000000-0004-0000-0400-00008C020000}"/>
    <hyperlink ref="C658" r:id="rId654" xr:uid="{00000000-0004-0000-0400-00008D020000}"/>
    <hyperlink ref="C659" r:id="rId655" xr:uid="{00000000-0004-0000-0400-00008E020000}"/>
    <hyperlink ref="C660" r:id="rId656" xr:uid="{00000000-0004-0000-0400-00008F020000}"/>
    <hyperlink ref="C661" r:id="rId657" xr:uid="{00000000-0004-0000-0400-000090020000}"/>
    <hyperlink ref="C662" r:id="rId658" xr:uid="{00000000-0004-0000-0400-000091020000}"/>
    <hyperlink ref="C663" r:id="rId659" xr:uid="{00000000-0004-0000-0400-000092020000}"/>
    <hyperlink ref="C664" r:id="rId660" xr:uid="{00000000-0004-0000-0400-000093020000}"/>
    <hyperlink ref="C665" r:id="rId661" xr:uid="{00000000-0004-0000-0400-000094020000}"/>
    <hyperlink ref="C666" r:id="rId662" xr:uid="{00000000-0004-0000-0400-000095020000}"/>
    <hyperlink ref="C667" r:id="rId663" xr:uid="{00000000-0004-0000-0400-000096020000}"/>
    <hyperlink ref="C668" r:id="rId664" xr:uid="{00000000-0004-0000-0400-000097020000}"/>
    <hyperlink ref="C669" r:id="rId665" xr:uid="{00000000-0004-0000-0400-000098020000}"/>
    <hyperlink ref="C670" r:id="rId666" xr:uid="{00000000-0004-0000-0400-000099020000}"/>
    <hyperlink ref="C671" r:id="rId667" xr:uid="{00000000-0004-0000-0400-00009A020000}"/>
    <hyperlink ref="C672" r:id="rId668" xr:uid="{00000000-0004-0000-0400-00009B020000}"/>
    <hyperlink ref="C673" r:id="rId669" xr:uid="{00000000-0004-0000-0400-00009C020000}"/>
    <hyperlink ref="C674" r:id="rId670" xr:uid="{00000000-0004-0000-0400-00009D020000}"/>
    <hyperlink ref="C675" r:id="rId671" xr:uid="{00000000-0004-0000-0400-00009E020000}"/>
    <hyperlink ref="C676" r:id="rId672" xr:uid="{00000000-0004-0000-0400-00009F020000}"/>
    <hyperlink ref="C677" r:id="rId673" xr:uid="{00000000-0004-0000-0400-0000A0020000}"/>
    <hyperlink ref="C678" r:id="rId674" xr:uid="{00000000-0004-0000-0400-0000A1020000}"/>
    <hyperlink ref="C679" r:id="rId675" xr:uid="{00000000-0004-0000-0400-0000A2020000}"/>
    <hyperlink ref="C680" r:id="rId676" xr:uid="{00000000-0004-0000-0400-0000A3020000}"/>
    <hyperlink ref="C681" r:id="rId677" xr:uid="{00000000-0004-0000-0400-0000A4020000}"/>
    <hyperlink ref="C682" r:id="rId678" xr:uid="{00000000-0004-0000-0400-0000A5020000}"/>
    <hyperlink ref="C683" r:id="rId679" xr:uid="{00000000-0004-0000-0400-0000A6020000}"/>
    <hyperlink ref="C684" r:id="rId680" xr:uid="{00000000-0004-0000-0400-0000A7020000}"/>
    <hyperlink ref="C685" r:id="rId681" xr:uid="{00000000-0004-0000-0400-0000A8020000}"/>
    <hyperlink ref="C686" r:id="rId682" xr:uid="{00000000-0004-0000-0400-0000A9020000}"/>
    <hyperlink ref="C687" r:id="rId683" xr:uid="{00000000-0004-0000-0400-0000AA020000}"/>
    <hyperlink ref="C688" r:id="rId684" xr:uid="{00000000-0004-0000-0400-0000AB020000}"/>
    <hyperlink ref="C689" r:id="rId685" xr:uid="{00000000-0004-0000-0400-0000AC020000}"/>
    <hyperlink ref="C690" r:id="rId686" xr:uid="{00000000-0004-0000-0400-0000AD020000}"/>
    <hyperlink ref="C691" r:id="rId687" xr:uid="{00000000-0004-0000-0400-0000AE020000}"/>
    <hyperlink ref="C692" r:id="rId688" xr:uid="{00000000-0004-0000-0400-0000AF020000}"/>
    <hyperlink ref="C693" r:id="rId689" xr:uid="{00000000-0004-0000-0400-0000B0020000}"/>
    <hyperlink ref="C694" r:id="rId690" xr:uid="{00000000-0004-0000-0400-0000B1020000}"/>
    <hyperlink ref="C695" r:id="rId691" xr:uid="{00000000-0004-0000-0400-0000B2020000}"/>
    <hyperlink ref="C696" r:id="rId692" xr:uid="{00000000-0004-0000-0400-0000B3020000}"/>
    <hyperlink ref="C697" r:id="rId693" xr:uid="{00000000-0004-0000-0400-0000B4020000}"/>
    <hyperlink ref="C698" r:id="rId694" xr:uid="{00000000-0004-0000-0400-0000B5020000}"/>
    <hyperlink ref="C699" r:id="rId695" xr:uid="{00000000-0004-0000-0400-0000B6020000}"/>
    <hyperlink ref="C700" r:id="rId696" xr:uid="{00000000-0004-0000-0400-0000B7020000}"/>
    <hyperlink ref="C701" r:id="rId697" xr:uid="{00000000-0004-0000-0400-0000B8020000}"/>
    <hyperlink ref="C702" r:id="rId698" xr:uid="{00000000-0004-0000-0400-0000B9020000}"/>
    <hyperlink ref="C703" r:id="rId699" xr:uid="{00000000-0004-0000-0400-0000BA020000}"/>
    <hyperlink ref="C704" r:id="rId700" xr:uid="{00000000-0004-0000-0400-0000BB020000}"/>
    <hyperlink ref="C705" r:id="rId701" xr:uid="{00000000-0004-0000-0400-0000BC020000}"/>
    <hyperlink ref="C706" r:id="rId702" xr:uid="{00000000-0004-0000-0400-0000BD020000}"/>
    <hyperlink ref="C707" r:id="rId703" xr:uid="{00000000-0004-0000-0400-0000BE020000}"/>
    <hyperlink ref="C708" r:id="rId704" xr:uid="{00000000-0004-0000-0400-0000BF020000}"/>
    <hyperlink ref="C709" r:id="rId705" xr:uid="{00000000-0004-0000-0400-0000C0020000}"/>
    <hyperlink ref="C710" r:id="rId706" xr:uid="{00000000-0004-0000-0400-0000C1020000}"/>
    <hyperlink ref="C711" r:id="rId707" xr:uid="{00000000-0004-0000-0400-0000C2020000}"/>
    <hyperlink ref="C712" r:id="rId708" xr:uid="{00000000-0004-0000-0400-0000C3020000}"/>
    <hyperlink ref="C713" r:id="rId709" xr:uid="{00000000-0004-0000-0400-0000C4020000}"/>
    <hyperlink ref="C714" r:id="rId710" xr:uid="{00000000-0004-0000-0400-0000C5020000}"/>
    <hyperlink ref="C715" r:id="rId711" xr:uid="{00000000-0004-0000-0400-0000C6020000}"/>
    <hyperlink ref="C716" r:id="rId712" xr:uid="{00000000-0004-0000-0400-0000C7020000}"/>
    <hyperlink ref="C717" r:id="rId713" xr:uid="{00000000-0004-0000-0400-0000C8020000}"/>
    <hyperlink ref="C718" r:id="rId714" xr:uid="{00000000-0004-0000-0400-0000C9020000}"/>
    <hyperlink ref="C719" r:id="rId715" xr:uid="{00000000-0004-0000-0400-0000CA020000}"/>
    <hyperlink ref="C720" r:id="rId716" xr:uid="{00000000-0004-0000-0400-0000CB020000}"/>
    <hyperlink ref="C721" r:id="rId717" xr:uid="{00000000-0004-0000-0400-0000CC020000}"/>
    <hyperlink ref="C722" r:id="rId718" xr:uid="{00000000-0004-0000-0400-0000CD020000}"/>
    <hyperlink ref="C723" r:id="rId719" xr:uid="{00000000-0004-0000-0400-0000CE020000}"/>
    <hyperlink ref="C724" r:id="rId720" xr:uid="{00000000-0004-0000-0400-0000CF020000}"/>
    <hyperlink ref="C725" r:id="rId721" xr:uid="{00000000-0004-0000-0400-0000D0020000}"/>
    <hyperlink ref="C726" r:id="rId722" xr:uid="{00000000-0004-0000-0400-0000D1020000}"/>
    <hyperlink ref="C727" r:id="rId723" xr:uid="{00000000-0004-0000-0400-0000D2020000}"/>
    <hyperlink ref="C728" r:id="rId724" xr:uid="{00000000-0004-0000-0400-0000D3020000}"/>
    <hyperlink ref="C729" r:id="rId725" xr:uid="{00000000-0004-0000-0400-0000D4020000}"/>
    <hyperlink ref="C730" r:id="rId726" xr:uid="{00000000-0004-0000-0400-0000D5020000}"/>
    <hyperlink ref="C731" r:id="rId727" xr:uid="{00000000-0004-0000-0400-0000D6020000}"/>
    <hyperlink ref="C732" r:id="rId728" xr:uid="{00000000-0004-0000-0400-0000D7020000}"/>
    <hyperlink ref="C733" r:id="rId729" xr:uid="{00000000-0004-0000-0400-0000D8020000}"/>
    <hyperlink ref="C734" r:id="rId730" xr:uid="{00000000-0004-0000-0400-0000D9020000}"/>
    <hyperlink ref="C735" r:id="rId731" xr:uid="{00000000-0004-0000-0400-0000DA020000}"/>
    <hyperlink ref="C736" r:id="rId732" xr:uid="{00000000-0004-0000-0400-0000DB020000}"/>
    <hyperlink ref="C737" r:id="rId733" xr:uid="{00000000-0004-0000-0400-0000DC020000}"/>
    <hyperlink ref="C738" r:id="rId734" xr:uid="{00000000-0004-0000-0400-0000DD020000}"/>
    <hyperlink ref="C739" r:id="rId735" xr:uid="{00000000-0004-0000-0400-0000DE020000}"/>
    <hyperlink ref="C740" r:id="rId736" xr:uid="{00000000-0004-0000-0400-0000DF020000}"/>
    <hyperlink ref="C741" r:id="rId737" xr:uid="{00000000-0004-0000-0400-0000E0020000}"/>
    <hyperlink ref="C742" r:id="rId738" xr:uid="{00000000-0004-0000-0400-0000E1020000}"/>
    <hyperlink ref="C743" r:id="rId739" xr:uid="{00000000-0004-0000-0400-0000E2020000}"/>
    <hyperlink ref="C744" r:id="rId740" xr:uid="{00000000-0004-0000-0400-0000E3020000}"/>
    <hyperlink ref="C745" r:id="rId741" xr:uid="{00000000-0004-0000-0400-0000E4020000}"/>
    <hyperlink ref="C746" r:id="rId742" xr:uid="{00000000-0004-0000-0400-0000E5020000}"/>
    <hyperlink ref="C747" r:id="rId743" xr:uid="{00000000-0004-0000-0400-0000E6020000}"/>
    <hyperlink ref="C748" r:id="rId744" xr:uid="{00000000-0004-0000-0400-0000E7020000}"/>
    <hyperlink ref="C749" r:id="rId745" xr:uid="{00000000-0004-0000-0400-0000E8020000}"/>
    <hyperlink ref="C750" r:id="rId746" xr:uid="{00000000-0004-0000-0400-0000E9020000}"/>
    <hyperlink ref="C751" r:id="rId747" xr:uid="{00000000-0004-0000-0400-0000EA020000}"/>
    <hyperlink ref="C752" r:id="rId748" xr:uid="{00000000-0004-0000-0400-0000EB020000}"/>
    <hyperlink ref="C753" r:id="rId749" xr:uid="{00000000-0004-0000-0400-0000EC020000}"/>
    <hyperlink ref="C754" r:id="rId750" xr:uid="{00000000-0004-0000-0400-0000ED020000}"/>
    <hyperlink ref="C755" r:id="rId751" xr:uid="{00000000-0004-0000-0400-0000EE020000}"/>
    <hyperlink ref="C756" r:id="rId752" xr:uid="{00000000-0004-0000-0400-0000EF020000}"/>
    <hyperlink ref="C757" r:id="rId753" xr:uid="{00000000-0004-0000-0400-0000F0020000}"/>
    <hyperlink ref="C758" r:id="rId754" xr:uid="{00000000-0004-0000-0400-0000F1020000}"/>
    <hyperlink ref="C759" r:id="rId755" xr:uid="{00000000-0004-0000-0400-0000F2020000}"/>
    <hyperlink ref="C760" r:id="rId756" xr:uid="{00000000-0004-0000-0400-0000F3020000}"/>
    <hyperlink ref="C761" r:id="rId757" xr:uid="{00000000-0004-0000-0400-0000F4020000}"/>
    <hyperlink ref="C762" r:id="rId758" xr:uid="{00000000-0004-0000-0400-0000F5020000}"/>
    <hyperlink ref="C763" r:id="rId759" xr:uid="{00000000-0004-0000-0400-0000F6020000}"/>
    <hyperlink ref="C764" r:id="rId760" xr:uid="{00000000-0004-0000-0400-0000F7020000}"/>
    <hyperlink ref="C765" r:id="rId761" xr:uid="{00000000-0004-0000-0400-0000F8020000}"/>
    <hyperlink ref="C766" r:id="rId762" xr:uid="{00000000-0004-0000-0400-0000F9020000}"/>
    <hyperlink ref="C767" r:id="rId763" xr:uid="{00000000-0004-0000-0400-0000FA020000}"/>
    <hyperlink ref="C768" r:id="rId764" xr:uid="{00000000-0004-0000-0400-0000FB020000}"/>
    <hyperlink ref="C769" r:id="rId765" xr:uid="{00000000-0004-0000-0400-0000FC020000}"/>
    <hyperlink ref="C770" r:id="rId766" xr:uid="{00000000-0004-0000-0400-0000FD020000}"/>
    <hyperlink ref="C771" r:id="rId767" xr:uid="{00000000-0004-0000-0400-0000FE020000}"/>
    <hyperlink ref="C772" r:id="rId768" xr:uid="{00000000-0004-0000-0400-0000FF020000}"/>
    <hyperlink ref="C773" r:id="rId769" xr:uid="{00000000-0004-0000-0400-000000030000}"/>
    <hyperlink ref="C774" r:id="rId770" xr:uid="{00000000-0004-0000-0400-000001030000}"/>
    <hyperlink ref="C775" r:id="rId771" xr:uid="{00000000-0004-0000-0400-000002030000}"/>
    <hyperlink ref="C776" r:id="rId772" xr:uid="{00000000-0004-0000-0400-000003030000}"/>
    <hyperlink ref="C777" r:id="rId773" xr:uid="{00000000-0004-0000-0400-000004030000}"/>
    <hyperlink ref="C778" r:id="rId774" xr:uid="{00000000-0004-0000-0400-000005030000}"/>
    <hyperlink ref="C779" r:id="rId775" xr:uid="{00000000-0004-0000-0400-000006030000}"/>
    <hyperlink ref="C780" r:id="rId776" xr:uid="{00000000-0004-0000-0400-000007030000}"/>
    <hyperlink ref="C781" r:id="rId777" xr:uid="{00000000-0004-0000-0400-000008030000}"/>
    <hyperlink ref="C782" r:id="rId778" xr:uid="{00000000-0004-0000-0400-000009030000}"/>
    <hyperlink ref="C783" r:id="rId779" xr:uid="{00000000-0004-0000-0400-00000A030000}"/>
    <hyperlink ref="C784" r:id="rId780" xr:uid="{00000000-0004-0000-0400-00000B030000}"/>
    <hyperlink ref="C785" r:id="rId781" xr:uid="{00000000-0004-0000-0400-00000C030000}"/>
    <hyperlink ref="C786" r:id="rId782" xr:uid="{00000000-0004-0000-0400-00000D030000}"/>
    <hyperlink ref="C787" r:id="rId783" xr:uid="{00000000-0004-0000-0400-00000E030000}"/>
    <hyperlink ref="C788" r:id="rId784" xr:uid="{00000000-0004-0000-0400-00000F030000}"/>
    <hyperlink ref="C789" r:id="rId785" xr:uid="{00000000-0004-0000-0400-000010030000}"/>
    <hyperlink ref="C790" r:id="rId786" xr:uid="{00000000-0004-0000-0400-000011030000}"/>
    <hyperlink ref="C791" r:id="rId787" xr:uid="{00000000-0004-0000-0400-000012030000}"/>
    <hyperlink ref="C792" r:id="rId788" xr:uid="{00000000-0004-0000-0400-000013030000}"/>
    <hyperlink ref="C793" r:id="rId789" xr:uid="{00000000-0004-0000-0400-000014030000}"/>
    <hyperlink ref="C794" r:id="rId790" xr:uid="{00000000-0004-0000-0400-000015030000}"/>
    <hyperlink ref="C795" r:id="rId791" xr:uid="{00000000-0004-0000-0400-000016030000}"/>
    <hyperlink ref="C796" r:id="rId792" xr:uid="{00000000-0004-0000-0400-000017030000}"/>
    <hyperlink ref="C797" r:id="rId793" xr:uid="{00000000-0004-0000-0400-000018030000}"/>
    <hyperlink ref="C798" r:id="rId794" xr:uid="{00000000-0004-0000-0400-000019030000}"/>
    <hyperlink ref="C799" r:id="rId795" xr:uid="{00000000-0004-0000-0400-00001A030000}"/>
    <hyperlink ref="C800" r:id="rId796" xr:uid="{00000000-0004-0000-0400-00001B030000}"/>
    <hyperlink ref="C801" r:id="rId797" xr:uid="{00000000-0004-0000-0400-00001C030000}"/>
    <hyperlink ref="C802" r:id="rId798" xr:uid="{00000000-0004-0000-0400-00001D030000}"/>
    <hyperlink ref="C803" r:id="rId799" xr:uid="{00000000-0004-0000-0400-00001E030000}"/>
    <hyperlink ref="C804" r:id="rId800" xr:uid="{00000000-0004-0000-0400-00001F030000}"/>
    <hyperlink ref="C805" r:id="rId801" xr:uid="{00000000-0004-0000-0400-000020030000}"/>
    <hyperlink ref="C806" r:id="rId802" xr:uid="{00000000-0004-0000-0400-000021030000}"/>
    <hyperlink ref="C807" r:id="rId803" xr:uid="{00000000-0004-0000-0400-000022030000}"/>
    <hyperlink ref="C808" r:id="rId804" xr:uid="{00000000-0004-0000-0400-000023030000}"/>
    <hyperlink ref="C809" r:id="rId805" xr:uid="{00000000-0004-0000-0400-000024030000}"/>
    <hyperlink ref="C810" r:id="rId806" xr:uid="{00000000-0004-0000-0400-000025030000}"/>
    <hyperlink ref="C811" r:id="rId807" xr:uid="{00000000-0004-0000-0400-000026030000}"/>
    <hyperlink ref="C812" r:id="rId808" xr:uid="{00000000-0004-0000-0400-000027030000}"/>
    <hyperlink ref="C813" r:id="rId809" xr:uid="{00000000-0004-0000-0400-000028030000}"/>
    <hyperlink ref="C814" r:id="rId810" xr:uid="{00000000-0004-0000-0400-000029030000}"/>
    <hyperlink ref="C815" r:id="rId811" xr:uid="{00000000-0004-0000-0400-00002A030000}"/>
    <hyperlink ref="C816" r:id="rId812" xr:uid="{00000000-0004-0000-0400-00002B030000}"/>
    <hyperlink ref="C817" r:id="rId813" xr:uid="{00000000-0004-0000-0400-00002C030000}"/>
    <hyperlink ref="C818" r:id="rId814" xr:uid="{00000000-0004-0000-0400-00002D030000}"/>
    <hyperlink ref="C819" r:id="rId815" xr:uid="{00000000-0004-0000-0400-00002E030000}"/>
    <hyperlink ref="C820" r:id="rId816" xr:uid="{00000000-0004-0000-0400-00002F030000}"/>
    <hyperlink ref="C821" r:id="rId817" xr:uid="{00000000-0004-0000-0400-000030030000}"/>
    <hyperlink ref="C822" r:id="rId818" xr:uid="{00000000-0004-0000-0400-000031030000}"/>
    <hyperlink ref="C823" r:id="rId819" xr:uid="{00000000-0004-0000-0400-000032030000}"/>
    <hyperlink ref="C824" r:id="rId820" xr:uid="{00000000-0004-0000-0400-000033030000}"/>
    <hyperlink ref="C825" r:id="rId821" xr:uid="{00000000-0004-0000-0400-000034030000}"/>
    <hyperlink ref="C826" r:id="rId822" xr:uid="{00000000-0004-0000-0400-000035030000}"/>
    <hyperlink ref="C827" r:id="rId823" xr:uid="{00000000-0004-0000-0400-000036030000}"/>
    <hyperlink ref="C828" r:id="rId824" xr:uid="{00000000-0004-0000-0400-000037030000}"/>
    <hyperlink ref="C829" r:id="rId825" xr:uid="{00000000-0004-0000-0400-000038030000}"/>
    <hyperlink ref="C830" r:id="rId826" xr:uid="{00000000-0004-0000-0400-000039030000}"/>
    <hyperlink ref="C831" r:id="rId827" xr:uid="{00000000-0004-0000-0400-00003A030000}"/>
    <hyperlink ref="C832" r:id="rId828" xr:uid="{00000000-0004-0000-0400-00003B030000}"/>
    <hyperlink ref="C833" r:id="rId829" xr:uid="{00000000-0004-0000-0400-00003C030000}"/>
    <hyperlink ref="C834" r:id="rId830" xr:uid="{00000000-0004-0000-0400-00003D030000}"/>
    <hyperlink ref="C835" r:id="rId831" xr:uid="{00000000-0004-0000-0400-00003E030000}"/>
    <hyperlink ref="C836" r:id="rId832" xr:uid="{00000000-0004-0000-0400-00003F030000}"/>
    <hyperlink ref="C837" r:id="rId833" xr:uid="{00000000-0004-0000-0400-000040030000}"/>
    <hyperlink ref="C838" r:id="rId834" xr:uid="{00000000-0004-0000-0400-000041030000}"/>
    <hyperlink ref="C839" r:id="rId835" xr:uid="{00000000-0004-0000-0400-000042030000}"/>
    <hyperlink ref="C840" r:id="rId836" xr:uid="{00000000-0004-0000-0400-000043030000}"/>
    <hyperlink ref="C841" r:id="rId837" xr:uid="{00000000-0004-0000-0400-000044030000}"/>
    <hyperlink ref="C842" r:id="rId838" xr:uid="{00000000-0004-0000-0400-000045030000}"/>
    <hyperlink ref="C843" r:id="rId839" xr:uid="{00000000-0004-0000-0400-000046030000}"/>
    <hyperlink ref="C844" r:id="rId840" xr:uid="{00000000-0004-0000-0400-000047030000}"/>
    <hyperlink ref="C845" r:id="rId841" xr:uid="{00000000-0004-0000-0400-000048030000}"/>
    <hyperlink ref="C846" r:id="rId842" xr:uid="{00000000-0004-0000-0400-000049030000}"/>
    <hyperlink ref="C847" r:id="rId843" xr:uid="{00000000-0004-0000-0400-00004A030000}"/>
    <hyperlink ref="C848" r:id="rId844" xr:uid="{00000000-0004-0000-0400-00004B030000}"/>
    <hyperlink ref="C849" r:id="rId845" xr:uid="{00000000-0004-0000-0400-00004C030000}"/>
    <hyperlink ref="C850" r:id="rId846" xr:uid="{00000000-0004-0000-0400-00004D030000}"/>
    <hyperlink ref="C851" r:id="rId847" xr:uid="{00000000-0004-0000-0400-00004E030000}"/>
    <hyperlink ref="C852" r:id="rId848" xr:uid="{00000000-0004-0000-0400-00004F030000}"/>
    <hyperlink ref="C853" r:id="rId849" xr:uid="{00000000-0004-0000-0400-000050030000}"/>
    <hyperlink ref="C854" r:id="rId850" xr:uid="{00000000-0004-0000-0400-000051030000}"/>
    <hyperlink ref="C855" r:id="rId851" xr:uid="{00000000-0004-0000-0400-000052030000}"/>
    <hyperlink ref="C856" r:id="rId852" xr:uid="{00000000-0004-0000-0400-000053030000}"/>
    <hyperlink ref="C857" r:id="rId853" xr:uid="{00000000-0004-0000-0400-000054030000}"/>
    <hyperlink ref="C858" r:id="rId854" xr:uid="{00000000-0004-0000-0400-000055030000}"/>
    <hyperlink ref="C859" r:id="rId855" xr:uid="{00000000-0004-0000-0400-000056030000}"/>
    <hyperlink ref="C860" r:id="rId856" xr:uid="{00000000-0004-0000-0400-000057030000}"/>
    <hyperlink ref="C861" r:id="rId857" xr:uid="{00000000-0004-0000-0400-000058030000}"/>
    <hyperlink ref="C862" r:id="rId858" xr:uid="{00000000-0004-0000-0400-000059030000}"/>
    <hyperlink ref="C863" r:id="rId859" xr:uid="{00000000-0004-0000-0400-00005A030000}"/>
    <hyperlink ref="C864" r:id="rId860" xr:uid="{00000000-0004-0000-0400-00005B030000}"/>
    <hyperlink ref="C865" r:id="rId861" xr:uid="{00000000-0004-0000-0400-00005C030000}"/>
    <hyperlink ref="C866" r:id="rId862" xr:uid="{00000000-0004-0000-0400-00005D030000}"/>
    <hyperlink ref="C867" r:id="rId863" xr:uid="{00000000-0004-0000-0400-00005E030000}"/>
    <hyperlink ref="C868" r:id="rId864" xr:uid="{00000000-0004-0000-0400-00005F030000}"/>
    <hyperlink ref="C869" r:id="rId865" xr:uid="{00000000-0004-0000-0400-000060030000}"/>
    <hyperlink ref="C870" r:id="rId866" xr:uid="{00000000-0004-0000-0400-000061030000}"/>
    <hyperlink ref="C871" r:id="rId867" xr:uid="{00000000-0004-0000-0400-000062030000}"/>
    <hyperlink ref="C872" r:id="rId868" xr:uid="{00000000-0004-0000-0400-000063030000}"/>
    <hyperlink ref="C873" r:id="rId869" xr:uid="{00000000-0004-0000-0400-000064030000}"/>
    <hyperlink ref="C874" r:id="rId870" xr:uid="{00000000-0004-0000-0400-000065030000}"/>
    <hyperlink ref="C875" r:id="rId871" xr:uid="{00000000-0004-0000-0400-000066030000}"/>
    <hyperlink ref="C876" r:id="rId872" xr:uid="{00000000-0004-0000-0400-000067030000}"/>
    <hyperlink ref="C877" r:id="rId873" xr:uid="{00000000-0004-0000-0400-000068030000}"/>
    <hyperlink ref="C878" r:id="rId874" xr:uid="{00000000-0004-0000-0400-000069030000}"/>
    <hyperlink ref="C879" r:id="rId875" xr:uid="{00000000-0004-0000-0400-00006A030000}"/>
    <hyperlink ref="C880" r:id="rId876" xr:uid="{00000000-0004-0000-0400-00006B030000}"/>
    <hyperlink ref="C881" r:id="rId877" xr:uid="{00000000-0004-0000-0400-00006C030000}"/>
    <hyperlink ref="C882" r:id="rId878" xr:uid="{00000000-0004-0000-0400-00006D030000}"/>
    <hyperlink ref="C883" r:id="rId879" xr:uid="{00000000-0004-0000-0400-00006E030000}"/>
    <hyperlink ref="C884" r:id="rId880" xr:uid="{00000000-0004-0000-0400-00006F030000}"/>
    <hyperlink ref="C885" r:id="rId881" xr:uid="{00000000-0004-0000-0400-000070030000}"/>
    <hyperlink ref="C886" r:id="rId882" xr:uid="{00000000-0004-0000-0400-000071030000}"/>
    <hyperlink ref="C887" r:id="rId883" xr:uid="{00000000-0004-0000-0400-000072030000}"/>
    <hyperlink ref="C888" r:id="rId884" xr:uid="{00000000-0004-0000-0400-000073030000}"/>
    <hyperlink ref="C889" r:id="rId885" xr:uid="{00000000-0004-0000-0400-000074030000}"/>
    <hyperlink ref="C890" r:id="rId886" xr:uid="{00000000-0004-0000-0400-000075030000}"/>
    <hyperlink ref="C891" r:id="rId887" xr:uid="{00000000-0004-0000-0400-000076030000}"/>
    <hyperlink ref="C892" r:id="rId888" xr:uid="{00000000-0004-0000-0400-000077030000}"/>
    <hyperlink ref="C893" r:id="rId889" xr:uid="{00000000-0004-0000-0400-000078030000}"/>
    <hyperlink ref="C894" r:id="rId890" xr:uid="{00000000-0004-0000-0400-000079030000}"/>
    <hyperlink ref="C895" r:id="rId891" xr:uid="{00000000-0004-0000-0400-00007A030000}"/>
    <hyperlink ref="C896" r:id="rId892" xr:uid="{00000000-0004-0000-0400-00007B030000}"/>
    <hyperlink ref="C897" r:id="rId893" xr:uid="{00000000-0004-0000-0400-00007C030000}"/>
    <hyperlink ref="C898" r:id="rId894" xr:uid="{00000000-0004-0000-0400-00007D030000}"/>
    <hyperlink ref="C899" r:id="rId895" xr:uid="{00000000-0004-0000-0400-00007E030000}"/>
    <hyperlink ref="C900" r:id="rId896" xr:uid="{00000000-0004-0000-0400-00007F030000}"/>
    <hyperlink ref="C901" r:id="rId897" xr:uid="{00000000-0004-0000-0400-000080030000}"/>
    <hyperlink ref="C902" r:id="rId898" xr:uid="{00000000-0004-0000-0400-000081030000}"/>
    <hyperlink ref="C903" r:id="rId899" xr:uid="{00000000-0004-0000-0400-000082030000}"/>
    <hyperlink ref="C904" r:id="rId900" xr:uid="{00000000-0004-0000-0400-000083030000}"/>
    <hyperlink ref="C905" r:id="rId901" xr:uid="{00000000-0004-0000-0400-000084030000}"/>
    <hyperlink ref="C906" r:id="rId902" xr:uid="{00000000-0004-0000-0400-000085030000}"/>
    <hyperlink ref="C907" r:id="rId903" xr:uid="{00000000-0004-0000-0400-000086030000}"/>
    <hyperlink ref="C908" r:id="rId904" xr:uid="{00000000-0004-0000-0400-000087030000}"/>
    <hyperlink ref="C909" r:id="rId905" xr:uid="{00000000-0004-0000-0400-000088030000}"/>
    <hyperlink ref="C910" r:id="rId906" xr:uid="{00000000-0004-0000-0400-000089030000}"/>
    <hyperlink ref="C911" r:id="rId907" xr:uid="{00000000-0004-0000-0400-00008A030000}"/>
    <hyperlink ref="C912" r:id="rId908" xr:uid="{00000000-0004-0000-0400-00008B030000}"/>
    <hyperlink ref="C913" r:id="rId909" xr:uid="{00000000-0004-0000-0400-00008C030000}"/>
    <hyperlink ref="C914" r:id="rId910" xr:uid="{00000000-0004-0000-0400-00008D030000}"/>
    <hyperlink ref="C915" r:id="rId911" xr:uid="{00000000-0004-0000-0400-00008E030000}"/>
    <hyperlink ref="C916" r:id="rId912" xr:uid="{00000000-0004-0000-0400-00008F030000}"/>
    <hyperlink ref="C917" r:id="rId913" xr:uid="{00000000-0004-0000-0400-000090030000}"/>
    <hyperlink ref="C918" r:id="rId914" xr:uid="{00000000-0004-0000-0400-000091030000}"/>
    <hyperlink ref="C919" r:id="rId915" xr:uid="{00000000-0004-0000-0400-000092030000}"/>
    <hyperlink ref="C920" r:id="rId916" xr:uid="{00000000-0004-0000-0400-000093030000}"/>
    <hyperlink ref="C921" r:id="rId917" xr:uid="{00000000-0004-0000-0400-000094030000}"/>
    <hyperlink ref="C922" r:id="rId918" xr:uid="{00000000-0004-0000-0400-000095030000}"/>
    <hyperlink ref="C923" r:id="rId919" xr:uid="{00000000-0004-0000-0400-000096030000}"/>
    <hyperlink ref="C924" r:id="rId920" xr:uid="{00000000-0004-0000-0400-000097030000}"/>
    <hyperlink ref="C925" r:id="rId921" xr:uid="{00000000-0004-0000-0400-000098030000}"/>
    <hyperlink ref="C926" r:id="rId922" xr:uid="{00000000-0004-0000-0400-000099030000}"/>
    <hyperlink ref="C927" r:id="rId923" xr:uid="{00000000-0004-0000-0400-00009A030000}"/>
    <hyperlink ref="C928" r:id="rId924" xr:uid="{00000000-0004-0000-0400-00009B030000}"/>
    <hyperlink ref="C929" r:id="rId925" xr:uid="{00000000-0004-0000-0400-00009C030000}"/>
    <hyperlink ref="C930" r:id="rId926" xr:uid="{00000000-0004-0000-0400-00009D030000}"/>
    <hyperlink ref="C931" r:id="rId927" xr:uid="{00000000-0004-0000-0400-00009E030000}"/>
    <hyperlink ref="C932" r:id="rId928" xr:uid="{00000000-0004-0000-0400-00009F030000}"/>
    <hyperlink ref="C933" r:id="rId929" xr:uid="{00000000-0004-0000-0400-0000A0030000}"/>
    <hyperlink ref="C934" r:id="rId930" xr:uid="{00000000-0004-0000-0400-0000A1030000}"/>
    <hyperlink ref="C935" r:id="rId931" xr:uid="{00000000-0004-0000-0400-0000A2030000}"/>
    <hyperlink ref="C936" r:id="rId932" xr:uid="{00000000-0004-0000-0400-0000A3030000}"/>
    <hyperlink ref="C937" r:id="rId933" xr:uid="{00000000-0004-0000-0400-0000A4030000}"/>
    <hyperlink ref="C938" r:id="rId934" xr:uid="{00000000-0004-0000-0400-0000A5030000}"/>
    <hyperlink ref="C939" r:id="rId935" xr:uid="{00000000-0004-0000-0400-0000A6030000}"/>
    <hyperlink ref="C940" r:id="rId936" xr:uid="{00000000-0004-0000-0400-0000A7030000}"/>
    <hyperlink ref="C941" r:id="rId937" xr:uid="{00000000-0004-0000-0400-0000A8030000}"/>
    <hyperlink ref="C942" r:id="rId938" xr:uid="{00000000-0004-0000-0400-0000A9030000}"/>
    <hyperlink ref="C943" r:id="rId939" xr:uid="{00000000-0004-0000-0400-0000AA030000}"/>
    <hyperlink ref="C944" r:id="rId940" xr:uid="{00000000-0004-0000-0400-0000AB030000}"/>
    <hyperlink ref="C945" r:id="rId941" xr:uid="{00000000-0004-0000-0400-0000AC030000}"/>
    <hyperlink ref="C946" r:id="rId942" xr:uid="{00000000-0004-0000-0400-0000AD030000}"/>
    <hyperlink ref="C947" r:id="rId943" xr:uid="{00000000-0004-0000-0400-0000AE030000}"/>
    <hyperlink ref="C948" r:id="rId944" xr:uid="{00000000-0004-0000-0400-0000AF030000}"/>
    <hyperlink ref="C949" r:id="rId945" xr:uid="{00000000-0004-0000-0400-0000B0030000}"/>
    <hyperlink ref="C950" r:id="rId946" xr:uid="{00000000-0004-0000-0400-0000B1030000}"/>
    <hyperlink ref="C951" r:id="rId947" xr:uid="{00000000-0004-0000-0400-0000B2030000}"/>
    <hyperlink ref="C952" r:id="rId948" xr:uid="{00000000-0004-0000-0400-0000B3030000}"/>
    <hyperlink ref="C953" r:id="rId949" xr:uid="{00000000-0004-0000-0400-0000B4030000}"/>
    <hyperlink ref="C954" r:id="rId950" xr:uid="{00000000-0004-0000-0400-0000B5030000}"/>
    <hyperlink ref="C955" r:id="rId951" xr:uid="{00000000-0004-0000-0400-0000B6030000}"/>
    <hyperlink ref="C956" r:id="rId952" xr:uid="{00000000-0004-0000-0400-0000B7030000}"/>
    <hyperlink ref="C957" r:id="rId953" xr:uid="{00000000-0004-0000-0400-0000B8030000}"/>
    <hyperlink ref="C958" r:id="rId954" xr:uid="{00000000-0004-0000-0400-0000B9030000}"/>
    <hyperlink ref="C959" r:id="rId955" xr:uid="{00000000-0004-0000-0400-0000BA030000}"/>
    <hyperlink ref="C960" r:id="rId956" xr:uid="{00000000-0004-0000-0400-0000BB030000}"/>
    <hyperlink ref="C961" r:id="rId957" xr:uid="{00000000-0004-0000-0400-0000BC030000}"/>
    <hyperlink ref="C962" r:id="rId958" xr:uid="{00000000-0004-0000-0400-0000BD030000}"/>
    <hyperlink ref="C963" r:id="rId959" xr:uid="{00000000-0004-0000-0400-0000BE030000}"/>
    <hyperlink ref="C964" r:id="rId960" xr:uid="{00000000-0004-0000-0400-0000BF030000}"/>
    <hyperlink ref="C965" r:id="rId961" xr:uid="{00000000-0004-0000-0400-0000C0030000}"/>
    <hyperlink ref="C966" r:id="rId962" xr:uid="{00000000-0004-0000-0400-0000C1030000}"/>
    <hyperlink ref="C967" r:id="rId963" xr:uid="{00000000-0004-0000-0400-0000C2030000}"/>
    <hyperlink ref="C968" r:id="rId964" xr:uid="{00000000-0004-0000-0400-0000C3030000}"/>
    <hyperlink ref="C969" r:id="rId965" xr:uid="{00000000-0004-0000-0400-0000C4030000}"/>
    <hyperlink ref="C970" r:id="rId966" xr:uid="{00000000-0004-0000-0400-0000C5030000}"/>
    <hyperlink ref="C971" r:id="rId967" xr:uid="{00000000-0004-0000-0400-0000C6030000}"/>
    <hyperlink ref="C972" r:id="rId968" xr:uid="{00000000-0004-0000-0400-0000C7030000}"/>
    <hyperlink ref="C973" r:id="rId969" xr:uid="{00000000-0004-0000-0400-0000C8030000}"/>
    <hyperlink ref="C974" r:id="rId970" xr:uid="{00000000-0004-0000-0400-0000C9030000}"/>
    <hyperlink ref="C975" r:id="rId971" xr:uid="{00000000-0004-0000-0400-0000CA030000}"/>
    <hyperlink ref="C976" r:id="rId972" xr:uid="{00000000-0004-0000-0400-0000CB030000}"/>
    <hyperlink ref="C977" r:id="rId973" xr:uid="{00000000-0004-0000-0400-0000CC030000}"/>
    <hyperlink ref="C978" r:id="rId974" xr:uid="{00000000-0004-0000-0400-0000CD030000}"/>
    <hyperlink ref="C979" r:id="rId975" xr:uid="{00000000-0004-0000-0400-0000CE030000}"/>
    <hyperlink ref="C980" r:id="rId976" xr:uid="{00000000-0004-0000-0400-0000CF030000}"/>
    <hyperlink ref="C981" r:id="rId977" xr:uid="{00000000-0004-0000-0400-0000D0030000}"/>
    <hyperlink ref="C982" r:id="rId978" xr:uid="{00000000-0004-0000-0400-0000D1030000}"/>
    <hyperlink ref="C983" r:id="rId979" xr:uid="{00000000-0004-0000-0400-0000D203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400-000002000000}">
          <x14:formula1>
            <xm:f>Parametros!$A$21:$A$26</xm:f>
          </x14:formula1>
          <xm:sqref>I5:I983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2"/>
  <sheetViews>
    <sheetView showGridLines="0" workbookViewId="0"/>
  </sheetViews>
  <sheetFormatPr defaultRowHeight="14.4" x14ac:dyDescent="0.3"/>
  <cols>
    <col min="1" max="1" width="38" customWidth="1"/>
    <col min="2" max="3" width="14" customWidth="1"/>
    <col min="4" max="4" width="16" customWidth="1"/>
    <col min="5" max="6" width="10" customWidth="1"/>
    <col min="7" max="7" width="60" customWidth="1"/>
  </cols>
  <sheetData>
    <row r="1" spans="1:3" ht="17.399999999999999" x14ac:dyDescent="0.3">
      <c r="A1" s="1" t="s">
        <v>2153</v>
      </c>
    </row>
    <row r="2" spans="1:3" ht="52.8" x14ac:dyDescent="0.3">
      <c r="A2" s="2" t="s">
        <v>2154</v>
      </c>
    </row>
    <row r="3" spans="1:3" x14ac:dyDescent="0.3">
      <c r="A3" s="6" t="s">
        <v>2155</v>
      </c>
      <c r="B3" s="6" t="s">
        <v>2156</v>
      </c>
    </row>
    <row r="4" spans="1:3" x14ac:dyDescent="0.3">
      <c r="A4" s="3" t="s">
        <v>2157</v>
      </c>
      <c r="B4" s="15">
        <v>30</v>
      </c>
    </row>
    <row r="5" spans="1:3" x14ac:dyDescent="0.3">
      <c r="A5" s="3" t="s">
        <v>2158</v>
      </c>
      <c r="B5" s="15">
        <v>20</v>
      </c>
    </row>
    <row r="6" spans="1:3" x14ac:dyDescent="0.3">
      <c r="A6" s="3" t="s">
        <v>2159</v>
      </c>
      <c r="B6" s="15">
        <v>20</v>
      </c>
    </row>
    <row r="7" spans="1:3" x14ac:dyDescent="0.3">
      <c r="A7" s="3" t="s">
        <v>2160</v>
      </c>
      <c r="B7" s="15">
        <v>15</v>
      </c>
    </row>
    <row r="8" spans="1:3" x14ac:dyDescent="0.3">
      <c r="A8" s="3" t="s">
        <v>404</v>
      </c>
      <c r="B8" s="15">
        <v>15</v>
      </c>
    </row>
    <row r="9" spans="1:3" x14ac:dyDescent="0.3">
      <c r="A9" s="30" t="s">
        <v>2161</v>
      </c>
      <c r="B9" s="5">
        <f>SUM(B4:B8)</f>
        <v>100</v>
      </c>
      <c r="C9" s="31" t="str">
        <f>IF(B9=100,"ok","os pesos devem somar 100")</f>
        <v>ok</v>
      </c>
    </row>
    <row r="11" spans="1:3" x14ac:dyDescent="0.3">
      <c r="A11" s="13" t="s">
        <v>2162</v>
      </c>
    </row>
    <row r="12" spans="1:3" x14ac:dyDescent="0.3">
      <c r="A12" s="3" t="s">
        <v>2163</v>
      </c>
      <c r="B12" s="32">
        <v>2.5</v>
      </c>
    </row>
    <row r="13" spans="1:3" x14ac:dyDescent="0.3">
      <c r="A13" s="3" t="s">
        <v>2164</v>
      </c>
      <c r="B13" s="32">
        <v>3.3</v>
      </c>
    </row>
    <row r="14" spans="1:3" x14ac:dyDescent="0.3">
      <c r="A14" s="3" t="s">
        <v>2165</v>
      </c>
      <c r="B14" s="32">
        <v>3.9</v>
      </c>
      <c r="C14" s="12" t="s">
        <v>2166</v>
      </c>
    </row>
    <row r="16" spans="1:3" ht="26.4" x14ac:dyDescent="0.3">
      <c r="A16" s="13" t="s">
        <v>2167</v>
      </c>
    </row>
    <row r="17" spans="1:6" x14ac:dyDescent="0.3">
      <c r="A17" s="3" t="s">
        <v>2168</v>
      </c>
      <c r="B17" s="15">
        <v>3</v>
      </c>
    </row>
    <row r="18" spans="1:6" x14ac:dyDescent="0.3">
      <c r="A18" s="3" t="s">
        <v>2169</v>
      </c>
      <c r="B18" s="15">
        <v>4</v>
      </c>
    </row>
    <row r="20" spans="1:6" x14ac:dyDescent="0.3">
      <c r="A20" s="13" t="s">
        <v>2170</v>
      </c>
    </row>
    <row r="21" spans="1:6" x14ac:dyDescent="0.3">
      <c r="A21" s="3" t="s">
        <v>109</v>
      </c>
      <c r="B21" s="33">
        <v>0.3</v>
      </c>
    </row>
    <row r="22" spans="1:6" x14ac:dyDescent="0.3">
      <c r="A22" s="3" t="s">
        <v>122</v>
      </c>
      <c r="B22" s="33">
        <v>0</v>
      </c>
    </row>
    <row r="23" spans="1:6" x14ac:dyDescent="0.3">
      <c r="A23" s="3" t="s">
        <v>131</v>
      </c>
      <c r="B23" s="33">
        <v>0</v>
      </c>
    </row>
    <row r="24" spans="1:6" x14ac:dyDescent="0.3">
      <c r="A24" s="3" t="s">
        <v>152</v>
      </c>
      <c r="B24" s="33">
        <v>0</v>
      </c>
    </row>
    <row r="25" spans="1:6" x14ac:dyDescent="0.3">
      <c r="A25" s="3" t="s">
        <v>359</v>
      </c>
      <c r="B25" s="33">
        <v>-0.2</v>
      </c>
    </row>
    <row r="26" spans="1:6" x14ac:dyDescent="0.3">
      <c r="A26" s="3" t="s">
        <v>954</v>
      </c>
      <c r="B26" s="33">
        <v>-0.3</v>
      </c>
    </row>
    <row r="28" spans="1:6" x14ac:dyDescent="0.3">
      <c r="A28" s="13" t="s">
        <v>2171</v>
      </c>
    </row>
    <row r="29" spans="1:6" x14ac:dyDescent="0.3">
      <c r="A29" s="3" t="s">
        <v>2172</v>
      </c>
      <c r="B29" s="34">
        <v>0.9</v>
      </c>
    </row>
    <row r="30" spans="1:6" x14ac:dyDescent="0.3">
      <c r="A30" s="3" t="s">
        <v>2173</v>
      </c>
      <c r="B30" s="34">
        <v>1.1000000000000001</v>
      </c>
    </row>
    <row r="32" spans="1:6" x14ac:dyDescent="0.3">
      <c r="A32" s="6" t="s">
        <v>42</v>
      </c>
      <c r="B32" s="6" t="s">
        <v>2174</v>
      </c>
      <c r="C32" s="6" t="s">
        <v>404</v>
      </c>
      <c r="D32" s="6" t="s">
        <v>2175</v>
      </c>
      <c r="E32" s="6" t="s">
        <v>2176</v>
      </c>
      <c r="F32" s="6" t="s">
        <v>2177</v>
      </c>
    </row>
    <row r="33" spans="1:6" x14ac:dyDescent="0.3">
      <c r="A33" s="3" t="s">
        <v>48</v>
      </c>
      <c r="B33" s="15">
        <v>5</v>
      </c>
      <c r="C33" s="15">
        <v>5</v>
      </c>
      <c r="D33" s="15">
        <v>5</v>
      </c>
      <c r="E33" s="25">
        <f t="shared" ref="E33:E42" si="0">ROUND(AVERAGE(B33:D33),2)</f>
        <v>5</v>
      </c>
      <c r="F33" s="26">
        <f t="shared" ref="F33:F42" si="1">ROUND($B$29+($B$30-$B$29)*(E33-1)/4,3)</f>
        <v>1.1000000000000001</v>
      </c>
    </row>
    <row r="34" spans="1:6" x14ac:dyDescent="0.3">
      <c r="A34" s="3" t="s">
        <v>49</v>
      </c>
      <c r="B34" s="15">
        <v>5</v>
      </c>
      <c r="C34" s="15">
        <v>5</v>
      </c>
      <c r="D34" s="15">
        <v>5</v>
      </c>
      <c r="E34" s="25">
        <f t="shared" si="0"/>
        <v>5</v>
      </c>
      <c r="F34" s="26">
        <f t="shared" si="1"/>
        <v>1.1000000000000001</v>
      </c>
    </row>
    <row r="35" spans="1:6" x14ac:dyDescent="0.3">
      <c r="A35" s="3" t="s">
        <v>50</v>
      </c>
      <c r="B35" s="15">
        <v>5</v>
      </c>
      <c r="C35" s="15">
        <v>5</v>
      </c>
      <c r="D35" s="15">
        <v>4</v>
      </c>
      <c r="E35" s="25">
        <f t="shared" si="0"/>
        <v>4.67</v>
      </c>
      <c r="F35" s="26">
        <f t="shared" si="1"/>
        <v>1.0840000000000001</v>
      </c>
    </row>
    <row r="36" spans="1:6" x14ac:dyDescent="0.3">
      <c r="A36" s="3" t="s">
        <v>51</v>
      </c>
      <c r="B36" s="15">
        <v>5</v>
      </c>
      <c r="C36" s="15">
        <v>3</v>
      </c>
      <c r="D36" s="15">
        <v>5</v>
      </c>
      <c r="E36" s="25">
        <f t="shared" si="0"/>
        <v>4.33</v>
      </c>
      <c r="F36" s="26">
        <f t="shared" si="1"/>
        <v>1.0669999999999999</v>
      </c>
    </row>
    <row r="37" spans="1:6" x14ac:dyDescent="0.3">
      <c r="A37" s="3" t="s">
        <v>52</v>
      </c>
      <c r="B37" s="15">
        <v>5</v>
      </c>
      <c r="C37" s="15">
        <v>4</v>
      </c>
      <c r="D37" s="15">
        <v>3</v>
      </c>
      <c r="E37" s="25">
        <f t="shared" si="0"/>
        <v>4</v>
      </c>
      <c r="F37" s="26">
        <f t="shared" si="1"/>
        <v>1.05</v>
      </c>
    </row>
    <row r="38" spans="1:6" x14ac:dyDescent="0.3">
      <c r="A38" s="3" t="s">
        <v>53</v>
      </c>
      <c r="B38" s="15">
        <v>4</v>
      </c>
      <c r="C38" s="15">
        <v>5</v>
      </c>
      <c r="D38" s="15">
        <v>3</v>
      </c>
      <c r="E38" s="25">
        <f t="shared" si="0"/>
        <v>4</v>
      </c>
      <c r="F38" s="26">
        <f t="shared" si="1"/>
        <v>1.05</v>
      </c>
    </row>
    <row r="39" spans="1:6" x14ac:dyDescent="0.3">
      <c r="A39" s="3" t="s">
        <v>54</v>
      </c>
      <c r="B39" s="15">
        <v>4</v>
      </c>
      <c r="C39" s="15">
        <v>4</v>
      </c>
      <c r="D39" s="15">
        <v>3</v>
      </c>
      <c r="E39" s="25">
        <f t="shared" si="0"/>
        <v>3.67</v>
      </c>
      <c r="F39" s="26">
        <f t="shared" si="1"/>
        <v>1.034</v>
      </c>
    </row>
    <row r="40" spans="1:6" x14ac:dyDescent="0.3">
      <c r="A40" s="3" t="s">
        <v>55</v>
      </c>
      <c r="B40" s="15">
        <v>4</v>
      </c>
      <c r="C40" s="15">
        <v>4</v>
      </c>
      <c r="D40" s="15">
        <v>3</v>
      </c>
      <c r="E40" s="25">
        <f t="shared" si="0"/>
        <v>3.67</v>
      </c>
      <c r="F40" s="26">
        <f t="shared" si="1"/>
        <v>1.034</v>
      </c>
    </row>
    <row r="41" spans="1:6" x14ac:dyDescent="0.3">
      <c r="A41" s="3" t="s">
        <v>56</v>
      </c>
      <c r="B41" s="15">
        <v>4</v>
      </c>
      <c r="C41" s="15">
        <v>3</v>
      </c>
      <c r="D41" s="15">
        <v>3</v>
      </c>
      <c r="E41" s="25">
        <f t="shared" si="0"/>
        <v>3.33</v>
      </c>
      <c r="F41" s="26">
        <f t="shared" si="1"/>
        <v>1.0169999999999999</v>
      </c>
    </row>
    <row r="42" spans="1:6" x14ac:dyDescent="0.3">
      <c r="A42" s="3" t="s">
        <v>57</v>
      </c>
      <c r="B42" s="15">
        <v>3</v>
      </c>
      <c r="C42" s="15">
        <v>3</v>
      </c>
      <c r="D42" s="15">
        <v>3</v>
      </c>
      <c r="E42" s="25">
        <f t="shared" si="0"/>
        <v>3</v>
      </c>
      <c r="F42" s="26">
        <f t="shared" si="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Leia-me</vt:lpstr>
      <vt:lpstr>Resumo</vt:lpstr>
      <vt:lpstr>Urgente</vt:lpstr>
      <vt:lpstr>Alta</vt:lpstr>
      <vt:lpstr>Todas</vt:lpstr>
      <vt:lpstr>Parametros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Kawasaki</cp:lastModifiedBy>
  <dcterms:created xsi:type="dcterms:W3CDTF">2026-10-27T19:31:52Z</dcterms:created>
  <dcterms:modified xsi:type="dcterms:W3CDTF">2026-10-27T19:31:59Z</dcterms:modified>
</cp:coreProperties>
</file>