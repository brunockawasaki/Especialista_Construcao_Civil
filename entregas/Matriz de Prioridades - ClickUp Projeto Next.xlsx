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grupogadens-my.sharepoint.com/personal/bruno_kawasaki_grupogadens_com_br/Documents/1. Bruno Kawasaki/Projeto teste/"/>
    </mc:Choice>
  </mc:AlternateContent>
  <xr:revisionPtr revIDLastSave="8" documentId="11_0FE6EFEBE9A23F1B64EABCE2C1253307B9297D7D" xr6:coauthVersionLast="47" xr6:coauthVersionMax="47" xr10:uidLastSave="{C556E431-E519-4125-9331-2711A454502C}"/>
  <bookViews>
    <workbookView xWindow="-108" yWindow="-108" windowWidth="23256" windowHeight="12456" activeTab="4" xr2:uid="{00000000-000D-0000-FFFF-FFFF00000000}"/>
  </bookViews>
  <sheets>
    <sheet name="Leia-me" sheetId="1" r:id="rId1"/>
    <sheet name="Matriz" sheetId="2" r:id="rId2"/>
    <sheet name="Processos" sheetId="3" r:id="rId3"/>
    <sheet name="Resumo" sheetId="4" r:id="rId4"/>
    <sheet name="Tarefas" sheetId="5" r:id="rId5"/>
  </sheets>
  <definedNames>
    <definedName name="_xlnm._FilterDatabase" localSheetId="4" hidden="1">Tarefas!$A$4:$Y$405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05" i="5" l="1"/>
  <c r="O405" i="5"/>
  <c r="R405" i="5" s="1"/>
  <c r="S405" i="5" s="1"/>
  <c r="T405" i="5" s="1"/>
  <c r="Q404" i="5"/>
  <c r="O404" i="5"/>
  <c r="R404" i="5" s="1"/>
  <c r="S404" i="5" s="1"/>
  <c r="T404" i="5" s="1"/>
  <c r="Q403" i="5"/>
  <c r="O403" i="5"/>
  <c r="R403" i="5" s="1"/>
  <c r="S403" i="5" s="1"/>
  <c r="T403" i="5" s="1"/>
  <c r="Q402" i="5"/>
  <c r="O402" i="5"/>
  <c r="R402" i="5" s="1"/>
  <c r="S402" i="5" s="1"/>
  <c r="T402" i="5" s="1"/>
  <c r="Q401" i="5"/>
  <c r="O401" i="5"/>
  <c r="R401" i="5" s="1"/>
  <c r="S401" i="5" s="1"/>
  <c r="T401" i="5" s="1"/>
  <c r="Q400" i="5"/>
  <c r="O400" i="5"/>
  <c r="R400" i="5" s="1"/>
  <c r="S400" i="5" s="1"/>
  <c r="T400" i="5" s="1"/>
  <c r="Q399" i="5"/>
  <c r="O399" i="5"/>
  <c r="R399" i="5" s="1"/>
  <c r="S399" i="5" s="1"/>
  <c r="T399" i="5" s="1"/>
  <c r="Q398" i="5"/>
  <c r="O398" i="5"/>
  <c r="R398" i="5" s="1"/>
  <c r="S398" i="5" s="1"/>
  <c r="T398" i="5" s="1"/>
  <c r="Q397" i="5"/>
  <c r="O397" i="5"/>
  <c r="R397" i="5" s="1"/>
  <c r="S397" i="5" s="1"/>
  <c r="T397" i="5" s="1"/>
  <c r="Q396" i="5"/>
  <c r="O396" i="5"/>
  <c r="R396" i="5" s="1"/>
  <c r="S396" i="5" s="1"/>
  <c r="T396" i="5" s="1"/>
  <c r="Q395" i="5"/>
  <c r="O395" i="5"/>
  <c r="R395" i="5" s="1"/>
  <c r="S395" i="5" s="1"/>
  <c r="T395" i="5" s="1"/>
  <c r="Q394" i="5"/>
  <c r="O394" i="5"/>
  <c r="R394" i="5" s="1"/>
  <c r="S394" i="5" s="1"/>
  <c r="T394" i="5" s="1"/>
  <c r="Q393" i="5"/>
  <c r="O393" i="5"/>
  <c r="R393" i="5" s="1"/>
  <c r="S393" i="5" s="1"/>
  <c r="T393" i="5" s="1"/>
  <c r="Q392" i="5"/>
  <c r="O392" i="5"/>
  <c r="R392" i="5" s="1"/>
  <c r="S392" i="5" s="1"/>
  <c r="T392" i="5" s="1"/>
  <c r="Q391" i="5"/>
  <c r="O391" i="5"/>
  <c r="R391" i="5" s="1"/>
  <c r="S391" i="5" s="1"/>
  <c r="T391" i="5" s="1"/>
  <c r="Q390" i="5"/>
  <c r="O390" i="5"/>
  <c r="R390" i="5" s="1"/>
  <c r="S390" i="5" s="1"/>
  <c r="T390" i="5" s="1"/>
  <c r="Q389" i="5"/>
  <c r="O389" i="5"/>
  <c r="R389" i="5" s="1"/>
  <c r="S389" i="5" s="1"/>
  <c r="T389" i="5" s="1"/>
  <c r="Q388" i="5"/>
  <c r="O388" i="5"/>
  <c r="R388" i="5" s="1"/>
  <c r="S388" i="5" s="1"/>
  <c r="T388" i="5" s="1"/>
  <c r="Q387" i="5"/>
  <c r="O387" i="5"/>
  <c r="R387" i="5" s="1"/>
  <c r="S387" i="5" s="1"/>
  <c r="T387" i="5" s="1"/>
  <c r="Q386" i="5"/>
  <c r="O386" i="5"/>
  <c r="Q385" i="5"/>
  <c r="O385" i="5"/>
  <c r="R385" i="5" s="1"/>
  <c r="S385" i="5" s="1"/>
  <c r="T385" i="5" s="1"/>
  <c r="Q384" i="5"/>
  <c r="O384" i="5"/>
  <c r="R384" i="5" s="1"/>
  <c r="S384" i="5" s="1"/>
  <c r="T384" i="5" s="1"/>
  <c r="Q383" i="5"/>
  <c r="O383" i="5"/>
  <c r="R383" i="5" s="1"/>
  <c r="S383" i="5" s="1"/>
  <c r="T383" i="5" s="1"/>
  <c r="Q382" i="5"/>
  <c r="O382" i="5"/>
  <c r="R382" i="5" s="1"/>
  <c r="S382" i="5" s="1"/>
  <c r="T382" i="5" s="1"/>
  <c r="Q381" i="5"/>
  <c r="O381" i="5"/>
  <c r="R381" i="5" s="1"/>
  <c r="S381" i="5" s="1"/>
  <c r="T381" i="5" s="1"/>
  <c r="Q380" i="5"/>
  <c r="O380" i="5"/>
  <c r="R380" i="5" s="1"/>
  <c r="S380" i="5" s="1"/>
  <c r="T380" i="5" s="1"/>
  <c r="Q379" i="5"/>
  <c r="O379" i="5"/>
  <c r="R379" i="5" s="1"/>
  <c r="S379" i="5" s="1"/>
  <c r="T379" i="5" s="1"/>
  <c r="Q378" i="5"/>
  <c r="O378" i="5"/>
  <c r="R378" i="5" s="1"/>
  <c r="S378" i="5" s="1"/>
  <c r="T378" i="5" s="1"/>
  <c r="Q377" i="5"/>
  <c r="O377" i="5"/>
  <c r="Q376" i="5"/>
  <c r="O376" i="5"/>
  <c r="R376" i="5" s="1"/>
  <c r="S376" i="5" s="1"/>
  <c r="T376" i="5" s="1"/>
  <c r="Q375" i="5"/>
  <c r="O375" i="5"/>
  <c r="R375" i="5" s="1"/>
  <c r="S375" i="5" s="1"/>
  <c r="T375" i="5" s="1"/>
  <c r="Q374" i="5"/>
  <c r="O374" i="5"/>
  <c r="R374" i="5" s="1"/>
  <c r="S374" i="5" s="1"/>
  <c r="T374" i="5" s="1"/>
  <c r="Q373" i="5"/>
  <c r="O373" i="5"/>
  <c r="R373" i="5" s="1"/>
  <c r="S373" i="5" s="1"/>
  <c r="T373" i="5" s="1"/>
  <c r="Q372" i="5"/>
  <c r="O372" i="5"/>
  <c r="R372" i="5" s="1"/>
  <c r="S372" i="5" s="1"/>
  <c r="T372" i="5" s="1"/>
  <c r="Q371" i="5"/>
  <c r="O371" i="5"/>
  <c r="R371" i="5" s="1"/>
  <c r="Q370" i="5"/>
  <c r="O370" i="5"/>
  <c r="R370" i="5" s="1"/>
  <c r="Q369" i="5"/>
  <c r="O369" i="5"/>
  <c r="R369" i="5" s="1"/>
  <c r="S369" i="5" s="1"/>
  <c r="T369" i="5" s="1"/>
  <c r="Q368" i="5"/>
  <c r="O368" i="5"/>
  <c r="R368" i="5" s="1"/>
  <c r="S368" i="5" s="1"/>
  <c r="T368" i="5" s="1"/>
  <c r="Q367" i="5"/>
  <c r="O367" i="5"/>
  <c r="R367" i="5" s="1"/>
  <c r="S367" i="5" s="1"/>
  <c r="T367" i="5" s="1"/>
  <c r="Q366" i="5"/>
  <c r="O366" i="5"/>
  <c r="R366" i="5" s="1"/>
  <c r="S366" i="5" s="1"/>
  <c r="T366" i="5" s="1"/>
  <c r="Q365" i="5"/>
  <c r="O365" i="5"/>
  <c r="R365" i="5" s="1"/>
  <c r="S365" i="5" s="1"/>
  <c r="T365" i="5" s="1"/>
  <c r="Q364" i="5"/>
  <c r="O364" i="5"/>
  <c r="R364" i="5" s="1"/>
  <c r="S364" i="5" s="1"/>
  <c r="T364" i="5" s="1"/>
  <c r="Q363" i="5"/>
  <c r="O363" i="5"/>
  <c r="R363" i="5" s="1"/>
  <c r="S363" i="5" s="1"/>
  <c r="T363" i="5" s="1"/>
  <c r="Q362" i="5"/>
  <c r="O362" i="5"/>
  <c r="R362" i="5" s="1"/>
  <c r="S362" i="5" s="1"/>
  <c r="T362" i="5" s="1"/>
  <c r="Q361" i="5"/>
  <c r="O361" i="5"/>
  <c r="R361" i="5" s="1"/>
  <c r="S361" i="5" s="1"/>
  <c r="T361" i="5" s="1"/>
  <c r="Q360" i="5"/>
  <c r="O360" i="5"/>
  <c r="R360" i="5" s="1"/>
  <c r="S360" i="5" s="1"/>
  <c r="T360" i="5" s="1"/>
  <c r="Q359" i="5"/>
  <c r="O359" i="5"/>
  <c r="R359" i="5" s="1"/>
  <c r="S359" i="5" s="1"/>
  <c r="T359" i="5" s="1"/>
  <c r="Q358" i="5"/>
  <c r="O358" i="5"/>
  <c r="R358" i="5" s="1"/>
  <c r="S358" i="5" s="1"/>
  <c r="T358" i="5" s="1"/>
  <c r="Q357" i="5"/>
  <c r="O357" i="5"/>
  <c r="R357" i="5" s="1"/>
  <c r="S357" i="5" s="1"/>
  <c r="T357" i="5" s="1"/>
  <c r="Q356" i="5"/>
  <c r="O356" i="5"/>
  <c r="R356" i="5" s="1"/>
  <c r="S356" i="5" s="1"/>
  <c r="T356" i="5" s="1"/>
  <c r="Q355" i="5"/>
  <c r="O355" i="5"/>
  <c r="R355" i="5" s="1"/>
  <c r="S355" i="5" s="1"/>
  <c r="T355" i="5" s="1"/>
  <c r="Q354" i="5"/>
  <c r="O354" i="5"/>
  <c r="R354" i="5" s="1"/>
  <c r="S354" i="5" s="1"/>
  <c r="T354" i="5" s="1"/>
  <c r="Q353" i="5"/>
  <c r="O353" i="5"/>
  <c r="R353" i="5" s="1"/>
  <c r="S353" i="5" s="1"/>
  <c r="T353" i="5" s="1"/>
  <c r="Q352" i="5"/>
  <c r="O352" i="5"/>
  <c r="R352" i="5" s="1"/>
  <c r="S352" i="5" s="1"/>
  <c r="T352" i="5" s="1"/>
  <c r="Q351" i="5"/>
  <c r="O351" i="5"/>
  <c r="R351" i="5" s="1"/>
  <c r="S351" i="5" s="1"/>
  <c r="T351" i="5" s="1"/>
  <c r="Q350" i="5"/>
  <c r="O350" i="5"/>
  <c r="R350" i="5" s="1"/>
  <c r="S350" i="5" s="1"/>
  <c r="T350" i="5" s="1"/>
  <c r="Q349" i="5"/>
  <c r="O349" i="5"/>
  <c r="R349" i="5" s="1"/>
  <c r="S349" i="5" s="1"/>
  <c r="T349" i="5" s="1"/>
  <c r="Q348" i="5"/>
  <c r="O348" i="5"/>
  <c r="R348" i="5" s="1"/>
  <c r="S348" i="5" s="1"/>
  <c r="T348" i="5" s="1"/>
  <c r="Q347" i="5"/>
  <c r="O347" i="5"/>
  <c r="R347" i="5" s="1"/>
  <c r="S347" i="5" s="1"/>
  <c r="T347" i="5" s="1"/>
  <c r="Q346" i="5"/>
  <c r="O346" i="5"/>
  <c r="R346" i="5" s="1"/>
  <c r="S346" i="5" s="1"/>
  <c r="T346" i="5" s="1"/>
  <c r="Q345" i="5"/>
  <c r="O345" i="5"/>
  <c r="Q344" i="5"/>
  <c r="O344" i="5"/>
  <c r="R344" i="5" s="1"/>
  <c r="S344" i="5" s="1"/>
  <c r="T344" i="5" s="1"/>
  <c r="Q343" i="5"/>
  <c r="O343" i="5"/>
  <c r="R343" i="5" s="1"/>
  <c r="S343" i="5" s="1"/>
  <c r="T343" i="5" s="1"/>
  <c r="Q342" i="5"/>
  <c r="O342" i="5"/>
  <c r="R342" i="5" s="1"/>
  <c r="S342" i="5" s="1"/>
  <c r="T342" i="5" s="1"/>
  <c r="Q341" i="5"/>
  <c r="O341" i="5"/>
  <c r="R341" i="5" s="1"/>
  <c r="S341" i="5" s="1"/>
  <c r="T341" i="5" s="1"/>
  <c r="Q340" i="5"/>
  <c r="O340" i="5"/>
  <c r="R340" i="5" s="1"/>
  <c r="Q339" i="5"/>
  <c r="O339" i="5"/>
  <c r="R339" i="5" s="1"/>
  <c r="S339" i="5" s="1"/>
  <c r="T339" i="5" s="1"/>
  <c r="Q338" i="5"/>
  <c r="O338" i="5"/>
  <c r="R338" i="5" s="1"/>
  <c r="S338" i="5" s="1"/>
  <c r="T338" i="5" s="1"/>
  <c r="Q337" i="5"/>
  <c r="O337" i="5"/>
  <c r="R337" i="5" s="1"/>
  <c r="S337" i="5" s="1"/>
  <c r="T337" i="5" s="1"/>
  <c r="Q336" i="5"/>
  <c r="O336" i="5"/>
  <c r="R336" i="5" s="1"/>
  <c r="S336" i="5" s="1"/>
  <c r="T336" i="5" s="1"/>
  <c r="Q335" i="5"/>
  <c r="O335" i="5"/>
  <c r="R335" i="5" s="1"/>
  <c r="S335" i="5" s="1"/>
  <c r="T335" i="5" s="1"/>
  <c r="Q334" i="5"/>
  <c r="O334" i="5"/>
  <c r="R334" i="5" s="1"/>
  <c r="S334" i="5" s="1"/>
  <c r="T334" i="5" s="1"/>
  <c r="Q333" i="5"/>
  <c r="O333" i="5"/>
  <c r="R333" i="5" s="1"/>
  <c r="S333" i="5" s="1"/>
  <c r="T333" i="5" s="1"/>
  <c r="Q332" i="5"/>
  <c r="O332" i="5"/>
  <c r="R332" i="5" s="1"/>
  <c r="S332" i="5" s="1"/>
  <c r="T332" i="5" s="1"/>
  <c r="Q331" i="5"/>
  <c r="O331" i="5"/>
  <c r="R331" i="5" s="1"/>
  <c r="S331" i="5" s="1"/>
  <c r="T331" i="5" s="1"/>
  <c r="Q330" i="5"/>
  <c r="O330" i="5"/>
  <c r="R330" i="5" s="1"/>
  <c r="S330" i="5" s="1"/>
  <c r="T330" i="5" s="1"/>
  <c r="Q329" i="5"/>
  <c r="O329" i="5"/>
  <c r="R329" i="5" s="1"/>
  <c r="S329" i="5" s="1"/>
  <c r="T329" i="5" s="1"/>
  <c r="Q328" i="5"/>
  <c r="O328" i="5"/>
  <c r="R328" i="5" s="1"/>
  <c r="S328" i="5" s="1"/>
  <c r="T328" i="5" s="1"/>
  <c r="Q327" i="5"/>
  <c r="O327" i="5"/>
  <c r="R327" i="5" s="1"/>
  <c r="S327" i="5" s="1"/>
  <c r="T327" i="5" s="1"/>
  <c r="Q326" i="5"/>
  <c r="O326" i="5"/>
  <c r="R326" i="5" s="1"/>
  <c r="S326" i="5" s="1"/>
  <c r="T326" i="5" s="1"/>
  <c r="Q325" i="5"/>
  <c r="O325" i="5"/>
  <c r="R325" i="5" s="1"/>
  <c r="S325" i="5" s="1"/>
  <c r="T325" i="5" s="1"/>
  <c r="Q324" i="5"/>
  <c r="O324" i="5"/>
  <c r="R324" i="5" s="1"/>
  <c r="Q323" i="5"/>
  <c r="O323" i="5"/>
  <c r="R323" i="5" s="1"/>
  <c r="S323" i="5" s="1"/>
  <c r="T323" i="5" s="1"/>
  <c r="Q322" i="5"/>
  <c r="O322" i="5"/>
  <c r="R322" i="5" s="1"/>
  <c r="S322" i="5" s="1"/>
  <c r="T322" i="5" s="1"/>
  <c r="Q321" i="5"/>
  <c r="O321" i="5"/>
  <c r="R321" i="5" s="1"/>
  <c r="S321" i="5" s="1"/>
  <c r="T321" i="5" s="1"/>
  <c r="Q320" i="5"/>
  <c r="O320" i="5"/>
  <c r="R320" i="5" s="1"/>
  <c r="S320" i="5" s="1"/>
  <c r="T320" i="5" s="1"/>
  <c r="Q319" i="5"/>
  <c r="O319" i="5"/>
  <c r="R319" i="5" s="1"/>
  <c r="S319" i="5" s="1"/>
  <c r="T319" i="5" s="1"/>
  <c r="Q318" i="5"/>
  <c r="O318" i="5"/>
  <c r="R318" i="5" s="1"/>
  <c r="S318" i="5" s="1"/>
  <c r="T318" i="5" s="1"/>
  <c r="Q317" i="5"/>
  <c r="O317" i="5"/>
  <c r="R317" i="5" s="1"/>
  <c r="S317" i="5" s="1"/>
  <c r="T317" i="5" s="1"/>
  <c r="Q316" i="5"/>
  <c r="O316" i="5"/>
  <c r="R316" i="5" s="1"/>
  <c r="S316" i="5" s="1"/>
  <c r="T316" i="5" s="1"/>
  <c r="Q315" i="5"/>
  <c r="O315" i="5"/>
  <c r="R315" i="5" s="1"/>
  <c r="S315" i="5" s="1"/>
  <c r="T315" i="5" s="1"/>
  <c r="Q314" i="5"/>
  <c r="O314" i="5"/>
  <c r="R314" i="5" s="1"/>
  <c r="S314" i="5" s="1"/>
  <c r="T314" i="5" s="1"/>
  <c r="Q313" i="5"/>
  <c r="O313" i="5"/>
  <c r="R313" i="5" s="1"/>
  <c r="S313" i="5" s="1"/>
  <c r="T313" i="5" s="1"/>
  <c r="Q312" i="5"/>
  <c r="O312" i="5"/>
  <c r="R312" i="5" s="1"/>
  <c r="Q311" i="5"/>
  <c r="O311" i="5"/>
  <c r="R311" i="5" s="1"/>
  <c r="S311" i="5" s="1"/>
  <c r="T311" i="5" s="1"/>
  <c r="Q310" i="5"/>
  <c r="O310" i="5"/>
  <c r="R310" i="5" s="1"/>
  <c r="S310" i="5" s="1"/>
  <c r="T310" i="5" s="1"/>
  <c r="Q309" i="5"/>
  <c r="O309" i="5"/>
  <c r="R309" i="5" s="1"/>
  <c r="S309" i="5" s="1"/>
  <c r="T309" i="5" s="1"/>
  <c r="Q308" i="5"/>
  <c r="O308" i="5"/>
  <c r="R308" i="5" s="1"/>
  <c r="S308" i="5" s="1"/>
  <c r="T308" i="5" s="1"/>
  <c r="Q307" i="5"/>
  <c r="O307" i="5"/>
  <c r="R307" i="5" s="1"/>
  <c r="S307" i="5" s="1"/>
  <c r="T307" i="5" s="1"/>
  <c r="Q306" i="5"/>
  <c r="O306" i="5"/>
  <c r="R306" i="5" s="1"/>
  <c r="S306" i="5" s="1"/>
  <c r="T306" i="5" s="1"/>
  <c r="Q305" i="5"/>
  <c r="O305" i="5"/>
  <c r="R305" i="5" s="1"/>
  <c r="S305" i="5" s="1"/>
  <c r="T305" i="5" s="1"/>
  <c r="Q304" i="5"/>
  <c r="O304" i="5"/>
  <c r="R304" i="5" s="1"/>
  <c r="S304" i="5" s="1"/>
  <c r="T304" i="5" s="1"/>
  <c r="Q303" i="5"/>
  <c r="O303" i="5"/>
  <c r="R303" i="5" s="1"/>
  <c r="S303" i="5" s="1"/>
  <c r="T303" i="5" s="1"/>
  <c r="Q302" i="5"/>
  <c r="O302" i="5"/>
  <c r="R302" i="5" s="1"/>
  <c r="S302" i="5" s="1"/>
  <c r="T302" i="5" s="1"/>
  <c r="Q301" i="5"/>
  <c r="O301" i="5"/>
  <c r="R301" i="5" s="1"/>
  <c r="S301" i="5" s="1"/>
  <c r="T301" i="5" s="1"/>
  <c r="Q300" i="5"/>
  <c r="O300" i="5"/>
  <c r="R300" i="5" s="1"/>
  <c r="S300" i="5" s="1"/>
  <c r="T300" i="5" s="1"/>
  <c r="Q299" i="5"/>
  <c r="O299" i="5"/>
  <c r="R299" i="5" s="1"/>
  <c r="S299" i="5" s="1"/>
  <c r="T299" i="5" s="1"/>
  <c r="Q298" i="5"/>
  <c r="O298" i="5"/>
  <c r="R298" i="5" s="1"/>
  <c r="S298" i="5" s="1"/>
  <c r="T298" i="5" s="1"/>
  <c r="Q297" i="5"/>
  <c r="O297" i="5"/>
  <c r="R297" i="5" s="1"/>
  <c r="S297" i="5" s="1"/>
  <c r="T297" i="5" s="1"/>
  <c r="Q296" i="5"/>
  <c r="O296" i="5"/>
  <c r="R296" i="5" s="1"/>
  <c r="S296" i="5" s="1"/>
  <c r="T296" i="5" s="1"/>
  <c r="Q295" i="5"/>
  <c r="O295" i="5"/>
  <c r="R295" i="5" s="1"/>
  <c r="S295" i="5" s="1"/>
  <c r="T295" i="5" s="1"/>
  <c r="Q294" i="5"/>
  <c r="O294" i="5"/>
  <c r="R294" i="5" s="1"/>
  <c r="S294" i="5" s="1"/>
  <c r="T294" i="5" s="1"/>
  <c r="Q293" i="5"/>
  <c r="O293" i="5"/>
  <c r="R293" i="5" s="1"/>
  <c r="S293" i="5" s="1"/>
  <c r="T293" i="5" s="1"/>
  <c r="Q292" i="5"/>
  <c r="O292" i="5"/>
  <c r="R292" i="5" s="1"/>
  <c r="S292" i="5" s="1"/>
  <c r="T292" i="5" s="1"/>
  <c r="Q291" i="5"/>
  <c r="O291" i="5"/>
  <c r="R291" i="5" s="1"/>
  <c r="S291" i="5" s="1"/>
  <c r="T291" i="5" s="1"/>
  <c r="Q290" i="5"/>
  <c r="O290" i="5"/>
  <c r="R290" i="5" s="1"/>
  <c r="S290" i="5" s="1"/>
  <c r="T290" i="5" s="1"/>
  <c r="Q289" i="5"/>
  <c r="O289" i="5"/>
  <c r="R289" i="5" s="1"/>
  <c r="S289" i="5" s="1"/>
  <c r="T289" i="5" s="1"/>
  <c r="Q288" i="5"/>
  <c r="O288" i="5"/>
  <c r="R288" i="5" s="1"/>
  <c r="S288" i="5" s="1"/>
  <c r="T288" i="5" s="1"/>
  <c r="Q287" i="5"/>
  <c r="O287" i="5"/>
  <c r="R287" i="5" s="1"/>
  <c r="S287" i="5" s="1"/>
  <c r="T287" i="5" s="1"/>
  <c r="Q286" i="5"/>
  <c r="O286" i="5"/>
  <c r="R286" i="5" s="1"/>
  <c r="S286" i="5" s="1"/>
  <c r="T286" i="5" s="1"/>
  <c r="Q285" i="5"/>
  <c r="O285" i="5"/>
  <c r="R285" i="5" s="1"/>
  <c r="S285" i="5" s="1"/>
  <c r="T285" i="5" s="1"/>
  <c r="Q284" i="5"/>
  <c r="O284" i="5"/>
  <c r="R284" i="5" s="1"/>
  <c r="S284" i="5" s="1"/>
  <c r="T284" i="5" s="1"/>
  <c r="Q283" i="5"/>
  <c r="O283" i="5"/>
  <c r="R283" i="5" s="1"/>
  <c r="S283" i="5" s="1"/>
  <c r="T283" i="5" s="1"/>
  <c r="Q282" i="5"/>
  <c r="O282" i="5"/>
  <c r="R282" i="5" s="1"/>
  <c r="S282" i="5" s="1"/>
  <c r="T282" i="5" s="1"/>
  <c r="Q281" i="5"/>
  <c r="O281" i="5"/>
  <c r="R281" i="5" s="1"/>
  <c r="S281" i="5" s="1"/>
  <c r="T281" i="5" s="1"/>
  <c r="Q280" i="5"/>
  <c r="O280" i="5"/>
  <c r="R280" i="5" s="1"/>
  <c r="S280" i="5" s="1"/>
  <c r="T280" i="5" s="1"/>
  <c r="Q279" i="5"/>
  <c r="O279" i="5"/>
  <c r="R279" i="5" s="1"/>
  <c r="S279" i="5" s="1"/>
  <c r="T279" i="5" s="1"/>
  <c r="Q278" i="5"/>
  <c r="O278" i="5"/>
  <c r="R278" i="5" s="1"/>
  <c r="S278" i="5" s="1"/>
  <c r="T278" i="5" s="1"/>
  <c r="Q277" i="5"/>
  <c r="O277" i="5"/>
  <c r="R277" i="5" s="1"/>
  <c r="S277" i="5" s="1"/>
  <c r="T277" i="5" s="1"/>
  <c r="Q276" i="5"/>
  <c r="O276" i="5"/>
  <c r="R276" i="5" s="1"/>
  <c r="S276" i="5" s="1"/>
  <c r="T276" i="5" s="1"/>
  <c r="Q275" i="5"/>
  <c r="O275" i="5"/>
  <c r="R275" i="5" s="1"/>
  <c r="S275" i="5" s="1"/>
  <c r="T275" i="5" s="1"/>
  <c r="Q274" i="5"/>
  <c r="O274" i="5"/>
  <c r="R274" i="5" s="1"/>
  <c r="S274" i="5" s="1"/>
  <c r="T274" i="5" s="1"/>
  <c r="Q273" i="5"/>
  <c r="O273" i="5"/>
  <c r="R273" i="5" s="1"/>
  <c r="S273" i="5" s="1"/>
  <c r="T273" i="5" s="1"/>
  <c r="Q272" i="5"/>
  <c r="O272" i="5"/>
  <c r="R272" i="5" s="1"/>
  <c r="S272" i="5" s="1"/>
  <c r="T272" i="5" s="1"/>
  <c r="Q271" i="5"/>
  <c r="O271" i="5"/>
  <c r="R271" i="5" s="1"/>
  <c r="S271" i="5" s="1"/>
  <c r="T271" i="5" s="1"/>
  <c r="Q270" i="5"/>
  <c r="O270" i="5"/>
  <c r="R270" i="5" s="1"/>
  <c r="S270" i="5" s="1"/>
  <c r="T270" i="5" s="1"/>
  <c r="Q269" i="5"/>
  <c r="O269" i="5"/>
  <c r="R269" i="5" s="1"/>
  <c r="S269" i="5" s="1"/>
  <c r="T269" i="5" s="1"/>
  <c r="Q268" i="5"/>
  <c r="O268" i="5"/>
  <c r="R268" i="5" s="1"/>
  <c r="S268" i="5" s="1"/>
  <c r="T268" i="5" s="1"/>
  <c r="Q267" i="5"/>
  <c r="O267" i="5"/>
  <c r="R267" i="5" s="1"/>
  <c r="S267" i="5" s="1"/>
  <c r="T267" i="5" s="1"/>
  <c r="Q266" i="5"/>
  <c r="O266" i="5"/>
  <c r="R266" i="5" s="1"/>
  <c r="S266" i="5" s="1"/>
  <c r="T266" i="5" s="1"/>
  <c r="Q265" i="5"/>
  <c r="O265" i="5"/>
  <c r="R265" i="5" s="1"/>
  <c r="S265" i="5" s="1"/>
  <c r="T265" i="5" s="1"/>
  <c r="Q264" i="5"/>
  <c r="O264" i="5"/>
  <c r="R264" i="5" s="1"/>
  <c r="S264" i="5" s="1"/>
  <c r="T264" i="5" s="1"/>
  <c r="Q263" i="5"/>
  <c r="O263" i="5"/>
  <c r="R263" i="5" s="1"/>
  <c r="S263" i="5" s="1"/>
  <c r="T263" i="5" s="1"/>
  <c r="Q262" i="5"/>
  <c r="O262" i="5"/>
  <c r="R262" i="5" s="1"/>
  <c r="S262" i="5" s="1"/>
  <c r="T262" i="5" s="1"/>
  <c r="Q261" i="5"/>
  <c r="O261" i="5"/>
  <c r="R261" i="5" s="1"/>
  <c r="S261" i="5" s="1"/>
  <c r="T261" i="5" s="1"/>
  <c r="Q260" i="5"/>
  <c r="O260" i="5"/>
  <c r="R260" i="5" s="1"/>
  <c r="S260" i="5" s="1"/>
  <c r="T260" i="5" s="1"/>
  <c r="Q259" i="5"/>
  <c r="O259" i="5"/>
  <c r="R259" i="5" s="1"/>
  <c r="S259" i="5" s="1"/>
  <c r="T259" i="5" s="1"/>
  <c r="Q258" i="5"/>
  <c r="O258" i="5"/>
  <c r="R258" i="5" s="1"/>
  <c r="S258" i="5" s="1"/>
  <c r="T258" i="5" s="1"/>
  <c r="Q257" i="5"/>
  <c r="O257" i="5"/>
  <c r="R257" i="5" s="1"/>
  <c r="S257" i="5" s="1"/>
  <c r="T257" i="5" s="1"/>
  <c r="Q256" i="5"/>
  <c r="O256" i="5"/>
  <c r="R256" i="5" s="1"/>
  <c r="S256" i="5" s="1"/>
  <c r="T256" i="5" s="1"/>
  <c r="Q255" i="5"/>
  <c r="O255" i="5"/>
  <c r="R255" i="5" s="1"/>
  <c r="S255" i="5" s="1"/>
  <c r="T255" i="5" s="1"/>
  <c r="Q254" i="5"/>
  <c r="O254" i="5"/>
  <c r="R254" i="5" s="1"/>
  <c r="S254" i="5" s="1"/>
  <c r="T254" i="5" s="1"/>
  <c r="Q253" i="5"/>
  <c r="O253" i="5"/>
  <c r="R253" i="5" s="1"/>
  <c r="S253" i="5" s="1"/>
  <c r="T253" i="5" s="1"/>
  <c r="Q252" i="5"/>
  <c r="O252" i="5"/>
  <c r="R252" i="5" s="1"/>
  <c r="S252" i="5" s="1"/>
  <c r="T252" i="5" s="1"/>
  <c r="Q251" i="5"/>
  <c r="O251" i="5"/>
  <c r="R251" i="5" s="1"/>
  <c r="S251" i="5" s="1"/>
  <c r="T251" i="5" s="1"/>
  <c r="Q250" i="5"/>
  <c r="O250" i="5"/>
  <c r="R250" i="5" s="1"/>
  <c r="S250" i="5" s="1"/>
  <c r="T250" i="5" s="1"/>
  <c r="Q249" i="5"/>
  <c r="O249" i="5"/>
  <c r="R249" i="5" s="1"/>
  <c r="S249" i="5" s="1"/>
  <c r="T249" i="5" s="1"/>
  <c r="Q248" i="5"/>
  <c r="O248" i="5"/>
  <c r="R248" i="5" s="1"/>
  <c r="S248" i="5" s="1"/>
  <c r="T248" i="5" s="1"/>
  <c r="Q247" i="5"/>
  <c r="O247" i="5"/>
  <c r="R247" i="5" s="1"/>
  <c r="S247" i="5" s="1"/>
  <c r="T247" i="5" s="1"/>
  <c r="Q246" i="5"/>
  <c r="O246" i="5"/>
  <c r="R246" i="5" s="1"/>
  <c r="S246" i="5" s="1"/>
  <c r="T246" i="5" s="1"/>
  <c r="Q245" i="5"/>
  <c r="O245" i="5"/>
  <c r="R245" i="5" s="1"/>
  <c r="S245" i="5" s="1"/>
  <c r="T245" i="5" s="1"/>
  <c r="Q244" i="5"/>
  <c r="O244" i="5"/>
  <c r="R244" i="5" s="1"/>
  <c r="S244" i="5" s="1"/>
  <c r="T244" i="5" s="1"/>
  <c r="Q243" i="5"/>
  <c r="O243" i="5"/>
  <c r="R243" i="5" s="1"/>
  <c r="S243" i="5" s="1"/>
  <c r="T243" i="5" s="1"/>
  <c r="Q242" i="5"/>
  <c r="O242" i="5"/>
  <c r="R242" i="5" s="1"/>
  <c r="S242" i="5" s="1"/>
  <c r="T242" i="5" s="1"/>
  <c r="Q241" i="5"/>
  <c r="O241" i="5"/>
  <c r="R241" i="5" s="1"/>
  <c r="S241" i="5" s="1"/>
  <c r="T241" i="5" s="1"/>
  <c r="Q240" i="5"/>
  <c r="O240" i="5"/>
  <c r="R240" i="5" s="1"/>
  <c r="S240" i="5" s="1"/>
  <c r="T240" i="5" s="1"/>
  <c r="Q239" i="5"/>
  <c r="O239" i="5"/>
  <c r="R239" i="5" s="1"/>
  <c r="S239" i="5" s="1"/>
  <c r="T239" i="5" s="1"/>
  <c r="Q238" i="5"/>
  <c r="O238" i="5"/>
  <c r="R238" i="5" s="1"/>
  <c r="S238" i="5" s="1"/>
  <c r="T238" i="5" s="1"/>
  <c r="Q237" i="5"/>
  <c r="O237" i="5"/>
  <c r="R237" i="5" s="1"/>
  <c r="Q236" i="5"/>
  <c r="O236" i="5"/>
  <c r="Q235" i="5"/>
  <c r="O235" i="5"/>
  <c r="R235" i="5" s="1"/>
  <c r="S235" i="5" s="1"/>
  <c r="T235" i="5" s="1"/>
  <c r="Q234" i="5"/>
  <c r="O234" i="5"/>
  <c r="R234" i="5" s="1"/>
  <c r="S234" i="5" s="1"/>
  <c r="T234" i="5" s="1"/>
  <c r="Q233" i="5"/>
  <c r="O233" i="5"/>
  <c r="R233" i="5" s="1"/>
  <c r="S233" i="5" s="1"/>
  <c r="T233" i="5" s="1"/>
  <c r="Q232" i="5"/>
  <c r="O232" i="5"/>
  <c r="Q231" i="5"/>
  <c r="O231" i="5"/>
  <c r="R231" i="5" s="1"/>
  <c r="S231" i="5" s="1"/>
  <c r="T231" i="5" s="1"/>
  <c r="Q230" i="5"/>
  <c r="O230" i="5"/>
  <c r="R230" i="5" s="1"/>
  <c r="S230" i="5" s="1"/>
  <c r="T230" i="5" s="1"/>
  <c r="Q229" i="5"/>
  <c r="O229" i="5"/>
  <c r="R229" i="5" s="1"/>
  <c r="S229" i="5" s="1"/>
  <c r="T229" i="5" s="1"/>
  <c r="Q228" i="5"/>
  <c r="O228" i="5"/>
  <c r="R228" i="5" s="1"/>
  <c r="S228" i="5" s="1"/>
  <c r="T228" i="5" s="1"/>
  <c r="Q227" i="5"/>
  <c r="O227" i="5"/>
  <c r="R227" i="5" s="1"/>
  <c r="S227" i="5" s="1"/>
  <c r="T227" i="5" s="1"/>
  <c r="Q226" i="5"/>
  <c r="O226" i="5"/>
  <c r="R226" i="5" s="1"/>
  <c r="S226" i="5" s="1"/>
  <c r="T226" i="5" s="1"/>
  <c r="Q225" i="5"/>
  <c r="O225" i="5"/>
  <c r="R225" i="5" s="1"/>
  <c r="S225" i="5" s="1"/>
  <c r="T225" i="5" s="1"/>
  <c r="Q224" i="5"/>
  <c r="O224" i="5"/>
  <c r="R224" i="5" s="1"/>
  <c r="S224" i="5" s="1"/>
  <c r="T224" i="5" s="1"/>
  <c r="Q223" i="5"/>
  <c r="O223" i="5"/>
  <c r="R223" i="5" s="1"/>
  <c r="S223" i="5" s="1"/>
  <c r="T223" i="5" s="1"/>
  <c r="Q222" i="5"/>
  <c r="O222" i="5"/>
  <c r="R222" i="5" s="1"/>
  <c r="S222" i="5" s="1"/>
  <c r="T222" i="5" s="1"/>
  <c r="Q221" i="5"/>
  <c r="O221" i="5"/>
  <c r="R221" i="5" s="1"/>
  <c r="S221" i="5" s="1"/>
  <c r="T221" i="5" s="1"/>
  <c r="Q220" i="5"/>
  <c r="O220" i="5"/>
  <c r="R220" i="5" s="1"/>
  <c r="S220" i="5" s="1"/>
  <c r="T220" i="5" s="1"/>
  <c r="Q219" i="5"/>
  <c r="O219" i="5"/>
  <c r="R219" i="5" s="1"/>
  <c r="S219" i="5" s="1"/>
  <c r="T219" i="5" s="1"/>
  <c r="Q218" i="5"/>
  <c r="O218" i="5"/>
  <c r="R218" i="5" s="1"/>
  <c r="S218" i="5" s="1"/>
  <c r="T218" i="5" s="1"/>
  <c r="Q217" i="5"/>
  <c r="O217" i="5"/>
  <c r="R217" i="5" s="1"/>
  <c r="S217" i="5" s="1"/>
  <c r="T217" i="5" s="1"/>
  <c r="Q216" i="5"/>
  <c r="O216" i="5"/>
  <c r="R216" i="5" s="1"/>
  <c r="S216" i="5" s="1"/>
  <c r="T216" i="5" s="1"/>
  <c r="Q215" i="5"/>
  <c r="O215" i="5"/>
  <c r="R215" i="5" s="1"/>
  <c r="S215" i="5" s="1"/>
  <c r="T215" i="5" s="1"/>
  <c r="Q214" i="5"/>
  <c r="O214" i="5"/>
  <c r="R214" i="5" s="1"/>
  <c r="S214" i="5" s="1"/>
  <c r="T214" i="5" s="1"/>
  <c r="Q213" i="5"/>
  <c r="O213" i="5"/>
  <c r="R213" i="5" s="1"/>
  <c r="S213" i="5" s="1"/>
  <c r="T213" i="5" s="1"/>
  <c r="Q212" i="5"/>
  <c r="O212" i="5"/>
  <c r="R212" i="5" s="1"/>
  <c r="S212" i="5" s="1"/>
  <c r="T212" i="5" s="1"/>
  <c r="Q211" i="5"/>
  <c r="O211" i="5"/>
  <c r="R211" i="5" s="1"/>
  <c r="S211" i="5" s="1"/>
  <c r="T211" i="5" s="1"/>
  <c r="Q210" i="5"/>
  <c r="O210" i="5"/>
  <c r="Q209" i="5"/>
  <c r="O209" i="5"/>
  <c r="R209" i="5" s="1"/>
  <c r="S209" i="5" s="1"/>
  <c r="T209" i="5" s="1"/>
  <c r="Q208" i="5"/>
  <c r="O208" i="5"/>
  <c r="R208" i="5" s="1"/>
  <c r="S208" i="5" s="1"/>
  <c r="T208" i="5" s="1"/>
  <c r="Q207" i="5"/>
  <c r="O207" i="5"/>
  <c r="R207" i="5" s="1"/>
  <c r="S207" i="5" s="1"/>
  <c r="T207" i="5" s="1"/>
  <c r="Q206" i="5"/>
  <c r="O206" i="5"/>
  <c r="R206" i="5" s="1"/>
  <c r="S206" i="5" s="1"/>
  <c r="T206" i="5" s="1"/>
  <c r="Q205" i="5"/>
  <c r="O205" i="5"/>
  <c r="R205" i="5" s="1"/>
  <c r="S205" i="5" s="1"/>
  <c r="T205" i="5" s="1"/>
  <c r="Q204" i="5"/>
  <c r="O204" i="5"/>
  <c r="R204" i="5" s="1"/>
  <c r="S204" i="5" s="1"/>
  <c r="T204" i="5" s="1"/>
  <c r="Q203" i="5"/>
  <c r="O203" i="5"/>
  <c r="R203" i="5" s="1"/>
  <c r="S203" i="5" s="1"/>
  <c r="T203" i="5" s="1"/>
  <c r="Q202" i="5"/>
  <c r="O202" i="5"/>
  <c r="R202" i="5" s="1"/>
  <c r="S202" i="5" s="1"/>
  <c r="T202" i="5" s="1"/>
  <c r="Q201" i="5"/>
  <c r="O201" i="5"/>
  <c r="R201" i="5" s="1"/>
  <c r="S201" i="5" s="1"/>
  <c r="T201" i="5" s="1"/>
  <c r="Q200" i="5"/>
  <c r="O200" i="5"/>
  <c r="R200" i="5" s="1"/>
  <c r="S200" i="5" s="1"/>
  <c r="T200" i="5" s="1"/>
  <c r="Q199" i="5"/>
  <c r="O199" i="5"/>
  <c r="R199" i="5" s="1"/>
  <c r="S199" i="5" s="1"/>
  <c r="T199" i="5" s="1"/>
  <c r="Q198" i="5"/>
  <c r="O198" i="5"/>
  <c r="R198" i="5" s="1"/>
  <c r="S198" i="5" s="1"/>
  <c r="T198" i="5" s="1"/>
  <c r="Q197" i="5"/>
  <c r="O197" i="5"/>
  <c r="R197" i="5" s="1"/>
  <c r="S197" i="5" s="1"/>
  <c r="T197" i="5" s="1"/>
  <c r="Q196" i="5"/>
  <c r="O196" i="5"/>
  <c r="R196" i="5" s="1"/>
  <c r="S196" i="5" s="1"/>
  <c r="T196" i="5" s="1"/>
  <c r="Q195" i="5"/>
  <c r="O195" i="5"/>
  <c r="R195" i="5" s="1"/>
  <c r="S195" i="5" s="1"/>
  <c r="T195" i="5" s="1"/>
  <c r="Q194" i="5"/>
  <c r="O194" i="5"/>
  <c r="Q193" i="5"/>
  <c r="O193" i="5"/>
  <c r="R193" i="5" s="1"/>
  <c r="Q192" i="5"/>
  <c r="O192" i="5"/>
  <c r="R192" i="5" s="1"/>
  <c r="S192" i="5" s="1"/>
  <c r="T192" i="5" s="1"/>
  <c r="Q191" i="5"/>
  <c r="O191" i="5"/>
  <c r="R191" i="5" s="1"/>
  <c r="S191" i="5" s="1"/>
  <c r="T191" i="5" s="1"/>
  <c r="Q190" i="5"/>
  <c r="O190" i="5"/>
  <c r="R190" i="5" s="1"/>
  <c r="S190" i="5" s="1"/>
  <c r="T190" i="5" s="1"/>
  <c r="Q189" i="5"/>
  <c r="O189" i="5"/>
  <c r="Q188" i="5"/>
  <c r="O188" i="5"/>
  <c r="R188" i="5" s="1"/>
  <c r="S188" i="5" s="1"/>
  <c r="T188" i="5" s="1"/>
  <c r="Q187" i="5"/>
  <c r="O187" i="5"/>
  <c r="R187" i="5" s="1"/>
  <c r="S187" i="5" s="1"/>
  <c r="T187" i="5" s="1"/>
  <c r="Q186" i="5"/>
  <c r="O186" i="5"/>
  <c r="R186" i="5" s="1"/>
  <c r="S186" i="5" s="1"/>
  <c r="T186" i="5" s="1"/>
  <c r="Q185" i="5"/>
  <c r="O185" i="5"/>
  <c r="R185" i="5" s="1"/>
  <c r="S185" i="5" s="1"/>
  <c r="T185" i="5" s="1"/>
  <c r="Q184" i="5"/>
  <c r="O184" i="5"/>
  <c r="R184" i="5" s="1"/>
  <c r="S184" i="5" s="1"/>
  <c r="T184" i="5" s="1"/>
  <c r="Q183" i="5"/>
  <c r="O183" i="5"/>
  <c r="R183" i="5" s="1"/>
  <c r="S183" i="5" s="1"/>
  <c r="T183" i="5" s="1"/>
  <c r="Q182" i="5"/>
  <c r="O182" i="5"/>
  <c r="R182" i="5" s="1"/>
  <c r="S182" i="5" s="1"/>
  <c r="T182" i="5" s="1"/>
  <c r="Q181" i="5"/>
  <c r="O181" i="5"/>
  <c r="R181" i="5" s="1"/>
  <c r="S181" i="5" s="1"/>
  <c r="T181" i="5" s="1"/>
  <c r="Q180" i="5"/>
  <c r="O180" i="5"/>
  <c r="R180" i="5" s="1"/>
  <c r="S180" i="5" s="1"/>
  <c r="T180" i="5" s="1"/>
  <c r="Q179" i="5"/>
  <c r="O179" i="5"/>
  <c r="R179" i="5" s="1"/>
  <c r="S179" i="5" s="1"/>
  <c r="T179" i="5" s="1"/>
  <c r="Q178" i="5"/>
  <c r="O178" i="5"/>
  <c r="R178" i="5" s="1"/>
  <c r="S178" i="5" s="1"/>
  <c r="T178" i="5" s="1"/>
  <c r="Q177" i="5"/>
  <c r="O177" i="5"/>
  <c r="R177" i="5" s="1"/>
  <c r="S177" i="5" s="1"/>
  <c r="T177" i="5" s="1"/>
  <c r="Q176" i="5"/>
  <c r="O176" i="5"/>
  <c r="R176" i="5" s="1"/>
  <c r="S176" i="5" s="1"/>
  <c r="T176" i="5" s="1"/>
  <c r="Q175" i="5"/>
  <c r="O175" i="5"/>
  <c r="R175" i="5" s="1"/>
  <c r="S175" i="5" s="1"/>
  <c r="T175" i="5" s="1"/>
  <c r="Q174" i="5"/>
  <c r="O174" i="5"/>
  <c r="R174" i="5" s="1"/>
  <c r="S174" i="5" s="1"/>
  <c r="T174" i="5" s="1"/>
  <c r="Q173" i="5"/>
  <c r="O173" i="5"/>
  <c r="R173" i="5" s="1"/>
  <c r="S173" i="5" s="1"/>
  <c r="T173" i="5" s="1"/>
  <c r="Q172" i="5"/>
  <c r="O172" i="5"/>
  <c r="R172" i="5" s="1"/>
  <c r="S172" i="5" s="1"/>
  <c r="T172" i="5" s="1"/>
  <c r="Q171" i="5"/>
  <c r="O171" i="5"/>
  <c r="R171" i="5" s="1"/>
  <c r="S171" i="5" s="1"/>
  <c r="T171" i="5" s="1"/>
  <c r="Q170" i="5"/>
  <c r="O170" i="5"/>
  <c r="R170" i="5" s="1"/>
  <c r="S170" i="5" s="1"/>
  <c r="T170" i="5" s="1"/>
  <c r="Q169" i="5"/>
  <c r="O169" i="5"/>
  <c r="R169" i="5" s="1"/>
  <c r="S169" i="5" s="1"/>
  <c r="T169" i="5" s="1"/>
  <c r="Q168" i="5"/>
  <c r="O168" i="5"/>
  <c r="R168" i="5" s="1"/>
  <c r="S168" i="5" s="1"/>
  <c r="T168" i="5" s="1"/>
  <c r="Q167" i="5"/>
  <c r="O167" i="5"/>
  <c r="R167" i="5" s="1"/>
  <c r="S167" i="5" s="1"/>
  <c r="T167" i="5" s="1"/>
  <c r="Q166" i="5"/>
  <c r="O166" i="5"/>
  <c r="R166" i="5" s="1"/>
  <c r="S166" i="5" s="1"/>
  <c r="T166" i="5" s="1"/>
  <c r="Q165" i="5"/>
  <c r="O165" i="5"/>
  <c r="R165" i="5" s="1"/>
  <c r="S165" i="5" s="1"/>
  <c r="T165" i="5" s="1"/>
  <c r="Q164" i="5"/>
  <c r="O164" i="5"/>
  <c r="R164" i="5" s="1"/>
  <c r="S164" i="5" s="1"/>
  <c r="T164" i="5" s="1"/>
  <c r="Q163" i="5"/>
  <c r="O163" i="5"/>
  <c r="R163" i="5" s="1"/>
  <c r="S163" i="5" s="1"/>
  <c r="T163" i="5" s="1"/>
  <c r="Q162" i="5"/>
  <c r="O162" i="5"/>
  <c r="R162" i="5" s="1"/>
  <c r="S162" i="5" s="1"/>
  <c r="T162" i="5" s="1"/>
  <c r="Q161" i="5"/>
  <c r="O161" i="5"/>
  <c r="R161" i="5" s="1"/>
  <c r="S161" i="5" s="1"/>
  <c r="T161" i="5" s="1"/>
  <c r="Q160" i="5"/>
  <c r="O160" i="5"/>
  <c r="R160" i="5" s="1"/>
  <c r="S160" i="5" s="1"/>
  <c r="T160" i="5" s="1"/>
  <c r="Q159" i="5"/>
  <c r="O159" i="5"/>
  <c r="R159" i="5" s="1"/>
  <c r="S159" i="5" s="1"/>
  <c r="T159" i="5" s="1"/>
  <c r="Q158" i="5"/>
  <c r="O158" i="5"/>
  <c r="R158" i="5" s="1"/>
  <c r="S158" i="5" s="1"/>
  <c r="T158" i="5" s="1"/>
  <c r="Q157" i="5"/>
  <c r="O157" i="5"/>
  <c r="R157" i="5" s="1"/>
  <c r="S157" i="5" s="1"/>
  <c r="T157" i="5" s="1"/>
  <c r="Q156" i="5"/>
  <c r="O156" i="5"/>
  <c r="R156" i="5" s="1"/>
  <c r="S156" i="5" s="1"/>
  <c r="T156" i="5" s="1"/>
  <c r="Q155" i="5"/>
  <c r="O155" i="5"/>
  <c r="R155" i="5" s="1"/>
  <c r="S155" i="5" s="1"/>
  <c r="T155" i="5" s="1"/>
  <c r="Q154" i="5"/>
  <c r="O154" i="5"/>
  <c r="R154" i="5" s="1"/>
  <c r="S154" i="5" s="1"/>
  <c r="T154" i="5" s="1"/>
  <c r="Q153" i="5"/>
  <c r="O153" i="5"/>
  <c r="R153" i="5" s="1"/>
  <c r="S153" i="5" s="1"/>
  <c r="T153" i="5" s="1"/>
  <c r="Q152" i="5"/>
  <c r="O152" i="5"/>
  <c r="R152" i="5" s="1"/>
  <c r="S152" i="5" s="1"/>
  <c r="T152" i="5" s="1"/>
  <c r="Q151" i="5"/>
  <c r="O151" i="5"/>
  <c r="R151" i="5" s="1"/>
  <c r="S151" i="5" s="1"/>
  <c r="T151" i="5" s="1"/>
  <c r="Q150" i="5"/>
  <c r="O150" i="5"/>
  <c r="R150" i="5" s="1"/>
  <c r="S150" i="5" s="1"/>
  <c r="T150" i="5" s="1"/>
  <c r="Q149" i="5"/>
  <c r="O149" i="5"/>
  <c r="R149" i="5" s="1"/>
  <c r="S149" i="5" s="1"/>
  <c r="T149" i="5" s="1"/>
  <c r="Q148" i="5"/>
  <c r="O148" i="5"/>
  <c r="R148" i="5" s="1"/>
  <c r="S148" i="5" s="1"/>
  <c r="T148" i="5" s="1"/>
  <c r="Q147" i="5"/>
  <c r="O147" i="5"/>
  <c r="R147" i="5" s="1"/>
  <c r="S147" i="5" s="1"/>
  <c r="T147" i="5" s="1"/>
  <c r="Q146" i="5"/>
  <c r="O146" i="5"/>
  <c r="R146" i="5" s="1"/>
  <c r="S146" i="5" s="1"/>
  <c r="T146" i="5" s="1"/>
  <c r="Q145" i="5"/>
  <c r="O145" i="5"/>
  <c r="R145" i="5" s="1"/>
  <c r="S145" i="5" s="1"/>
  <c r="T145" i="5" s="1"/>
  <c r="Q144" i="5"/>
  <c r="O144" i="5"/>
  <c r="R144" i="5" s="1"/>
  <c r="S144" i="5" s="1"/>
  <c r="T144" i="5" s="1"/>
  <c r="Q143" i="5"/>
  <c r="O143" i="5"/>
  <c r="R143" i="5" s="1"/>
  <c r="S143" i="5" s="1"/>
  <c r="T143" i="5" s="1"/>
  <c r="Q142" i="5"/>
  <c r="O142" i="5"/>
  <c r="R142" i="5" s="1"/>
  <c r="S142" i="5" s="1"/>
  <c r="T142" i="5" s="1"/>
  <c r="Q141" i="5"/>
  <c r="O141" i="5"/>
  <c r="R141" i="5" s="1"/>
  <c r="S141" i="5" s="1"/>
  <c r="T141" i="5" s="1"/>
  <c r="Q140" i="5"/>
  <c r="O140" i="5"/>
  <c r="R140" i="5" s="1"/>
  <c r="S140" i="5" s="1"/>
  <c r="T140" i="5" s="1"/>
  <c r="Q139" i="5"/>
  <c r="O139" i="5"/>
  <c r="R139" i="5" s="1"/>
  <c r="S139" i="5" s="1"/>
  <c r="T139" i="5" s="1"/>
  <c r="Q138" i="5"/>
  <c r="O138" i="5"/>
  <c r="R138" i="5" s="1"/>
  <c r="S138" i="5" s="1"/>
  <c r="T138" i="5" s="1"/>
  <c r="Q137" i="5"/>
  <c r="O137" i="5"/>
  <c r="R137" i="5" s="1"/>
  <c r="S137" i="5" s="1"/>
  <c r="T137" i="5" s="1"/>
  <c r="Q136" i="5"/>
  <c r="O136" i="5"/>
  <c r="R136" i="5" s="1"/>
  <c r="S136" i="5" s="1"/>
  <c r="T136" i="5" s="1"/>
  <c r="Q135" i="5"/>
  <c r="O135" i="5"/>
  <c r="R135" i="5" s="1"/>
  <c r="S135" i="5" s="1"/>
  <c r="T135" i="5" s="1"/>
  <c r="Q134" i="5"/>
  <c r="O134" i="5"/>
  <c r="R134" i="5" s="1"/>
  <c r="S134" i="5" s="1"/>
  <c r="T134" i="5" s="1"/>
  <c r="Q133" i="5"/>
  <c r="O133" i="5"/>
  <c r="R133" i="5" s="1"/>
  <c r="S133" i="5" s="1"/>
  <c r="T133" i="5" s="1"/>
  <c r="Q132" i="5"/>
  <c r="O132" i="5"/>
  <c r="R132" i="5" s="1"/>
  <c r="S132" i="5" s="1"/>
  <c r="T132" i="5" s="1"/>
  <c r="Q131" i="5"/>
  <c r="O131" i="5"/>
  <c r="R131" i="5" s="1"/>
  <c r="S131" i="5" s="1"/>
  <c r="T131" i="5" s="1"/>
  <c r="Q130" i="5"/>
  <c r="O130" i="5"/>
  <c r="R130" i="5" s="1"/>
  <c r="S130" i="5" s="1"/>
  <c r="T130" i="5" s="1"/>
  <c r="Q129" i="5"/>
  <c r="O129" i="5"/>
  <c r="R129" i="5" s="1"/>
  <c r="S129" i="5" s="1"/>
  <c r="T129" i="5" s="1"/>
  <c r="Q128" i="5"/>
  <c r="O128" i="5"/>
  <c r="R128" i="5" s="1"/>
  <c r="S128" i="5" s="1"/>
  <c r="T128" i="5" s="1"/>
  <c r="Q127" i="5"/>
  <c r="O127" i="5"/>
  <c r="R127" i="5" s="1"/>
  <c r="S127" i="5" s="1"/>
  <c r="T127" i="5" s="1"/>
  <c r="Q126" i="5"/>
  <c r="O126" i="5"/>
  <c r="R126" i="5" s="1"/>
  <c r="S126" i="5" s="1"/>
  <c r="T126" i="5" s="1"/>
  <c r="Q125" i="5"/>
  <c r="O125" i="5"/>
  <c r="R125" i="5" s="1"/>
  <c r="S125" i="5" s="1"/>
  <c r="T125" i="5" s="1"/>
  <c r="Q124" i="5"/>
  <c r="O124" i="5"/>
  <c r="R124" i="5" s="1"/>
  <c r="S124" i="5" s="1"/>
  <c r="T124" i="5" s="1"/>
  <c r="Q123" i="5"/>
  <c r="O123" i="5"/>
  <c r="Q122" i="5"/>
  <c r="O122" i="5"/>
  <c r="R122" i="5" s="1"/>
  <c r="S122" i="5" s="1"/>
  <c r="T122" i="5" s="1"/>
  <c r="Q121" i="5"/>
  <c r="O121" i="5"/>
  <c r="R121" i="5" s="1"/>
  <c r="S121" i="5" s="1"/>
  <c r="T121" i="5" s="1"/>
  <c r="Q120" i="5"/>
  <c r="O120" i="5"/>
  <c r="R120" i="5" s="1"/>
  <c r="S120" i="5" s="1"/>
  <c r="T120" i="5" s="1"/>
  <c r="Q119" i="5"/>
  <c r="O119" i="5"/>
  <c r="R119" i="5" s="1"/>
  <c r="S119" i="5" s="1"/>
  <c r="T119" i="5" s="1"/>
  <c r="Q118" i="5"/>
  <c r="O118" i="5"/>
  <c r="R118" i="5" s="1"/>
  <c r="S118" i="5" s="1"/>
  <c r="T118" i="5" s="1"/>
  <c r="Q117" i="5"/>
  <c r="O117" i="5"/>
  <c r="R117" i="5" s="1"/>
  <c r="S117" i="5" s="1"/>
  <c r="T117" i="5" s="1"/>
  <c r="Q116" i="5"/>
  <c r="O116" i="5"/>
  <c r="R116" i="5" s="1"/>
  <c r="S116" i="5" s="1"/>
  <c r="T116" i="5" s="1"/>
  <c r="Q115" i="5"/>
  <c r="O115" i="5"/>
  <c r="R115" i="5" s="1"/>
  <c r="S115" i="5" s="1"/>
  <c r="T115" i="5" s="1"/>
  <c r="Q114" i="5"/>
  <c r="O114" i="5"/>
  <c r="R114" i="5" s="1"/>
  <c r="S114" i="5" s="1"/>
  <c r="T114" i="5" s="1"/>
  <c r="Q113" i="5"/>
  <c r="O113" i="5"/>
  <c r="R113" i="5" s="1"/>
  <c r="S113" i="5" s="1"/>
  <c r="T113" i="5" s="1"/>
  <c r="Q112" i="5"/>
  <c r="O112" i="5"/>
  <c r="R112" i="5" s="1"/>
  <c r="Q111" i="5"/>
  <c r="O111" i="5"/>
  <c r="R111" i="5" s="1"/>
  <c r="S111" i="5" s="1"/>
  <c r="T111" i="5" s="1"/>
  <c r="Q110" i="5"/>
  <c r="O110" i="5"/>
  <c r="R110" i="5" s="1"/>
  <c r="S110" i="5" s="1"/>
  <c r="T110" i="5" s="1"/>
  <c r="Q109" i="5"/>
  <c r="O109" i="5"/>
  <c r="R109" i="5" s="1"/>
  <c r="S109" i="5" s="1"/>
  <c r="T109" i="5" s="1"/>
  <c r="Q108" i="5"/>
  <c r="O108" i="5"/>
  <c r="R108" i="5" s="1"/>
  <c r="S108" i="5" s="1"/>
  <c r="T108" i="5" s="1"/>
  <c r="Q107" i="5"/>
  <c r="O107" i="5"/>
  <c r="R107" i="5" s="1"/>
  <c r="S107" i="5" s="1"/>
  <c r="T107" i="5" s="1"/>
  <c r="Q106" i="5"/>
  <c r="O106" i="5"/>
  <c r="R106" i="5" s="1"/>
  <c r="S106" i="5" s="1"/>
  <c r="T106" i="5" s="1"/>
  <c r="Q105" i="5"/>
  <c r="O105" i="5"/>
  <c r="R105" i="5" s="1"/>
  <c r="S105" i="5" s="1"/>
  <c r="T105" i="5" s="1"/>
  <c r="Q104" i="5"/>
  <c r="O104" i="5"/>
  <c r="R104" i="5" s="1"/>
  <c r="S104" i="5" s="1"/>
  <c r="T104" i="5" s="1"/>
  <c r="Q103" i="5"/>
  <c r="O103" i="5"/>
  <c r="R103" i="5" s="1"/>
  <c r="S103" i="5" s="1"/>
  <c r="T103" i="5" s="1"/>
  <c r="Q102" i="5"/>
  <c r="O102" i="5"/>
  <c r="R102" i="5" s="1"/>
  <c r="S102" i="5" s="1"/>
  <c r="T102" i="5" s="1"/>
  <c r="Q101" i="5"/>
  <c r="O101" i="5"/>
  <c r="R101" i="5" s="1"/>
  <c r="S101" i="5" s="1"/>
  <c r="T101" i="5" s="1"/>
  <c r="Q100" i="5"/>
  <c r="O100" i="5"/>
  <c r="R100" i="5" s="1"/>
  <c r="S100" i="5" s="1"/>
  <c r="T100" i="5" s="1"/>
  <c r="Q99" i="5"/>
  <c r="O99" i="5"/>
  <c r="R99" i="5" s="1"/>
  <c r="S99" i="5" s="1"/>
  <c r="T99" i="5" s="1"/>
  <c r="Q98" i="5"/>
  <c r="O98" i="5"/>
  <c r="R98" i="5" s="1"/>
  <c r="S98" i="5" s="1"/>
  <c r="T98" i="5" s="1"/>
  <c r="Q97" i="5"/>
  <c r="O97" i="5"/>
  <c r="R97" i="5" s="1"/>
  <c r="S97" i="5" s="1"/>
  <c r="T97" i="5" s="1"/>
  <c r="Q96" i="5"/>
  <c r="O96" i="5"/>
  <c r="R96" i="5" s="1"/>
  <c r="S96" i="5" s="1"/>
  <c r="T96" i="5" s="1"/>
  <c r="Q95" i="5"/>
  <c r="O95" i="5"/>
  <c r="R95" i="5" s="1"/>
  <c r="S95" i="5" s="1"/>
  <c r="T95" i="5" s="1"/>
  <c r="Q94" i="5"/>
  <c r="O94" i="5"/>
  <c r="R94" i="5" s="1"/>
  <c r="S94" i="5" s="1"/>
  <c r="T94" i="5" s="1"/>
  <c r="Q93" i="5"/>
  <c r="O93" i="5"/>
  <c r="R93" i="5" s="1"/>
  <c r="S93" i="5" s="1"/>
  <c r="T93" i="5" s="1"/>
  <c r="Q92" i="5"/>
  <c r="O92" i="5"/>
  <c r="R92" i="5" s="1"/>
  <c r="S92" i="5" s="1"/>
  <c r="T92" i="5" s="1"/>
  <c r="Q91" i="5"/>
  <c r="O91" i="5"/>
  <c r="R91" i="5" s="1"/>
  <c r="S91" i="5" s="1"/>
  <c r="T91" i="5" s="1"/>
  <c r="Q90" i="5"/>
  <c r="O90" i="5"/>
  <c r="R90" i="5" s="1"/>
  <c r="S90" i="5" s="1"/>
  <c r="T90" i="5" s="1"/>
  <c r="Q89" i="5"/>
  <c r="O89" i="5"/>
  <c r="R89" i="5" s="1"/>
  <c r="S89" i="5" s="1"/>
  <c r="T89" i="5" s="1"/>
  <c r="Q88" i="5"/>
  <c r="O88" i="5"/>
  <c r="R88" i="5" s="1"/>
  <c r="S88" i="5" s="1"/>
  <c r="T88" i="5" s="1"/>
  <c r="Q87" i="5"/>
  <c r="O87" i="5"/>
  <c r="R87" i="5" s="1"/>
  <c r="S87" i="5" s="1"/>
  <c r="T87" i="5" s="1"/>
  <c r="Q86" i="5"/>
  <c r="O86" i="5"/>
  <c r="R86" i="5" s="1"/>
  <c r="S86" i="5" s="1"/>
  <c r="T86" i="5" s="1"/>
  <c r="Q85" i="5"/>
  <c r="O85" i="5"/>
  <c r="R85" i="5" s="1"/>
  <c r="S85" i="5" s="1"/>
  <c r="T85" i="5" s="1"/>
  <c r="Q84" i="5"/>
  <c r="O84" i="5"/>
  <c r="R84" i="5" s="1"/>
  <c r="S84" i="5" s="1"/>
  <c r="T84" i="5" s="1"/>
  <c r="Q83" i="5"/>
  <c r="O83" i="5"/>
  <c r="R83" i="5" s="1"/>
  <c r="S83" i="5" s="1"/>
  <c r="T83" i="5" s="1"/>
  <c r="Q82" i="5"/>
  <c r="O82" i="5"/>
  <c r="R82" i="5" s="1"/>
  <c r="S82" i="5" s="1"/>
  <c r="T82" i="5" s="1"/>
  <c r="Q81" i="5"/>
  <c r="O81" i="5"/>
  <c r="R81" i="5" s="1"/>
  <c r="S81" i="5" s="1"/>
  <c r="T81" i="5" s="1"/>
  <c r="Q80" i="5"/>
  <c r="O80" i="5"/>
  <c r="R80" i="5" s="1"/>
  <c r="S80" i="5" s="1"/>
  <c r="T80" i="5" s="1"/>
  <c r="Q79" i="5"/>
  <c r="O79" i="5"/>
  <c r="R79" i="5" s="1"/>
  <c r="S79" i="5" s="1"/>
  <c r="T79" i="5" s="1"/>
  <c r="Q78" i="5"/>
  <c r="O78" i="5"/>
  <c r="R78" i="5" s="1"/>
  <c r="S78" i="5" s="1"/>
  <c r="T78" i="5" s="1"/>
  <c r="Q77" i="5"/>
  <c r="O77" i="5"/>
  <c r="R77" i="5" s="1"/>
  <c r="S77" i="5" s="1"/>
  <c r="T77" i="5" s="1"/>
  <c r="Q76" i="5"/>
  <c r="O76" i="5"/>
  <c r="R76" i="5" s="1"/>
  <c r="S76" i="5" s="1"/>
  <c r="T76" i="5" s="1"/>
  <c r="Q75" i="5"/>
  <c r="O75" i="5"/>
  <c r="R75" i="5" s="1"/>
  <c r="S75" i="5" s="1"/>
  <c r="T75" i="5" s="1"/>
  <c r="Q74" i="5"/>
  <c r="O74" i="5"/>
  <c r="R74" i="5" s="1"/>
  <c r="S74" i="5" s="1"/>
  <c r="T74" i="5" s="1"/>
  <c r="Q73" i="5"/>
  <c r="O73" i="5"/>
  <c r="R73" i="5" s="1"/>
  <c r="S73" i="5" s="1"/>
  <c r="T73" i="5" s="1"/>
  <c r="Q72" i="5"/>
  <c r="O72" i="5"/>
  <c r="R72" i="5" s="1"/>
  <c r="S72" i="5" s="1"/>
  <c r="T72" i="5" s="1"/>
  <c r="Q71" i="5"/>
  <c r="O71" i="5"/>
  <c r="R71" i="5" s="1"/>
  <c r="S71" i="5" s="1"/>
  <c r="T71" i="5" s="1"/>
  <c r="Q70" i="5"/>
  <c r="O70" i="5"/>
  <c r="R70" i="5" s="1"/>
  <c r="S70" i="5" s="1"/>
  <c r="T70" i="5" s="1"/>
  <c r="Q69" i="5"/>
  <c r="O69" i="5"/>
  <c r="R69" i="5" s="1"/>
  <c r="S69" i="5" s="1"/>
  <c r="T69" i="5" s="1"/>
  <c r="Q68" i="5"/>
  <c r="O68" i="5"/>
  <c r="R68" i="5" s="1"/>
  <c r="S68" i="5" s="1"/>
  <c r="T68" i="5" s="1"/>
  <c r="Q67" i="5"/>
  <c r="O67" i="5"/>
  <c r="R67" i="5" s="1"/>
  <c r="S67" i="5" s="1"/>
  <c r="T67" i="5" s="1"/>
  <c r="Q66" i="5"/>
  <c r="O66" i="5"/>
  <c r="R66" i="5" s="1"/>
  <c r="S66" i="5" s="1"/>
  <c r="T66" i="5" s="1"/>
  <c r="Q65" i="5"/>
  <c r="O65" i="5"/>
  <c r="R65" i="5" s="1"/>
  <c r="Q64" i="5"/>
  <c r="O64" i="5"/>
  <c r="Q63" i="5"/>
  <c r="O63" i="5"/>
  <c r="R63" i="5" s="1"/>
  <c r="S63" i="5" s="1"/>
  <c r="T63" i="5" s="1"/>
  <c r="Q62" i="5"/>
  <c r="O62" i="5"/>
  <c r="R62" i="5" s="1"/>
  <c r="S62" i="5" s="1"/>
  <c r="T62" i="5" s="1"/>
  <c r="Q61" i="5"/>
  <c r="O61" i="5"/>
  <c r="R61" i="5" s="1"/>
  <c r="S61" i="5" s="1"/>
  <c r="T61" i="5" s="1"/>
  <c r="Q60" i="5"/>
  <c r="O60" i="5"/>
  <c r="R60" i="5" s="1"/>
  <c r="S60" i="5" s="1"/>
  <c r="T60" i="5" s="1"/>
  <c r="Q59" i="5"/>
  <c r="O59" i="5"/>
  <c r="R59" i="5" s="1"/>
  <c r="S59" i="5" s="1"/>
  <c r="T59" i="5" s="1"/>
  <c r="Q58" i="5"/>
  <c r="O58" i="5"/>
  <c r="R58" i="5" s="1"/>
  <c r="S58" i="5" s="1"/>
  <c r="T58" i="5" s="1"/>
  <c r="Q57" i="5"/>
  <c r="O57" i="5"/>
  <c r="R57" i="5" s="1"/>
  <c r="S57" i="5" s="1"/>
  <c r="T57" i="5" s="1"/>
  <c r="Q56" i="5"/>
  <c r="O56" i="5"/>
  <c r="R56" i="5" s="1"/>
  <c r="S56" i="5" s="1"/>
  <c r="T56" i="5" s="1"/>
  <c r="Q55" i="5"/>
  <c r="O55" i="5"/>
  <c r="R55" i="5" s="1"/>
  <c r="S55" i="5" s="1"/>
  <c r="T55" i="5" s="1"/>
  <c r="Q54" i="5"/>
  <c r="O54" i="5"/>
  <c r="R54" i="5" s="1"/>
  <c r="S54" i="5" s="1"/>
  <c r="T54" i="5" s="1"/>
  <c r="Q53" i="5"/>
  <c r="O53" i="5"/>
  <c r="R53" i="5" s="1"/>
  <c r="S53" i="5" s="1"/>
  <c r="T53" i="5" s="1"/>
  <c r="Q52" i="5"/>
  <c r="O52" i="5"/>
  <c r="R52" i="5" s="1"/>
  <c r="S52" i="5" s="1"/>
  <c r="T52" i="5" s="1"/>
  <c r="Q51" i="5"/>
  <c r="O51" i="5"/>
  <c r="R51" i="5" s="1"/>
  <c r="S51" i="5" s="1"/>
  <c r="T51" i="5" s="1"/>
  <c r="Q50" i="5"/>
  <c r="O50" i="5"/>
  <c r="R50" i="5" s="1"/>
  <c r="S50" i="5" s="1"/>
  <c r="T50" i="5" s="1"/>
  <c r="Q49" i="5"/>
  <c r="O49" i="5"/>
  <c r="R49" i="5" s="1"/>
  <c r="S49" i="5" s="1"/>
  <c r="T49" i="5" s="1"/>
  <c r="Q48" i="5"/>
  <c r="O48" i="5"/>
  <c r="R48" i="5" s="1"/>
  <c r="S48" i="5" s="1"/>
  <c r="T48" i="5" s="1"/>
  <c r="Q47" i="5"/>
  <c r="O47" i="5"/>
  <c r="R47" i="5" s="1"/>
  <c r="S47" i="5" s="1"/>
  <c r="T47" i="5" s="1"/>
  <c r="Q46" i="5"/>
  <c r="O46" i="5"/>
  <c r="R46" i="5" s="1"/>
  <c r="S46" i="5" s="1"/>
  <c r="T46" i="5" s="1"/>
  <c r="Q45" i="5"/>
  <c r="O45" i="5"/>
  <c r="R45" i="5" s="1"/>
  <c r="S45" i="5" s="1"/>
  <c r="T45" i="5" s="1"/>
  <c r="Q44" i="5"/>
  <c r="O44" i="5"/>
  <c r="R44" i="5" s="1"/>
  <c r="S44" i="5" s="1"/>
  <c r="T44" i="5" s="1"/>
  <c r="Q43" i="5"/>
  <c r="O43" i="5"/>
  <c r="R43" i="5" s="1"/>
  <c r="S43" i="5" s="1"/>
  <c r="T43" i="5" s="1"/>
  <c r="Q42" i="5"/>
  <c r="O42" i="5"/>
  <c r="R42" i="5" s="1"/>
  <c r="S42" i="5" s="1"/>
  <c r="T42" i="5" s="1"/>
  <c r="Q41" i="5"/>
  <c r="O41" i="5"/>
  <c r="R41" i="5" s="1"/>
  <c r="S41" i="5" s="1"/>
  <c r="T41" i="5" s="1"/>
  <c r="Q40" i="5"/>
  <c r="O40" i="5"/>
  <c r="R40" i="5" s="1"/>
  <c r="S40" i="5" s="1"/>
  <c r="T40" i="5" s="1"/>
  <c r="Q39" i="5"/>
  <c r="O39" i="5"/>
  <c r="R39" i="5" s="1"/>
  <c r="S39" i="5" s="1"/>
  <c r="T39" i="5" s="1"/>
  <c r="Q38" i="5"/>
  <c r="O38" i="5"/>
  <c r="R38" i="5" s="1"/>
  <c r="S38" i="5" s="1"/>
  <c r="T38" i="5" s="1"/>
  <c r="Q37" i="5"/>
  <c r="O37" i="5"/>
  <c r="Q36" i="5"/>
  <c r="O36" i="5"/>
  <c r="R36" i="5" s="1"/>
  <c r="S36" i="5" s="1"/>
  <c r="T36" i="5" s="1"/>
  <c r="Q35" i="5"/>
  <c r="O35" i="5"/>
  <c r="Q34" i="5"/>
  <c r="O34" i="5"/>
  <c r="R34" i="5" s="1"/>
  <c r="S34" i="5" s="1"/>
  <c r="T34" i="5" s="1"/>
  <c r="Q33" i="5"/>
  <c r="O33" i="5"/>
  <c r="R33" i="5" s="1"/>
  <c r="S33" i="5" s="1"/>
  <c r="T33" i="5" s="1"/>
  <c r="Q32" i="5"/>
  <c r="O32" i="5"/>
  <c r="R32" i="5" s="1"/>
  <c r="S32" i="5" s="1"/>
  <c r="T32" i="5" s="1"/>
  <c r="Q31" i="5"/>
  <c r="O31" i="5"/>
  <c r="R31" i="5" s="1"/>
  <c r="S31" i="5" s="1"/>
  <c r="T31" i="5" s="1"/>
  <c r="Q30" i="5"/>
  <c r="O30" i="5"/>
  <c r="R30" i="5" s="1"/>
  <c r="S30" i="5" s="1"/>
  <c r="T30" i="5" s="1"/>
  <c r="Q29" i="5"/>
  <c r="O29" i="5"/>
  <c r="R29" i="5" s="1"/>
  <c r="S29" i="5" s="1"/>
  <c r="T29" i="5" s="1"/>
  <c r="Q28" i="5"/>
  <c r="O28" i="5"/>
  <c r="R28" i="5" s="1"/>
  <c r="S28" i="5" s="1"/>
  <c r="T28" i="5" s="1"/>
  <c r="Q27" i="5"/>
  <c r="O27" i="5"/>
  <c r="R27" i="5" s="1"/>
  <c r="S27" i="5" s="1"/>
  <c r="T27" i="5" s="1"/>
  <c r="Q26" i="5"/>
  <c r="O26" i="5"/>
  <c r="R26" i="5" s="1"/>
  <c r="S26" i="5" s="1"/>
  <c r="T26" i="5" s="1"/>
  <c r="Q25" i="5"/>
  <c r="O25" i="5"/>
  <c r="R25" i="5" s="1"/>
  <c r="S25" i="5" s="1"/>
  <c r="T25" i="5" s="1"/>
  <c r="Q24" i="5"/>
  <c r="O24" i="5"/>
  <c r="R24" i="5" s="1"/>
  <c r="S24" i="5" s="1"/>
  <c r="T24" i="5" s="1"/>
  <c r="Q23" i="5"/>
  <c r="O23" i="5"/>
  <c r="R23" i="5" s="1"/>
  <c r="S23" i="5" s="1"/>
  <c r="T23" i="5" s="1"/>
  <c r="Q22" i="5"/>
  <c r="O22" i="5"/>
  <c r="R22" i="5" s="1"/>
  <c r="S22" i="5" s="1"/>
  <c r="T22" i="5" s="1"/>
  <c r="Q21" i="5"/>
  <c r="O21" i="5"/>
  <c r="R21" i="5" s="1"/>
  <c r="S21" i="5" s="1"/>
  <c r="T21" i="5" s="1"/>
  <c r="Q20" i="5"/>
  <c r="O20" i="5"/>
  <c r="R20" i="5" s="1"/>
  <c r="S20" i="5" s="1"/>
  <c r="T20" i="5" s="1"/>
  <c r="Q19" i="5"/>
  <c r="O19" i="5"/>
  <c r="R19" i="5" s="1"/>
  <c r="S19" i="5" s="1"/>
  <c r="T19" i="5" s="1"/>
  <c r="Q18" i="5"/>
  <c r="O18" i="5"/>
  <c r="R18" i="5" s="1"/>
  <c r="S18" i="5" s="1"/>
  <c r="T18" i="5" s="1"/>
  <c r="Q17" i="5"/>
  <c r="O17" i="5"/>
  <c r="R17" i="5" s="1"/>
  <c r="S17" i="5" s="1"/>
  <c r="T17" i="5" s="1"/>
  <c r="Q16" i="5"/>
  <c r="O16" i="5"/>
  <c r="R16" i="5" s="1"/>
  <c r="S16" i="5" s="1"/>
  <c r="T16" i="5" s="1"/>
  <c r="Q15" i="5"/>
  <c r="O15" i="5"/>
  <c r="R15" i="5" s="1"/>
  <c r="S15" i="5" s="1"/>
  <c r="T15" i="5" s="1"/>
  <c r="Q14" i="5"/>
  <c r="O14" i="5"/>
  <c r="R14" i="5" s="1"/>
  <c r="S14" i="5" s="1"/>
  <c r="T14" i="5" s="1"/>
  <c r="Q13" i="5"/>
  <c r="O13" i="5"/>
  <c r="R13" i="5" s="1"/>
  <c r="S13" i="5" s="1"/>
  <c r="T13" i="5" s="1"/>
  <c r="Q12" i="5"/>
  <c r="O12" i="5"/>
  <c r="R12" i="5" s="1"/>
  <c r="S12" i="5" s="1"/>
  <c r="T12" i="5" s="1"/>
  <c r="Q11" i="5"/>
  <c r="O11" i="5"/>
  <c r="R11" i="5" s="1"/>
  <c r="S11" i="5" s="1"/>
  <c r="T11" i="5" s="1"/>
  <c r="Q10" i="5"/>
  <c r="O10" i="5"/>
  <c r="R10" i="5" s="1"/>
  <c r="S10" i="5" s="1"/>
  <c r="T10" i="5" s="1"/>
  <c r="Q9" i="5"/>
  <c r="O9" i="5"/>
  <c r="R9" i="5" s="1"/>
  <c r="S9" i="5" s="1"/>
  <c r="T9" i="5" s="1"/>
  <c r="Q8" i="5"/>
  <c r="O8" i="5"/>
  <c r="R8" i="5" s="1"/>
  <c r="S8" i="5" s="1"/>
  <c r="T8" i="5" s="1"/>
  <c r="Q7" i="5"/>
  <c r="O7" i="5"/>
  <c r="R7" i="5" s="1"/>
  <c r="S7" i="5" s="1"/>
  <c r="T7" i="5" s="1"/>
  <c r="Q6" i="5"/>
  <c r="O6" i="5"/>
  <c r="R6" i="5" s="1"/>
  <c r="S6" i="5" s="1"/>
  <c r="T6" i="5" s="1"/>
  <c r="Q5" i="5"/>
  <c r="O5" i="5"/>
  <c r="R5" i="5" s="1"/>
  <c r="B25" i="4"/>
  <c r="B24" i="4"/>
  <c r="B23" i="4"/>
  <c r="B22" i="4"/>
  <c r="B21" i="4"/>
  <c r="B20" i="4"/>
  <c r="B19" i="4"/>
  <c r="B18" i="4"/>
  <c r="B17" i="4"/>
  <c r="B16" i="4"/>
  <c r="B4" i="4"/>
  <c r="E17" i="3"/>
  <c r="F17" i="3" s="1"/>
  <c r="P370" i="5" s="1"/>
  <c r="E16" i="3"/>
  <c r="F16" i="3" s="1"/>
  <c r="E15" i="3"/>
  <c r="F15" i="3" s="1"/>
  <c r="E14" i="3"/>
  <c r="F14" i="3" s="1"/>
  <c r="E13" i="3"/>
  <c r="F13" i="3" s="1"/>
  <c r="E12" i="3"/>
  <c r="F12" i="3" s="1"/>
  <c r="E11" i="3"/>
  <c r="F11" i="3" s="1"/>
  <c r="E10" i="3"/>
  <c r="F10" i="3" s="1"/>
  <c r="E9" i="3"/>
  <c r="F9" i="3" s="1"/>
  <c r="E8" i="3"/>
  <c r="F8" i="3" s="1"/>
  <c r="C10" i="2"/>
  <c r="B10" i="2"/>
  <c r="B26" i="4" l="1"/>
  <c r="U405" i="5"/>
  <c r="V405" i="5"/>
  <c r="W405" i="5" s="1"/>
  <c r="U404" i="5"/>
  <c r="V404" i="5"/>
  <c r="W404" i="5" s="1"/>
  <c r="U403" i="5"/>
  <c r="V403" i="5"/>
  <c r="W403" i="5" s="1"/>
  <c r="U402" i="5"/>
  <c r="V402" i="5"/>
  <c r="W402" i="5" s="1"/>
  <c r="U401" i="5"/>
  <c r="V401" i="5"/>
  <c r="W401" i="5" s="1"/>
  <c r="U400" i="5"/>
  <c r="V400" i="5"/>
  <c r="W400" i="5" s="1"/>
  <c r="U399" i="5"/>
  <c r="V399" i="5"/>
  <c r="W399" i="5" s="1"/>
  <c r="U398" i="5"/>
  <c r="V398" i="5"/>
  <c r="W398" i="5" s="1"/>
  <c r="U397" i="5"/>
  <c r="V397" i="5"/>
  <c r="W397" i="5" s="1"/>
  <c r="U396" i="5"/>
  <c r="V396" i="5"/>
  <c r="W396" i="5" s="1"/>
  <c r="U395" i="5"/>
  <c r="V395" i="5"/>
  <c r="W395" i="5" s="1"/>
  <c r="U394" i="5"/>
  <c r="V394" i="5"/>
  <c r="W394" i="5" s="1"/>
  <c r="U393" i="5"/>
  <c r="V393" i="5"/>
  <c r="W393" i="5" s="1"/>
  <c r="U392" i="5"/>
  <c r="V392" i="5"/>
  <c r="W392" i="5" s="1"/>
  <c r="U391" i="5"/>
  <c r="V391" i="5"/>
  <c r="W391" i="5" s="1"/>
  <c r="U390" i="5"/>
  <c r="V390" i="5"/>
  <c r="W390" i="5" s="1"/>
  <c r="U389" i="5"/>
  <c r="V389" i="5"/>
  <c r="W389" i="5" s="1"/>
  <c r="U388" i="5"/>
  <c r="V388" i="5"/>
  <c r="W388" i="5" s="1"/>
  <c r="U387" i="5"/>
  <c r="V387" i="5"/>
  <c r="W387" i="5" s="1"/>
  <c r="U385" i="5"/>
  <c r="V385" i="5"/>
  <c r="W385" i="5" s="1"/>
  <c r="U384" i="5"/>
  <c r="V384" i="5"/>
  <c r="W384" i="5" s="1"/>
  <c r="U383" i="5"/>
  <c r="V383" i="5"/>
  <c r="W383" i="5" s="1"/>
  <c r="U382" i="5"/>
  <c r="V382" i="5"/>
  <c r="W382" i="5" s="1"/>
  <c r="U381" i="5"/>
  <c r="V381" i="5"/>
  <c r="W381" i="5" s="1"/>
  <c r="U380" i="5"/>
  <c r="V380" i="5"/>
  <c r="W380" i="5" s="1"/>
  <c r="U379" i="5"/>
  <c r="V379" i="5"/>
  <c r="W379" i="5" s="1"/>
  <c r="U378" i="5"/>
  <c r="V378" i="5"/>
  <c r="W378" i="5" s="1"/>
  <c r="U376" i="5"/>
  <c r="V376" i="5"/>
  <c r="W376" i="5" s="1"/>
  <c r="U375" i="5"/>
  <c r="V375" i="5"/>
  <c r="W375" i="5" s="1"/>
  <c r="U374" i="5"/>
  <c r="V374" i="5"/>
  <c r="W374" i="5" s="1"/>
  <c r="U373" i="5"/>
  <c r="V373" i="5"/>
  <c r="W373" i="5" s="1"/>
  <c r="U372" i="5"/>
  <c r="V372" i="5"/>
  <c r="W372" i="5" s="1"/>
  <c r="S371" i="5"/>
  <c r="T371" i="5" s="1"/>
  <c r="S370" i="5"/>
  <c r="T370" i="5" s="1"/>
  <c r="C25" i="4"/>
  <c r="U369" i="5"/>
  <c r="V369" i="5"/>
  <c r="W369" i="5" s="1"/>
  <c r="U368" i="5"/>
  <c r="V368" i="5"/>
  <c r="W368" i="5" s="1"/>
  <c r="U367" i="5"/>
  <c r="V367" i="5"/>
  <c r="W367" i="5" s="1"/>
  <c r="U366" i="5"/>
  <c r="V366" i="5"/>
  <c r="W366" i="5" s="1"/>
  <c r="U365" i="5"/>
  <c r="V365" i="5"/>
  <c r="W365" i="5" s="1"/>
  <c r="U364" i="5"/>
  <c r="V364" i="5"/>
  <c r="W364" i="5" s="1"/>
  <c r="U363" i="5"/>
  <c r="V363" i="5"/>
  <c r="W363" i="5" s="1"/>
  <c r="U362" i="5"/>
  <c r="V362" i="5"/>
  <c r="W362" i="5" s="1"/>
  <c r="U361" i="5"/>
  <c r="V361" i="5"/>
  <c r="W361" i="5" s="1"/>
  <c r="U360" i="5"/>
  <c r="V360" i="5"/>
  <c r="W360" i="5" s="1"/>
  <c r="U359" i="5"/>
  <c r="V359" i="5"/>
  <c r="W359" i="5" s="1"/>
  <c r="U358" i="5"/>
  <c r="V358" i="5"/>
  <c r="W358" i="5" s="1"/>
  <c r="U357" i="5"/>
  <c r="V357" i="5"/>
  <c r="W357" i="5" s="1"/>
  <c r="U356" i="5"/>
  <c r="V356" i="5"/>
  <c r="W356" i="5" s="1"/>
  <c r="U355" i="5"/>
  <c r="V355" i="5"/>
  <c r="W355" i="5" s="1"/>
  <c r="U354" i="5"/>
  <c r="V354" i="5"/>
  <c r="W354" i="5" s="1"/>
  <c r="U353" i="5"/>
  <c r="V353" i="5"/>
  <c r="W353" i="5" s="1"/>
  <c r="U352" i="5"/>
  <c r="V352" i="5"/>
  <c r="W352" i="5" s="1"/>
  <c r="U351" i="5"/>
  <c r="V351" i="5"/>
  <c r="W351" i="5" s="1"/>
  <c r="U350" i="5"/>
  <c r="V350" i="5"/>
  <c r="W350" i="5" s="1"/>
  <c r="U349" i="5"/>
  <c r="V349" i="5"/>
  <c r="W349" i="5" s="1"/>
  <c r="U348" i="5"/>
  <c r="V348" i="5"/>
  <c r="W348" i="5" s="1"/>
  <c r="U347" i="5"/>
  <c r="V347" i="5"/>
  <c r="W347" i="5" s="1"/>
  <c r="U346" i="5"/>
  <c r="V346" i="5"/>
  <c r="W346" i="5" s="1"/>
  <c r="U344" i="5"/>
  <c r="V344" i="5"/>
  <c r="W344" i="5" s="1"/>
  <c r="U343" i="5"/>
  <c r="V343" i="5"/>
  <c r="W343" i="5" s="1"/>
  <c r="U342" i="5"/>
  <c r="V342" i="5"/>
  <c r="W342" i="5" s="1"/>
  <c r="U341" i="5"/>
  <c r="V341" i="5"/>
  <c r="W341" i="5" s="1"/>
  <c r="S340" i="5"/>
  <c r="T340" i="5" s="1"/>
  <c r="U339" i="5"/>
  <c r="V339" i="5"/>
  <c r="W339" i="5" s="1"/>
  <c r="U338" i="5"/>
  <c r="V338" i="5"/>
  <c r="W338" i="5" s="1"/>
  <c r="U337" i="5"/>
  <c r="V337" i="5"/>
  <c r="W337" i="5" s="1"/>
  <c r="U336" i="5"/>
  <c r="V336" i="5"/>
  <c r="W336" i="5" s="1"/>
  <c r="U335" i="5"/>
  <c r="V335" i="5"/>
  <c r="W335" i="5" s="1"/>
  <c r="U334" i="5"/>
  <c r="V334" i="5"/>
  <c r="W334" i="5" s="1"/>
  <c r="U333" i="5"/>
  <c r="V333" i="5"/>
  <c r="W333" i="5" s="1"/>
  <c r="U332" i="5"/>
  <c r="V332" i="5"/>
  <c r="W332" i="5" s="1"/>
  <c r="U331" i="5"/>
  <c r="V331" i="5"/>
  <c r="W331" i="5" s="1"/>
  <c r="U330" i="5"/>
  <c r="V330" i="5"/>
  <c r="W330" i="5" s="1"/>
  <c r="U329" i="5"/>
  <c r="V329" i="5"/>
  <c r="W329" i="5" s="1"/>
  <c r="U328" i="5"/>
  <c r="V328" i="5"/>
  <c r="W328" i="5" s="1"/>
  <c r="U327" i="5"/>
  <c r="V327" i="5"/>
  <c r="W327" i="5" s="1"/>
  <c r="U326" i="5"/>
  <c r="V326" i="5"/>
  <c r="W326" i="5" s="1"/>
  <c r="U325" i="5"/>
  <c r="V325" i="5"/>
  <c r="W325" i="5" s="1"/>
  <c r="S324" i="5"/>
  <c r="T324" i="5" s="1"/>
  <c r="C16" i="4"/>
  <c r="U323" i="5"/>
  <c r="V323" i="5"/>
  <c r="W323" i="5" s="1"/>
  <c r="U322" i="5"/>
  <c r="V322" i="5"/>
  <c r="W322" i="5" s="1"/>
  <c r="U321" i="5"/>
  <c r="V321" i="5"/>
  <c r="W321" i="5" s="1"/>
  <c r="U320" i="5"/>
  <c r="V320" i="5"/>
  <c r="W320" i="5" s="1"/>
  <c r="U319" i="5"/>
  <c r="V319" i="5"/>
  <c r="W319" i="5" s="1"/>
  <c r="U318" i="5"/>
  <c r="V318" i="5"/>
  <c r="W318" i="5" s="1"/>
  <c r="U317" i="5"/>
  <c r="V317" i="5"/>
  <c r="W317" i="5" s="1"/>
  <c r="U316" i="5"/>
  <c r="V316" i="5"/>
  <c r="W316" i="5" s="1"/>
  <c r="U315" i="5"/>
  <c r="V315" i="5"/>
  <c r="W315" i="5" s="1"/>
  <c r="U314" i="5"/>
  <c r="V314" i="5"/>
  <c r="W314" i="5" s="1"/>
  <c r="U313" i="5"/>
  <c r="V313" i="5"/>
  <c r="W313" i="5" s="1"/>
  <c r="S312" i="5"/>
  <c r="T312" i="5" s="1"/>
  <c r="C17" i="4"/>
  <c r="U311" i="5"/>
  <c r="V311" i="5"/>
  <c r="W311" i="5" s="1"/>
  <c r="U310" i="5"/>
  <c r="V310" i="5"/>
  <c r="W310" i="5" s="1"/>
  <c r="U309" i="5"/>
  <c r="V309" i="5"/>
  <c r="W309" i="5" s="1"/>
  <c r="U308" i="5"/>
  <c r="V308" i="5"/>
  <c r="W308" i="5" s="1"/>
  <c r="U307" i="5"/>
  <c r="V307" i="5"/>
  <c r="W307" i="5" s="1"/>
  <c r="U306" i="5"/>
  <c r="V306" i="5"/>
  <c r="W306" i="5" s="1"/>
  <c r="U305" i="5"/>
  <c r="V305" i="5"/>
  <c r="W305" i="5" s="1"/>
  <c r="U304" i="5"/>
  <c r="V304" i="5"/>
  <c r="W304" i="5" s="1"/>
  <c r="U303" i="5"/>
  <c r="V303" i="5"/>
  <c r="W303" i="5" s="1"/>
  <c r="U302" i="5"/>
  <c r="V302" i="5"/>
  <c r="W302" i="5" s="1"/>
  <c r="U301" i="5"/>
  <c r="V301" i="5"/>
  <c r="W301" i="5" s="1"/>
  <c r="U300" i="5"/>
  <c r="V300" i="5"/>
  <c r="W300" i="5" s="1"/>
  <c r="U299" i="5"/>
  <c r="V299" i="5"/>
  <c r="W299" i="5" s="1"/>
  <c r="U298" i="5"/>
  <c r="V298" i="5"/>
  <c r="W298" i="5" s="1"/>
  <c r="U297" i="5"/>
  <c r="V297" i="5"/>
  <c r="W297" i="5" s="1"/>
  <c r="U296" i="5"/>
  <c r="V296" i="5"/>
  <c r="W296" i="5" s="1"/>
  <c r="U295" i="5"/>
  <c r="V295" i="5"/>
  <c r="W295" i="5" s="1"/>
  <c r="U294" i="5"/>
  <c r="V294" i="5"/>
  <c r="W294" i="5" s="1"/>
  <c r="U293" i="5"/>
  <c r="V293" i="5"/>
  <c r="W293" i="5" s="1"/>
  <c r="U292" i="5"/>
  <c r="V292" i="5"/>
  <c r="W292" i="5" s="1"/>
  <c r="U291" i="5"/>
  <c r="V291" i="5"/>
  <c r="W291" i="5" s="1"/>
  <c r="U290" i="5"/>
  <c r="V290" i="5"/>
  <c r="W290" i="5" s="1"/>
  <c r="U289" i="5"/>
  <c r="V289" i="5"/>
  <c r="W289" i="5" s="1"/>
  <c r="U288" i="5"/>
  <c r="V288" i="5"/>
  <c r="W288" i="5" s="1"/>
  <c r="U287" i="5"/>
  <c r="V287" i="5"/>
  <c r="W287" i="5" s="1"/>
  <c r="U286" i="5"/>
  <c r="V286" i="5"/>
  <c r="W286" i="5" s="1"/>
  <c r="U285" i="5"/>
  <c r="V285" i="5"/>
  <c r="W285" i="5" s="1"/>
  <c r="U284" i="5"/>
  <c r="V284" i="5"/>
  <c r="W284" i="5" s="1"/>
  <c r="U283" i="5"/>
  <c r="V283" i="5"/>
  <c r="W283" i="5" s="1"/>
  <c r="U282" i="5"/>
  <c r="V282" i="5"/>
  <c r="W282" i="5" s="1"/>
  <c r="U281" i="5"/>
  <c r="V281" i="5"/>
  <c r="W281" i="5" s="1"/>
  <c r="U280" i="5"/>
  <c r="V280" i="5"/>
  <c r="W280" i="5" s="1"/>
  <c r="U279" i="5"/>
  <c r="V279" i="5"/>
  <c r="W279" i="5" s="1"/>
  <c r="U278" i="5"/>
  <c r="V278" i="5"/>
  <c r="W278" i="5" s="1"/>
  <c r="U277" i="5"/>
  <c r="V277" i="5"/>
  <c r="W277" i="5" s="1"/>
  <c r="U276" i="5"/>
  <c r="V276" i="5"/>
  <c r="W276" i="5" s="1"/>
  <c r="U275" i="5"/>
  <c r="V275" i="5"/>
  <c r="W275" i="5" s="1"/>
  <c r="U274" i="5"/>
  <c r="V274" i="5"/>
  <c r="W274" i="5" s="1"/>
  <c r="U273" i="5"/>
  <c r="V273" i="5"/>
  <c r="W273" i="5" s="1"/>
  <c r="U272" i="5"/>
  <c r="V272" i="5"/>
  <c r="W272" i="5" s="1"/>
  <c r="U271" i="5"/>
  <c r="V271" i="5"/>
  <c r="W271" i="5" s="1"/>
  <c r="U270" i="5"/>
  <c r="V270" i="5"/>
  <c r="W270" i="5" s="1"/>
  <c r="U269" i="5"/>
  <c r="V269" i="5"/>
  <c r="W269" i="5" s="1"/>
  <c r="U268" i="5"/>
  <c r="V268" i="5"/>
  <c r="W268" i="5" s="1"/>
  <c r="U267" i="5"/>
  <c r="V267" i="5"/>
  <c r="W267" i="5" s="1"/>
  <c r="U266" i="5"/>
  <c r="V266" i="5"/>
  <c r="W266" i="5" s="1"/>
  <c r="U265" i="5"/>
  <c r="V265" i="5"/>
  <c r="W265" i="5" s="1"/>
  <c r="U264" i="5"/>
  <c r="V264" i="5"/>
  <c r="W264" i="5" s="1"/>
  <c r="U263" i="5"/>
  <c r="V263" i="5"/>
  <c r="W263" i="5" s="1"/>
  <c r="U262" i="5"/>
  <c r="V262" i="5"/>
  <c r="W262" i="5" s="1"/>
  <c r="U261" i="5"/>
  <c r="V261" i="5"/>
  <c r="W261" i="5" s="1"/>
  <c r="U260" i="5"/>
  <c r="V260" i="5"/>
  <c r="W260" i="5" s="1"/>
  <c r="U259" i="5"/>
  <c r="V259" i="5"/>
  <c r="W259" i="5" s="1"/>
  <c r="U258" i="5"/>
  <c r="V258" i="5"/>
  <c r="W258" i="5" s="1"/>
  <c r="U257" i="5"/>
  <c r="V257" i="5"/>
  <c r="W257" i="5" s="1"/>
  <c r="U256" i="5"/>
  <c r="V256" i="5"/>
  <c r="W256" i="5" s="1"/>
  <c r="U255" i="5"/>
  <c r="V255" i="5"/>
  <c r="W255" i="5" s="1"/>
  <c r="U254" i="5"/>
  <c r="V254" i="5"/>
  <c r="W254" i="5" s="1"/>
  <c r="U253" i="5"/>
  <c r="V253" i="5"/>
  <c r="W253" i="5" s="1"/>
  <c r="U252" i="5"/>
  <c r="V252" i="5"/>
  <c r="W252" i="5" s="1"/>
  <c r="U251" i="5"/>
  <c r="V251" i="5"/>
  <c r="W251" i="5" s="1"/>
  <c r="U250" i="5"/>
  <c r="V250" i="5"/>
  <c r="W250" i="5" s="1"/>
  <c r="U249" i="5"/>
  <c r="V249" i="5"/>
  <c r="W249" i="5" s="1"/>
  <c r="U248" i="5"/>
  <c r="V248" i="5"/>
  <c r="W248" i="5" s="1"/>
  <c r="U247" i="5"/>
  <c r="V247" i="5"/>
  <c r="W247" i="5" s="1"/>
  <c r="U246" i="5"/>
  <c r="V246" i="5"/>
  <c r="W246" i="5" s="1"/>
  <c r="U245" i="5"/>
  <c r="V245" i="5"/>
  <c r="W245" i="5" s="1"/>
  <c r="U244" i="5"/>
  <c r="V244" i="5"/>
  <c r="W244" i="5" s="1"/>
  <c r="U243" i="5"/>
  <c r="V243" i="5"/>
  <c r="W243" i="5" s="1"/>
  <c r="U242" i="5"/>
  <c r="V242" i="5"/>
  <c r="W242" i="5" s="1"/>
  <c r="U241" i="5"/>
  <c r="V241" i="5"/>
  <c r="W241" i="5" s="1"/>
  <c r="U240" i="5"/>
  <c r="V240" i="5"/>
  <c r="W240" i="5" s="1"/>
  <c r="U239" i="5"/>
  <c r="V239" i="5"/>
  <c r="W239" i="5" s="1"/>
  <c r="U238" i="5"/>
  <c r="V238" i="5"/>
  <c r="W238" i="5" s="1"/>
  <c r="S237" i="5"/>
  <c r="T237" i="5" s="1"/>
  <c r="C22" i="4"/>
  <c r="U235" i="5"/>
  <c r="V235" i="5"/>
  <c r="W235" i="5" s="1"/>
  <c r="U234" i="5"/>
  <c r="V234" i="5"/>
  <c r="W234" i="5" s="1"/>
  <c r="U233" i="5"/>
  <c r="V233" i="5"/>
  <c r="W233" i="5" s="1"/>
  <c r="U231" i="5"/>
  <c r="V231" i="5"/>
  <c r="W231" i="5" s="1"/>
  <c r="U230" i="5"/>
  <c r="V230" i="5"/>
  <c r="W230" i="5" s="1"/>
  <c r="U229" i="5"/>
  <c r="V229" i="5"/>
  <c r="W229" i="5" s="1"/>
  <c r="U228" i="5"/>
  <c r="V228" i="5"/>
  <c r="W228" i="5" s="1"/>
  <c r="U227" i="5"/>
  <c r="V227" i="5"/>
  <c r="W227" i="5" s="1"/>
  <c r="U226" i="5"/>
  <c r="V226" i="5"/>
  <c r="W226" i="5" s="1"/>
  <c r="U225" i="5"/>
  <c r="V225" i="5"/>
  <c r="W225" i="5" s="1"/>
  <c r="U224" i="5"/>
  <c r="V224" i="5"/>
  <c r="W224" i="5" s="1"/>
  <c r="U223" i="5"/>
  <c r="V223" i="5"/>
  <c r="W223" i="5" s="1"/>
  <c r="U222" i="5"/>
  <c r="V222" i="5"/>
  <c r="W222" i="5" s="1"/>
  <c r="U221" i="5"/>
  <c r="V221" i="5"/>
  <c r="W221" i="5" s="1"/>
  <c r="V220" i="5"/>
  <c r="W220" i="5" s="1"/>
  <c r="U220" i="5"/>
  <c r="V219" i="5"/>
  <c r="W219" i="5" s="1"/>
  <c r="U219" i="5"/>
  <c r="U218" i="5"/>
  <c r="V218" i="5"/>
  <c r="W218" i="5" s="1"/>
  <c r="V217" i="5"/>
  <c r="W217" i="5" s="1"/>
  <c r="U217" i="5"/>
  <c r="U216" i="5"/>
  <c r="V216" i="5"/>
  <c r="W216" i="5" s="1"/>
  <c r="U215" i="5"/>
  <c r="V215" i="5"/>
  <c r="W215" i="5" s="1"/>
  <c r="U214" i="5"/>
  <c r="V214" i="5"/>
  <c r="W214" i="5" s="1"/>
  <c r="U213" i="5"/>
  <c r="V213" i="5"/>
  <c r="W213" i="5" s="1"/>
  <c r="U212" i="5"/>
  <c r="V212" i="5"/>
  <c r="W212" i="5" s="1"/>
  <c r="U211" i="5"/>
  <c r="V211" i="5"/>
  <c r="W211" i="5" s="1"/>
  <c r="U209" i="5"/>
  <c r="V209" i="5"/>
  <c r="W209" i="5" s="1"/>
  <c r="U208" i="5"/>
  <c r="V208" i="5"/>
  <c r="W208" i="5" s="1"/>
  <c r="U207" i="5"/>
  <c r="V207" i="5"/>
  <c r="W207" i="5" s="1"/>
  <c r="V206" i="5"/>
  <c r="W206" i="5" s="1"/>
  <c r="U206" i="5"/>
  <c r="V205" i="5"/>
  <c r="W205" i="5" s="1"/>
  <c r="U205" i="5"/>
  <c r="U204" i="5"/>
  <c r="V204" i="5"/>
  <c r="W204" i="5" s="1"/>
  <c r="U203" i="5"/>
  <c r="V203" i="5"/>
  <c r="W203" i="5" s="1"/>
  <c r="V202" i="5"/>
  <c r="W202" i="5" s="1"/>
  <c r="U202" i="5"/>
  <c r="U201" i="5"/>
  <c r="V201" i="5"/>
  <c r="W201" i="5" s="1"/>
  <c r="U200" i="5"/>
  <c r="V200" i="5"/>
  <c r="W200" i="5" s="1"/>
  <c r="U199" i="5"/>
  <c r="V199" i="5"/>
  <c r="W199" i="5" s="1"/>
  <c r="U198" i="5"/>
  <c r="V198" i="5"/>
  <c r="W198" i="5" s="1"/>
  <c r="U197" i="5"/>
  <c r="V197" i="5"/>
  <c r="W197" i="5" s="1"/>
  <c r="U196" i="5"/>
  <c r="V196" i="5"/>
  <c r="W196" i="5" s="1"/>
  <c r="U195" i="5"/>
  <c r="V195" i="5"/>
  <c r="W195" i="5" s="1"/>
  <c r="S193" i="5"/>
  <c r="T193" i="5" s="1"/>
  <c r="U192" i="5"/>
  <c r="V192" i="5"/>
  <c r="W192" i="5" s="1"/>
  <c r="U191" i="5"/>
  <c r="V191" i="5"/>
  <c r="W191" i="5" s="1"/>
  <c r="U190" i="5"/>
  <c r="V190" i="5"/>
  <c r="W190" i="5" s="1"/>
  <c r="U188" i="5"/>
  <c r="V188" i="5"/>
  <c r="W188" i="5" s="1"/>
  <c r="U187" i="5"/>
  <c r="V187" i="5"/>
  <c r="W187" i="5" s="1"/>
  <c r="U186" i="5"/>
  <c r="V186" i="5"/>
  <c r="W186" i="5" s="1"/>
  <c r="U185" i="5"/>
  <c r="V185" i="5"/>
  <c r="W185" i="5" s="1"/>
  <c r="U184" i="5"/>
  <c r="V184" i="5"/>
  <c r="W184" i="5" s="1"/>
  <c r="U183" i="5"/>
  <c r="V183" i="5"/>
  <c r="W183" i="5" s="1"/>
  <c r="U182" i="5"/>
  <c r="V182" i="5"/>
  <c r="W182" i="5" s="1"/>
  <c r="U181" i="5"/>
  <c r="V181" i="5"/>
  <c r="W181" i="5" s="1"/>
  <c r="U180" i="5"/>
  <c r="V180" i="5"/>
  <c r="W180" i="5" s="1"/>
  <c r="U179" i="5"/>
  <c r="V179" i="5"/>
  <c r="W179" i="5" s="1"/>
  <c r="U178" i="5"/>
  <c r="V178" i="5"/>
  <c r="W178" i="5" s="1"/>
  <c r="U177" i="5"/>
  <c r="V177" i="5"/>
  <c r="W177" i="5" s="1"/>
  <c r="U176" i="5"/>
  <c r="V176" i="5"/>
  <c r="W176" i="5" s="1"/>
  <c r="U175" i="5"/>
  <c r="V175" i="5"/>
  <c r="W175" i="5" s="1"/>
  <c r="U174" i="5"/>
  <c r="V174" i="5"/>
  <c r="W174" i="5" s="1"/>
  <c r="U173" i="5"/>
  <c r="V173" i="5"/>
  <c r="W173" i="5" s="1"/>
  <c r="U172" i="5"/>
  <c r="V172" i="5"/>
  <c r="W172" i="5" s="1"/>
  <c r="U171" i="5"/>
  <c r="V171" i="5"/>
  <c r="W171" i="5" s="1"/>
  <c r="U170" i="5"/>
  <c r="V170" i="5"/>
  <c r="W170" i="5" s="1"/>
  <c r="U169" i="5"/>
  <c r="V169" i="5"/>
  <c r="W169" i="5" s="1"/>
  <c r="U168" i="5"/>
  <c r="V168" i="5"/>
  <c r="W168" i="5" s="1"/>
  <c r="U167" i="5"/>
  <c r="V167" i="5"/>
  <c r="W167" i="5" s="1"/>
  <c r="U166" i="5"/>
  <c r="V166" i="5"/>
  <c r="W166" i="5" s="1"/>
  <c r="U165" i="5"/>
  <c r="V165" i="5"/>
  <c r="W165" i="5" s="1"/>
  <c r="U164" i="5"/>
  <c r="V164" i="5"/>
  <c r="W164" i="5" s="1"/>
  <c r="U163" i="5"/>
  <c r="V163" i="5"/>
  <c r="W163" i="5" s="1"/>
  <c r="U162" i="5"/>
  <c r="V162" i="5"/>
  <c r="W162" i="5" s="1"/>
  <c r="U161" i="5"/>
  <c r="V161" i="5"/>
  <c r="W161" i="5" s="1"/>
  <c r="U160" i="5"/>
  <c r="V160" i="5"/>
  <c r="W160" i="5" s="1"/>
  <c r="U159" i="5"/>
  <c r="V159" i="5"/>
  <c r="W159" i="5" s="1"/>
  <c r="U158" i="5"/>
  <c r="V158" i="5"/>
  <c r="W158" i="5" s="1"/>
  <c r="U157" i="5"/>
  <c r="V157" i="5"/>
  <c r="W157" i="5" s="1"/>
  <c r="U156" i="5"/>
  <c r="V156" i="5"/>
  <c r="W156" i="5" s="1"/>
  <c r="U155" i="5"/>
  <c r="V155" i="5"/>
  <c r="W155" i="5" s="1"/>
  <c r="U154" i="5"/>
  <c r="V154" i="5"/>
  <c r="W154" i="5" s="1"/>
  <c r="U153" i="5"/>
  <c r="V153" i="5"/>
  <c r="W153" i="5" s="1"/>
  <c r="U152" i="5"/>
  <c r="V152" i="5"/>
  <c r="W152" i="5" s="1"/>
  <c r="U151" i="5"/>
  <c r="V151" i="5"/>
  <c r="W151" i="5" s="1"/>
  <c r="U150" i="5"/>
  <c r="V150" i="5"/>
  <c r="W150" i="5" s="1"/>
  <c r="U149" i="5"/>
  <c r="V149" i="5"/>
  <c r="W149" i="5" s="1"/>
  <c r="U148" i="5"/>
  <c r="V148" i="5"/>
  <c r="W148" i="5" s="1"/>
  <c r="U147" i="5"/>
  <c r="V147" i="5"/>
  <c r="W147" i="5" s="1"/>
  <c r="U146" i="5"/>
  <c r="V146" i="5"/>
  <c r="W146" i="5" s="1"/>
  <c r="U145" i="5"/>
  <c r="V145" i="5"/>
  <c r="W145" i="5" s="1"/>
  <c r="U144" i="5"/>
  <c r="V144" i="5"/>
  <c r="W144" i="5" s="1"/>
  <c r="U143" i="5"/>
  <c r="V143" i="5"/>
  <c r="W143" i="5" s="1"/>
  <c r="U142" i="5"/>
  <c r="V142" i="5"/>
  <c r="W142" i="5" s="1"/>
  <c r="U141" i="5"/>
  <c r="V141" i="5"/>
  <c r="W141" i="5" s="1"/>
  <c r="U140" i="5"/>
  <c r="V140" i="5"/>
  <c r="W140" i="5" s="1"/>
  <c r="U139" i="5"/>
  <c r="V139" i="5"/>
  <c r="W139" i="5" s="1"/>
  <c r="U138" i="5"/>
  <c r="V138" i="5"/>
  <c r="W138" i="5" s="1"/>
  <c r="U137" i="5"/>
  <c r="V137" i="5"/>
  <c r="W137" i="5" s="1"/>
  <c r="U136" i="5"/>
  <c r="V136" i="5"/>
  <c r="W136" i="5" s="1"/>
  <c r="U135" i="5"/>
  <c r="V135" i="5"/>
  <c r="W135" i="5" s="1"/>
  <c r="U134" i="5"/>
  <c r="V134" i="5"/>
  <c r="W134" i="5" s="1"/>
  <c r="U133" i="5"/>
  <c r="V133" i="5"/>
  <c r="W133" i="5" s="1"/>
  <c r="U132" i="5"/>
  <c r="V132" i="5"/>
  <c r="W132" i="5" s="1"/>
  <c r="U131" i="5"/>
  <c r="V131" i="5"/>
  <c r="W131" i="5" s="1"/>
  <c r="U130" i="5"/>
  <c r="V130" i="5"/>
  <c r="W130" i="5" s="1"/>
  <c r="U129" i="5"/>
  <c r="V129" i="5"/>
  <c r="W129" i="5" s="1"/>
  <c r="U128" i="5"/>
  <c r="V128" i="5"/>
  <c r="W128" i="5" s="1"/>
  <c r="U127" i="5"/>
  <c r="V127" i="5"/>
  <c r="W127" i="5" s="1"/>
  <c r="U126" i="5"/>
  <c r="V126" i="5"/>
  <c r="W126" i="5" s="1"/>
  <c r="U125" i="5"/>
  <c r="V125" i="5"/>
  <c r="W125" i="5" s="1"/>
  <c r="U124" i="5"/>
  <c r="V124" i="5"/>
  <c r="W124" i="5" s="1"/>
  <c r="U122" i="5"/>
  <c r="V122" i="5"/>
  <c r="W122" i="5" s="1"/>
  <c r="U121" i="5"/>
  <c r="V121" i="5"/>
  <c r="W121" i="5" s="1"/>
  <c r="U120" i="5"/>
  <c r="V120" i="5"/>
  <c r="W120" i="5" s="1"/>
  <c r="U119" i="5"/>
  <c r="V119" i="5"/>
  <c r="W119" i="5" s="1"/>
  <c r="U118" i="5"/>
  <c r="V118" i="5"/>
  <c r="W118" i="5" s="1"/>
  <c r="U117" i="5"/>
  <c r="V117" i="5"/>
  <c r="W117" i="5" s="1"/>
  <c r="U116" i="5"/>
  <c r="V116" i="5"/>
  <c r="W116" i="5" s="1"/>
  <c r="U115" i="5"/>
  <c r="V115" i="5"/>
  <c r="W115" i="5" s="1"/>
  <c r="U114" i="5"/>
  <c r="V114" i="5"/>
  <c r="W114" i="5" s="1"/>
  <c r="U113" i="5"/>
  <c r="V113" i="5"/>
  <c r="W113" i="5" s="1"/>
  <c r="S112" i="5"/>
  <c r="T112" i="5" s="1"/>
  <c r="U111" i="5"/>
  <c r="V111" i="5"/>
  <c r="W111" i="5" s="1"/>
  <c r="U110" i="5"/>
  <c r="V110" i="5"/>
  <c r="W110" i="5" s="1"/>
  <c r="U109" i="5"/>
  <c r="V109" i="5"/>
  <c r="W109" i="5" s="1"/>
  <c r="U108" i="5"/>
  <c r="V108" i="5"/>
  <c r="W108" i="5" s="1"/>
  <c r="U107" i="5"/>
  <c r="V107" i="5"/>
  <c r="W107" i="5" s="1"/>
  <c r="U106" i="5"/>
  <c r="V106" i="5"/>
  <c r="W106" i="5" s="1"/>
  <c r="U105" i="5"/>
  <c r="V105" i="5"/>
  <c r="W105" i="5" s="1"/>
  <c r="U104" i="5"/>
  <c r="V104" i="5"/>
  <c r="W104" i="5" s="1"/>
  <c r="U103" i="5"/>
  <c r="V103" i="5"/>
  <c r="W103" i="5" s="1"/>
  <c r="U102" i="5"/>
  <c r="V102" i="5"/>
  <c r="W102" i="5" s="1"/>
  <c r="U101" i="5"/>
  <c r="V101" i="5"/>
  <c r="W101" i="5" s="1"/>
  <c r="U100" i="5"/>
  <c r="V100" i="5"/>
  <c r="W100" i="5" s="1"/>
  <c r="U99" i="5"/>
  <c r="V99" i="5"/>
  <c r="W99" i="5" s="1"/>
  <c r="U98" i="5"/>
  <c r="V98" i="5"/>
  <c r="W98" i="5" s="1"/>
  <c r="U97" i="5"/>
  <c r="V97" i="5"/>
  <c r="W97" i="5" s="1"/>
  <c r="U96" i="5"/>
  <c r="V96" i="5"/>
  <c r="W96" i="5" s="1"/>
  <c r="U95" i="5"/>
  <c r="V95" i="5"/>
  <c r="W95" i="5" s="1"/>
  <c r="U94" i="5"/>
  <c r="V94" i="5"/>
  <c r="W94" i="5" s="1"/>
  <c r="U93" i="5"/>
  <c r="V93" i="5"/>
  <c r="W93" i="5" s="1"/>
  <c r="U92" i="5"/>
  <c r="V92" i="5"/>
  <c r="W92" i="5" s="1"/>
  <c r="U91" i="5"/>
  <c r="V91" i="5"/>
  <c r="W91" i="5" s="1"/>
  <c r="U90" i="5"/>
  <c r="V90" i="5"/>
  <c r="W90" i="5" s="1"/>
  <c r="U89" i="5"/>
  <c r="V89" i="5"/>
  <c r="W89" i="5" s="1"/>
  <c r="U88" i="5"/>
  <c r="V88" i="5"/>
  <c r="W88" i="5" s="1"/>
  <c r="U87" i="5"/>
  <c r="V87" i="5"/>
  <c r="W87" i="5" s="1"/>
  <c r="U86" i="5"/>
  <c r="V86" i="5"/>
  <c r="W86" i="5" s="1"/>
  <c r="U85" i="5"/>
  <c r="V85" i="5"/>
  <c r="W85" i="5" s="1"/>
  <c r="U84" i="5"/>
  <c r="V84" i="5"/>
  <c r="W84" i="5" s="1"/>
  <c r="U83" i="5"/>
  <c r="V83" i="5"/>
  <c r="W83" i="5" s="1"/>
  <c r="U82" i="5"/>
  <c r="V82" i="5"/>
  <c r="W82" i="5" s="1"/>
  <c r="U81" i="5"/>
  <c r="V81" i="5"/>
  <c r="W81" i="5" s="1"/>
  <c r="U80" i="5"/>
  <c r="V80" i="5"/>
  <c r="W80" i="5" s="1"/>
  <c r="U79" i="5"/>
  <c r="V79" i="5"/>
  <c r="W79" i="5" s="1"/>
  <c r="U78" i="5"/>
  <c r="V78" i="5"/>
  <c r="W78" i="5" s="1"/>
  <c r="U77" i="5"/>
  <c r="V77" i="5"/>
  <c r="W77" i="5" s="1"/>
  <c r="U76" i="5"/>
  <c r="V76" i="5"/>
  <c r="W76" i="5" s="1"/>
  <c r="U75" i="5"/>
  <c r="V75" i="5"/>
  <c r="W75" i="5" s="1"/>
  <c r="U74" i="5"/>
  <c r="V74" i="5"/>
  <c r="W74" i="5" s="1"/>
  <c r="U73" i="5"/>
  <c r="V73" i="5"/>
  <c r="W73" i="5" s="1"/>
  <c r="U72" i="5"/>
  <c r="V72" i="5"/>
  <c r="W72" i="5" s="1"/>
  <c r="U71" i="5"/>
  <c r="V71" i="5"/>
  <c r="W71" i="5" s="1"/>
  <c r="U70" i="5"/>
  <c r="V70" i="5"/>
  <c r="W70" i="5" s="1"/>
  <c r="U69" i="5"/>
  <c r="V69" i="5"/>
  <c r="W69" i="5" s="1"/>
  <c r="U68" i="5"/>
  <c r="V68" i="5"/>
  <c r="W68" i="5" s="1"/>
  <c r="U67" i="5"/>
  <c r="V67" i="5"/>
  <c r="W67" i="5" s="1"/>
  <c r="U66" i="5"/>
  <c r="V66" i="5"/>
  <c r="W66" i="5" s="1"/>
  <c r="S65" i="5"/>
  <c r="T65" i="5" s="1"/>
  <c r="C23" i="4"/>
  <c r="U63" i="5"/>
  <c r="V63" i="5"/>
  <c r="W63" i="5" s="1"/>
  <c r="U62" i="5"/>
  <c r="V62" i="5"/>
  <c r="W62" i="5" s="1"/>
  <c r="U61" i="5"/>
  <c r="V61" i="5"/>
  <c r="W61" i="5" s="1"/>
  <c r="U60" i="5"/>
  <c r="V60" i="5"/>
  <c r="W60" i="5" s="1"/>
  <c r="U59" i="5"/>
  <c r="V59" i="5"/>
  <c r="W59" i="5" s="1"/>
  <c r="U58" i="5"/>
  <c r="V58" i="5"/>
  <c r="W58" i="5" s="1"/>
  <c r="U57" i="5"/>
  <c r="V57" i="5"/>
  <c r="W57" i="5" s="1"/>
  <c r="U56" i="5"/>
  <c r="V56" i="5"/>
  <c r="W56" i="5" s="1"/>
  <c r="U55" i="5"/>
  <c r="V55" i="5"/>
  <c r="W55" i="5" s="1"/>
  <c r="U54" i="5"/>
  <c r="V54" i="5"/>
  <c r="W54" i="5" s="1"/>
  <c r="U53" i="5"/>
  <c r="V53" i="5"/>
  <c r="W53" i="5" s="1"/>
  <c r="U52" i="5"/>
  <c r="V52" i="5"/>
  <c r="W52" i="5" s="1"/>
  <c r="U51" i="5"/>
  <c r="V51" i="5"/>
  <c r="W51" i="5" s="1"/>
  <c r="U50" i="5"/>
  <c r="V50" i="5"/>
  <c r="W50" i="5" s="1"/>
  <c r="U49" i="5"/>
  <c r="V49" i="5"/>
  <c r="W49" i="5" s="1"/>
  <c r="U48" i="5"/>
  <c r="V48" i="5"/>
  <c r="W48" i="5" s="1"/>
  <c r="U47" i="5"/>
  <c r="V47" i="5"/>
  <c r="W47" i="5" s="1"/>
  <c r="U46" i="5"/>
  <c r="V46" i="5"/>
  <c r="W46" i="5" s="1"/>
  <c r="U45" i="5"/>
  <c r="V45" i="5"/>
  <c r="W45" i="5" s="1"/>
  <c r="U44" i="5"/>
  <c r="V44" i="5"/>
  <c r="W44" i="5" s="1"/>
  <c r="U43" i="5"/>
  <c r="V43" i="5"/>
  <c r="W43" i="5" s="1"/>
  <c r="U42" i="5"/>
  <c r="V42" i="5"/>
  <c r="W42" i="5" s="1"/>
  <c r="U41" i="5"/>
  <c r="V41" i="5"/>
  <c r="W41" i="5" s="1"/>
  <c r="U40" i="5"/>
  <c r="V40" i="5"/>
  <c r="W40" i="5" s="1"/>
  <c r="U39" i="5"/>
  <c r="V39" i="5"/>
  <c r="W39" i="5" s="1"/>
  <c r="U38" i="5"/>
  <c r="V38" i="5"/>
  <c r="W38" i="5" s="1"/>
  <c r="U36" i="5"/>
  <c r="V36" i="5"/>
  <c r="W36" i="5" s="1"/>
  <c r="U34" i="5"/>
  <c r="V34" i="5"/>
  <c r="W34" i="5" s="1"/>
  <c r="V33" i="5"/>
  <c r="W33" i="5" s="1"/>
  <c r="U33" i="5"/>
  <c r="V32" i="5"/>
  <c r="W32" i="5" s="1"/>
  <c r="U32" i="5"/>
  <c r="U31" i="5"/>
  <c r="V31" i="5"/>
  <c r="W31" i="5" s="1"/>
  <c r="U30" i="5"/>
  <c r="V30" i="5"/>
  <c r="W30" i="5" s="1"/>
  <c r="V29" i="5"/>
  <c r="W29" i="5" s="1"/>
  <c r="U29" i="5"/>
  <c r="U28" i="5"/>
  <c r="V28" i="5"/>
  <c r="W28" i="5" s="1"/>
  <c r="U27" i="5"/>
  <c r="V27" i="5"/>
  <c r="W27" i="5" s="1"/>
  <c r="U26" i="5"/>
  <c r="V26" i="5"/>
  <c r="W26" i="5" s="1"/>
  <c r="U25" i="5"/>
  <c r="V25" i="5"/>
  <c r="W25" i="5" s="1"/>
  <c r="U24" i="5"/>
  <c r="V24" i="5"/>
  <c r="W24" i="5" s="1"/>
  <c r="U23" i="5"/>
  <c r="V23" i="5"/>
  <c r="W23" i="5" s="1"/>
  <c r="U22" i="5"/>
  <c r="V22" i="5"/>
  <c r="W22" i="5" s="1"/>
  <c r="U21" i="5"/>
  <c r="V21" i="5"/>
  <c r="W21" i="5" s="1"/>
  <c r="U20" i="5"/>
  <c r="V20" i="5"/>
  <c r="W20" i="5" s="1"/>
  <c r="U19" i="5"/>
  <c r="V19" i="5"/>
  <c r="W19" i="5" s="1"/>
  <c r="U18" i="5"/>
  <c r="V18" i="5"/>
  <c r="W18" i="5" s="1"/>
  <c r="U17" i="5"/>
  <c r="V17" i="5"/>
  <c r="W17" i="5" s="1"/>
  <c r="U16" i="5"/>
  <c r="V16" i="5"/>
  <c r="W16" i="5" s="1"/>
  <c r="U15" i="5"/>
  <c r="V15" i="5"/>
  <c r="W15" i="5" s="1"/>
  <c r="U14" i="5"/>
  <c r="V14" i="5"/>
  <c r="W14" i="5" s="1"/>
  <c r="U13" i="5"/>
  <c r="V13" i="5"/>
  <c r="W13" i="5" s="1"/>
  <c r="U12" i="5"/>
  <c r="V12" i="5"/>
  <c r="W12" i="5" s="1"/>
  <c r="U11" i="5"/>
  <c r="V11" i="5"/>
  <c r="W11" i="5" s="1"/>
  <c r="U10" i="5"/>
  <c r="V10" i="5"/>
  <c r="W10" i="5" s="1"/>
  <c r="U9" i="5"/>
  <c r="V9" i="5"/>
  <c r="W9" i="5" s="1"/>
  <c r="V8" i="5"/>
  <c r="W8" i="5" s="1"/>
  <c r="U8" i="5"/>
  <c r="U7" i="5"/>
  <c r="V7" i="5"/>
  <c r="W7" i="5" s="1"/>
  <c r="U6" i="5"/>
  <c r="V6" i="5"/>
  <c r="W6" i="5" s="1"/>
  <c r="S5" i="5"/>
  <c r="T5" i="5" s="1"/>
  <c r="P45" i="5"/>
  <c r="P5" i="5"/>
  <c r="P7" i="5"/>
  <c r="P9" i="5"/>
  <c r="P13" i="5"/>
  <c r="P16" i="5"/>
  <c r="P20" i="5"/>
  <c r="P23" i="5"/>
  <c r="P29" i="5"/>
  <c r="P31" i="5"/>
  <c r="P32" i="5"/>
  <c r="P35" i="5"/>
  <c r="R35" i="5" s="1"/>
  <c r="P39" i="5"/>
  <c r="P40" i="5"/>
  <c r="P42" i="5"/>
  <c r="P43" i="5"/>
  <c r="P44" i="5"/>
  <c r="P46" i="5"/>
  <c r="P47" i="5"/>
  <c r="P48" i="5"/>
  <c r="P49" i="5"/>
  <c r="P50" i="5"/>
  <c r="P51" i="5"/>
  <c r="P52" i="5"/>
  <c r="P53" i="5"/>
  <c r="P54" i="5"/>
  <c r="P55" i="5"/>
  <c r="P56" i="5"/>
  <c r="P57" i="5"/>
  <c r="P58" i="5"/>
  <c r="P59" i="5"/>
  <c r="P60" i="5"/>
  <c r="P61" i="5"/>
  <c r="P62" i="5"/>
  <c r="P63" i="5"/>
  <c r="P64" i="5"/>
  <c r="R64" i="5" s="1"/>
  <c r="S64" i="5" s="1"/>
  <c r="T64" i="5" s="1"/>
  <c r="P6" i="5"/>
  <c r="P8" i="5"/>
  <c r="P10" i="5"/>
  <c r="P11" i="5"/>
  <c r="P12" i="5"/>
  <c r="P14" i="5"/>
  <c r="P15" i="5"/>
  <c r="P17" i="5"/>
  <c r="P18" i="5"/>
  <c r="P19" i="5"/>
  <c r="P21" i="5"/>
  <c r="P22" i="5"/>
  <c r="P24" i="5"/>
  <c r="P25" i="5"/>
  <c r="P26" i="5"/>
  <c r="P27" i="5"/>
  <c r="P28" i="5"/>
  <c r="P30" i="5"/>
  <c r="P33" i="5"/>
  <c r="P34" i="5"/>
  <c r="P36" i="5"/>
  <c r="P37" i="5"/>
  <c r="R37" i="5" s="1"/>
  <c r="S37" i="5" s="1"/>
  <c r="T37" i="5" s="1"/>
  <c r="P38" i="5"/>
  <c r="P41"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251" i="5"/>
  <c r="P237" i="5"/>
  <c r="P238" i="5"/>
  <c r="P239" i="5"/>
  <c r="P240" i="5"/>
  <c r="P241" i="5"/>
  <c r="P242" i="5"/>
  <c r="P243" i="5"/>
  <c r="P244" i="5"/>
  <c r="P245" i="5"/>
  <c r="P246" i="5"/>
  <c r="P247" i="5"/>
  <c r="P248" i="5"/>
  <c r="P249" i="5"/>
  <c r="P250" i="5"/>
  <c r="P252" i="5"/>
  <c r="P253" i="5"/>
  <c r="P254" i="5"/>
  <c r="P255" i="5"/>
  <c r="P256" i="5"/>
  <c r="P257" i="5"/>
  <c r="P258" i="5"/>
  <c r="P259" i="5"/>
  <c r="P260" i="5"/>
  <c r="P261" i="5"/>
  <c r="P262" i="5"/>
  <c r="P263" i="5"/>
  <c r="P264" i="5"/>
  <c r="P265" i="5"/>
  <c r="P266" i="5"/>
  <c r="P267" i="5"/>
  <c r="P268" i="5"/>
  <c r="P269" i="5"/>
  <c r="P270" i="5"/>
  <c r="P271" i="5"/>
  <c r="P272" i="5"/>
  <c r="P273" i="5"/>
  <c r="P274" i="5"/>
  <c r="P275" i="5"/>
  <c r="P276" i="5"/>
  <c r="P277" i="5"/>
  <c r="P278" i="5"/>
  <c r="P279" i="5"/>
  <c r="P280" i="5"/>
  <c r="P281" i="5"/>
  <c r="P282" i="5"/>
  <c r="P283" i="5"/>
  <c r="P284" i="5"/>
  <c r="P285" i="5"/>
  <c r="P286" i="5"/>
  <c r="P287" i="5"/>
  <c r="P288" i="5"/>
  <c r="P289" i="5"/>
  <c r="P290" i="5"/>
  <c r="P291" i="5"/>
  <c r="P292" i="5"/>
  <c r="P293" i="5"/>
  <c r="P294" i="5"/>
  <c r="P295" i="5"/>
  <c r="P296" i="5"/>
  <c r="P297" i="5"/>
  <c r="P298" i="5"/>
  <c r="P299" i="5"/>
  <c r="P300" i="5"/>
  <c r="P301" i="5"/>
  <c r="P302" i="5"/>
  <c r="P306" i="5"/>
  <c r="P307" i="5"/>
  <c r="P309" i="5"/>
  <c r="P303" i="5"/>
  <c r="P304" i="5"/>
  <c r="P305" i="5"/>
  <c r="P308" i="5"/>
  <c r="P310" i="5"/>
  <c r="P311" i="5"/>
  <c r="P193" i="5"/>
  <c r="P194" i="5"/>
  <c r="R194" i="5" s="1"/>
  <c r="P195" i="5"/>
  <c r="P196" i="5"/>
  <c r="P197" i="5"/>
  <c r="P198" i="5"/>
  <c r="P199" i="5"/>
  <c r="P201" i="5"/>
  <c r="P203" i="5"/>
  <c r="P213" i="5"/>
  <c r="P215" i="5"/>
  <c r="P216" i="5"/>
  <c r="P217" i="5"/>
  <c r="P219" i="5"/>
  <c r="P220" i="5"/>
  <c r="P207" i="5"/>
  <c r="P208" i="5"/>
  <c r="P209" i="5"/>
  <c r="P210" i="5"/>
  <c r="R210" i="5" s="1"/>
  <c r="S210" i="5" s="1"/>
  <c r="T210" i="5" s="1"/>
  <c r="P211" i="5"/>
  <c r="P212" i="5"/>
  <c r="P214" i="5"/>
  <c r="P218" i="5"/>
  <c r="P221" i="5"/>
  <c r="P222" i="5"/>
  <c r="P223" i="5"/>
  <c r="P224" i="5"/>
  <c r="P225" i="5"/>
  <c r="P226" i="5"/>
  <c r="P227" i="5"/>
  <c r="P228" i="5"/>
  <c r="P229" i="5"/>
  <c r="P230" i="5"/>
  <c r="P231" i="5"/>
  <c r="P232" i="5"/>
  <c r="R232" i="5" s="1"/>
  <c r="S232" i="5" s="1"/>
  <c r="T232" i="5" s="1"/>
  <c r="P233" i="5"/>
  <c r="P234" i="5"/>
  <c r="P235" i="5"/>
  <c r="P236" i="5"/>
  <c r="R236" i="5" s="1"/>
  <c r="S236" i="5" s="1"/>
  <c r="T236" i="5" s="1"/>
  <c r="P200" i="5"/>
  <c r="P202" i="5"/>
  <c r="P204" i="5"/>
  <c r="P205" i="5"/>
  <c r="P206" i="5"/>
  <c r="P371" i="5"/>
  <c r="P372" i="5"/>
  <c r="P373" i="5"/>
  <c r="P374" i="5"/>
  <c r="P375" i="5"/>
  <c r="P376" i="5"/>
  <c r="P377" i="5"/>
  <c r="R377" i="5" s="1"/>
  <c r="P378" i="5"/>
  <c r="P379" i="5"/>
  <c r="P380" i="5"/>
  <c r="P381" i="5"/>
  <c r="P382" i="5"/>
  <c r="P383" i="5"/>
  <c r="P384" i="5"/>
  <c r="P385" i="5"/>
  <c r="P386" i="5"/>
  <c r="R386" i="5" s="1"/>
  <c r="S386" i="5" s="1"/>
  <c r="T386" i="5" s="1"/>
  <c r="P387" i="5"/>
  <c r="P388" i="5"/>
  <c r="P389" i="5"/>
  <c r="P390" i="5"/>
  <c r="P391" i="5"/>
  <c r="P392" i="5"/>
  <c r="P393" i="5"/>
  <c r="P394" i="5"/>
  <c r="P395" i="5"/>
  <c r="P396" i="5"/>
  <c r="P397" i="5"/>
  <c r="P398" i="5"/>
  <c r="P399" i="5"/>
  <c r="P400" i="5"/>
  <c r="P401" i="5"/>
  <c r="P402" i="5"/>
  <c r="P403" i="5"/>
  <c r="P404" i="5"/>
  <c r="P405" i="5"/>
  <c r="P340" i="5"/>
  <c r="P341" i="5"/>
  <c r="P342" i="5"/>
  <c r="P343" i="5"/>
  <c r="P344" i="5"/>
  <c r="P345" i="5"/>
  <c r="R345" i="5" s="1"/>
  <c r="P346" i="5"/>
  <c r="P347" i="5"/>
  <c r="P348" i="5"/>
  <c r="P349" i="5"/>
  <c r="P350" i="5"/>
  <c r="P351" i="5"/>
  <c r="P352" i="5"/>
  <c r="P353" i="5"/>
  <c r="P354" i="5"/>
  <c r="P355" i="5"/>
  <c r="P356" i="5"/>
  <c r="P357" i="5"/>
  <c r="P358" i="5"/>
  <c r="P359" i="5"/>
  <c r="P360" i="5"/>
  <c r="P361" i="5"/>
  <c r="P362" i="5"/>
  <c r="P363" i="5"/>
  <c r="P364" i="5"/>
  <c r="P365" i="5"/>
  <c r="P366" i="5"/>
  <c r="P367" i="5"/>
  <c r="P368" i="5"/>
  <c r="P369" i="5"/>
  <c r="P112" i="5"/>
  <c r="P113" i="5"/>
  <c r="P114" i="5"/>
  <c r="P115" i="5"/>
  <c r="P116" i="5"/>
  <c r="P117" i="5"/>
  <c r="P118" i="5"/>
  <c r="P119" i="5"/>
  <c r="P120" i="5"/>
  <c r="P121" i="5"/>
  <c r="P122" i="5"/>
  <c r="P123" i="5"/>
  <c r="R123" i="5" s="1"/>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R189" i="5" s="1"/>
  <c r="S189" i="5" s="1"/>
  <c r="T189" i="5" s="1"/>
  <c r="P190" i="5"/>
  <c r="P191" i="5"/>
  <c r="P192" i="5"/>
  <c r="P312" i="5"/>
  <c r="P313" i="5"/>
  <c r="P314" i="5"/>
  <c r="P315" i="5"/>
  <c r="P316" i="5"/>
  <c r="P317" i="5"/>
  <c r="P318" i="5"/>
  <c r="P319" i="5"/>
  <c r="P320" i="5"/>
  <c r="P321" i="5"/>
  <c r="P322" i="5"/>
  <c r="P323" i="5"/>
  <c r="P324" i="5"/>
  <c r="P325" i="5"/>
  <c r="P326" i="5"/>
  <c r="P327" i="5"/>
  <c r="P328" i="5"/>
  <c r="P329" i="5"/>
  <c r="P330" i="5"/>
  <c r="P331" i="5"/>
  <c r="P332" i="5"/>
  <c r="P333" i="5"/>
  <c r="P334" i="5"/>
  <c r="P335" i="5"/>
  <c r="P336" i="5"/>
  <c r="P337" i="5"/>
  <c r="P338" i="5"/>
  <c r="P339" i="5"/>
  <c r="S345" i="5" l="1"/>
  <c r="T345" i="5" s="1"/>
  <c r="C19" i="4"/>
  <c r="S377" i="5"/>
  <c r="T377" i="5" s="1"/>
  <c r="C20" i="4"/>
  <c r="U371" i="5"/>
  <c r="V371" i="5"/>
  <c r="W371" i="5" s="1"/>
  <c r="F20" i="4"/>
  <c r="U370" i="5"/>
  <c r="V370" i="5"/>
  <c r="W370" i="5" s="1"/>
  <c r="D25" i="4"/>
  <c r="F25" i="4"/>
  <c r="G25" i="4"/>
  <c r="E25" i="4"/>
  <c r="U340" i="5"/>
  <c r="V340" i="5"/>
  <c r="W340" i="5" s="1"/>
  <c r="D19" i="4"/>
  <c r="E19" i="4"/>
  <c r="F19" i="4"/>
  <c r="G19" i="4"/>
  <c r="U324" i="5"/>
  <c r="V324" i="5"/>
  <c r="W324" i="5" s="1"/>
  <c r="F16" i="4"/>
  <c r="E16" i="4"/>
  <c r="D16" i="4"/>
  <c r="G16" i="4"/>
  <c r="U312" i="5"/>
  <c r="V312" i="5"/>
  <c r="W312" i="5" s="1"/>
  <c r="G17" i="4"/>
  <c r="F17" i="4"/>
  <c r="D17" i="4"/>
  <c r="E17" i="4"/>
  <c r="U237" i="5"/>
  <c r="V237" i="5"/>
  <c r="W237" i="5" s="1"/>
  <c r="G22" i="4"/>
  <c r="F22" i="4"/>
  <c r="D22" i="4"/>
  <c r="E22" i="4"/>
  <c r="U193" i="5"/>
  <c r="V193" i="5"/>
  <c r="W193" i="5" s="1"/>
  <c r="U112" i="5"/>
  <c r="V112" i="5"/>
  <c r="W112" i="5" s="1"/>
  <c r="U65" i="5"/>
  <c r="V65" i="5"/>
  <c r="W65" i="5" s="1"/>
  <c r="F23" i="4"/>
  <c r="E23" i="4"/>
  <c r="G23" i="4"/>
  <c r="D23" i="4"/>
  <c r="U5" i="5"/>
  <c r="V5" i="5"/>
  <c r="W5" i="5" s="1"/>
  <c r="V64" i="5"/>
  <c r="U64" i="5"/>
  <c r="V37" i="5"/>
  <c r="U37" i="5"/>
  <c r="V210" i="5"/>
  <c r="U210" i="5"/>
  <c r="V232" i="5"/>
  <c r="U232" i="5"/>
  <c r="V236" i="5"/>
  <c r="U236" i="5"/>
  <c r="V386" i="5"/>
  <c r="U386" i="5"/>
  <c r="V189" i="5"/>
  <c r="U189" i="5"/>
  <c r="S35" i="5"/>
  <c r="T35" i="5" s="1"/>
  <c r="B5" i="4"/>
  <c r="C24" i="4"/>
  <c r="S194" i="5"/>
  <c r="T194" i="5" s="1"/>
  <c r="C21" i="4"/>
  <c r="S123" i="5"/>
  <c r="T123" i="5" s="1"/>
  <c r="C18" i="4"/>
  <c r="C26" i="4" l="1"/>
  <c r="V345" i="5"/>
  <c r="U345" i="5"/>
  <c r="G20" i="4"/>
  <c r="D20" i="4"/>
  <c r="E20" i="4"/>
  <c r="V377" i="5"/>
  <c r="U377" i="5"/>
  <c r="F21" i="4"/>
  <c r="G21" i="4"/>
  <c r="F18" i="4"/>
  <c r="G18" i="4"/>
  <c r="D18" i="4"/>
  <c r="E18" i="4"/>
  <c r="D21" i="4"/>
  <c r="E21" i="4"/>
  <c r="D24" i="4"/>
  <c r="G24" i="4"/>
  <c r="B10" i="4"/>
  <c r="C10" i="4" s="1"/>
  <c r="E10" i="4" s="1"/>
  <c r="B11" i="4"/>
  <c r="C11" i="4" s="1"/>
  <c r="B12" i="4"/>
  <c r="C12" i="4" s="1"/>
  <c r="E24" i="4"/>
  <c r="F24" i="4"/>
  <c r="B9" i="4"/>
  <c r="C9" i="4" s="1"/>
  <c r="E9" i="4" s="1"/>
  <c r="U35" i="5"/>
  <c r="V35" i="5"/>
  <c r="B6" i="4"/>
  <c r="U194" i="5"/>
  <c r="V194" i="5"/>
  <c r="U123" i="5"/>
  <c r="V123" i="5"/>
  <c r="D26" i="4" l="1"/>
  <c r="G26" i="4"/>
  <c r="F26" i="4"/>
  <c r="E26" i="4"/>
  <c r="W194" i="5"/>
  <c r="W123" i="5"/>
  <c r="W377" i="5"/>
  <c r="W232" i="5"/>
  <c r="W236" i="5"/>
  <c r="W386" i="5"/>
  <c r="W345" i="5"/>
  <c r="W189" i="5"/>
  <c r="W210" i="5"/>
  <c r="W64" i="5"/>
  <c r="W37" i="5"/>
  <c r="W35" i="5"/>
</calcChain>
</file>

<file path=xl/sharedStrings.xml><?xml version="1.0" encoding="utf-8"?>
<sst xmlns="http://schemas.openxmlformats.org/spreadsheetml/2006/main" count="2649" uniqueCount="1003">
  <si>
    <t>Matriz de Prioridades das Atividades do ClickUp</t>
  </si>
  <si>
    <t>Projeto Next · Processos · lista "Implantação de Melhorias (5W2H)" · proposta para validação</t>
  </si>
  <si>
    <t>Para que serve</t>
  </si>
  <si>
    <t>Dar uma nota de importância a cada atividade aberta do ClickUp e traduzir a nota em 4 categorias: 1 Baixa, 2 Normal, 3 Alta, 4 Urgente. A prioridade que hoje está no ClickUp NÃO foi usada.</t>
  </si>
  <si>
    <t>A ideia em uma frase</t>
  </si>
  <si>
    <t>Importância é uma coisa, prazo é outra e esforço é outra. A nota mede só a importância. O esforço e o prazo servem para ordenar as atividades dentro de cada categoria.</t>
  </si>
  <si>
    <t>Como a nota é calculada</t>
  </si>
  <si>
    <t>1) Cada atividade recebe nota de 1 a 5 em 5 critérios (aba Matriz).
2) A média é ponderada pelos pesos da aba Matriz.
3) Multiplica-se pelo fator do processo (aba Processos): um ajuste pequeno, de 0,9 a 1,1.
4) Soma-se o ajuste da natureza da ação (controle sobe, indicador desce).
5) A nota final vira categoria pelos cortes da aba Matriz.
6) Duas regras passam por cima da conta (vetos): risco de fraude nota 5 vira, no mínimo, Alta; atividade que para a obra ou o repasse da CEF vira Urgente.</t>
  </si>
  <si>
    <t>Como usar a aba Tarefas</t>
  </si>
  <si>
    <t>1) Preencha as células amarelas: esforço (H), as 5 notas (I a M) e, se for o caso, "Para obra ou repasse CEF?" (N).
2) As colunas cinza calculam sozinhas: nota, categoria e prioridade.
3) A coluna "Ordem geral" diz o que fazer primeiro: categoria, depois nota, depois menor esforço.
4) Dá para filtrar por processo, responsável, status ou prioridade.</t>
  </si>
  <si>
    <t>Cores</t>
  </si>
  <si>
    <t>Texto azul em fundo amarelo = pode editar (pesos, cortes, notas, esforço).
Fundo cinza = fórmula, não editar.
Fundo azul-escuro = títulos.</t>
  </si>
  <si>
    <t>O que é proposta minha</t>
  </si>
  <si>
    <t>Todos os pesos, cortes, ajustes e médias de processo são PROPOSTA para validar. Nenhum veio de dado oficial. As notas das 12 atividades marcadas como "Âncora (proposta)" também são minhas: servem de exemplo e de referência para calibrar. Troque qualquer valor azul e tudo recalcula.</t>
  </si>
  <si>
    <t>Fonte dos dados</t>
  </si>
  <si>
    <t>ClickUp, lista "Implantação de Melhorias (5W2H)", lida em 21/10/2026. Entram 401 atividades abertas (status: sem prazo definido, em progresso, em atraso e pausado). Ficam de fora as concluídas e as canceladas. Processo e Tipo de Ação vêm dos campos do ClickUp; onde o campo estava vazio usei a etiqueta; sem nenhum dos dois ficou "Sem processo definido".</t>
  </si>
  <si>
    <t>Sugestões automáticas</t>
  </si>
  <si>
    <t>A coluna "Natureza" (Controle, Documento normativo, etc.) é uma sugestão minha a partir do tipo de ação do ClickUp e de palavras do nome da tarefa. Revise e troque pela lista suspensa se estiver errada.</t>
  </si>
  <si>
    <t>Limites</t>
  </si>
  <si>
    <t>A planilha não altera nada no ClickUp. As notas dos critérios (colunas I a M) ficam em branco para as áreas e o Processos pontuarem, exceto nas âncoras.</t>
  </si>
  <si>
    <t>Matriz de critérios, pesos e regras</t>
  </si>
  <si>
    <t>Células azuis em fundo amarelo podem ser editadas. Pesos e cortes são proposta.</t>
  </si>
  <si>
    <t>Critério</t>
  </si>
  <si>
    <t>Pergunta</t>
  </si>
  <si>
    <t>Peso (%)</t>
  </si>
  <si>
    <t>Nota 1</t>
  </si>
  <si>
    <t>Nota 2</t>
  </si>
  <si>
    <t>Nota 3</t>
  </si>
  <si>
    <t>Nota 4</t>
  </si>
  <si>
    <t>Nota 5</t>
  </si>
  <si>
    <t>Risco de fraude e erro</t>
  </si>
  <si>
    <t>Pode haver desvio de dinheiro ou erro grave sem que alguém perceba?</t>
  </si>
  <si>
    <t>Nenhum risco relevante.</t>
  </si>
  <si>
    <t>Erro pequeno e fácil de achar.</t>
  </si>
  <si>
    <t>Erro ou desvio possível, mas há conferência depois.</t>
  </si>
  <si>
    <t>Desvio ou erro de valor possível e sem barreira clara.</t>
  </si>
  <si>
    <t>Dinheiro sai ou dado crítico muda sem trava, aprovação ou conferência.</t>
  </si>
  <si>
    <t>Impacto financeiro</t>
  </si>
  <si>
    <t>Quanto dinheiro está em jogo ou pode ser perdido ou ganho?</t>
  </si>
  <si>
    <t>Sem efeito em caixa.</t>
  </si>
  <si>
    <t>Efeito pequeno (exemplo: até R$ 10 mil).</t>
  </si>
  <si>
    <t>Efeito médio (exemplo: R$ 10 a 50 mil).</t>
  </si>
  <si>
    <t>Efeito grande (exemplo: R$ 50 a 200 mil).</t>
  </si>
  <si>
    <t>Efeito muito grande (exemplo: acima de R$ 200 mil). Faixas a confirmar com o Financeiro.</t>
  </si>
  <si>
    <t>Impacto na obra e na entrega</t>
  </si>
  <si>
    <t>Atrasa obra, lançamento, repasse ou entrega?</t>
  </si>
  <si>
    <t>Nenhum efeito.</t>
  </si>
  <si>
    <t>Atrasa rotina interna.</t>
  </si>
  <si>
    <t>Atrasa uma etapa, sem afetar marco.</t>
  </si>
  <si>
    <t>Pode atrasar marco de obra ou de lançamento.</t>
  </si>
  <si>
    <t>Para a obra, o repasse da CEF ou a entrega.</t>
  </si>
  <si>
    <t>Exigência legal, CEF e compliance</t>
  </si>
  <si>
    <t>Existe lei, norma, contrato, CEF ou LGPD exigindo isso?</t>
  </si>
  <si>
    <t>Nenhuma.</t>
  </si>
  <si>
    <t>Boa prática interna.</t>
  </si>
  <si>
    <t>Exigência interna formal (política, procedimento).</t>
  </si>
  <si>
    <t>Exigência de contrato, CEF ou LGPD.</t>
  </si>
  <si>
    <t>Lei, norma de segurança ou risco de multa ou embargo.</t>
  </si>
  <si>
    <t>Dependência</t>
  </si>
  <si>
    <t>Outras atividades ou áreas esperam por esta?</t>
  </si>
  <si>
    <t>Ninguém espera.</t>
  </si>
  <si>
    <t>Uma atividade espera.</t>
  </si>
  <si>
    <t>Duas ou três atividades, ou uma área.</t>
  </si>
  <si>
    <t>Várias áreas esperam.</t>
  </si>
  <si>
    <t>Destrava um processo inteiro ou vários fluxos.</t>
  </si>
  <si>
    <t>Soma dos pesos</t>
  </si>
  <si>
    <t>Esforço (não entra na nota)</t>
  </si>
  <si>
    <t>Quanto custa fazer? Só ordena dentro da categoria e marca ganho rápido.</t>
  </si>
  <si>
    <t>—</t>
  </si>
  <si>
    <t>Nível 1: Até 1 semana.</t>
  </si>
  <si>
    <t>Nível 2: Até 1 mês.</t>
  </si>
  <si>
    <t>Nível 3: Até 3 meses.</t>
  </si>
  <si>
    <t>Nível 4: Mais de 3 meses.</t>
  </si>
  <si>
    <t>Nível 5: Depende de contratação, sistema externo ou decisão da diretoria.</t>
  </si>
  <si>
    <t>Cortes das categorias</t>
  </si>
  <si>
    <t>Categoria</t>
  </si>
  <si>
    <t>Significado</t>
  </si>
  <si>
    <t>Nota mínima (≥)</t>
  </si>
  <si>
    <t>1 · Baixa</t>
  </si>
  <si>
    <t>Pode esperar. Fazer quando houver folga.</t>
  </si>
  <si>
    <t>2 · Normal</t>
  </si>
  <si>
    <t>Entra na rotina de melhoria.</t>
  </si>
  <si>
    <t>3 · Alta</t>
  </si>
  <si>
    <t>Planejar para o próximo ciclo.</t>
  </si>
  <si>
    <t>4 · Urgente</t>
  </si>
  <si>
    <t>Tratar já, com dono e prazo.</t>
  </si>
  <si>
    <t>Regras que passam por cima da conta (vetos)</t>
  </si>
  <si>
    <t>Regra</t>
  </si>
  <si>
    <t>Quando vale</t>
  </si>
  <si>
    <t>Categoria mínima</t>
  </si>
  <si>
    <t>Risco no nível máximo</t>
  </si>
  <si>
    <t>A nota de "Risco de fraude e erro" é 5.</t>
  </si>
  <si>
    <t>Para obra ou repasse da CEF</t>
  </si>
  <si>
    <t>Coluna N da aba Tarefas marcada como "Sim".</t>
  </si>
  <si>
    <t>Ajuste por natureza da ação (somado à nota)</t>
  </si>
  <si>
    <t>Natureza</t>
  </si>
  <si>
    <t>Quando usar</t>
  </si>
  <si>
    <t>Ajuste</t>
  </si>
  <si>
    <t>Controle</t>
  </si>
  <si>
    <t>Alçada, trava, segregação, aprovação, conciliação, acesso. Protege contra fraude e erro.</t>
  </si>
  <si>
    <t>Documento normativo</t>
  </si>
  <si>
    <t>POP, IT, Política ou Regimento. A nota vem do risco que o documento cobre.</t>
  </si>
  <si>
    <t>Automação ou sistema</t>
  </si>
  <si>
    <t>Integração, parametrização, campo, módulo. A nota vem do que protege ou acelera.</t>
  </si>
  <si>
    <t>Definição ou decisão</t>
  </si>
  <si>
    <t>Definir regra, responsável ou prazo, ou avaliar uma opção.</t>
  </si>
  <si>
    <t>Treinamento</t>
  </si>
  <si>
    <t>Treinar equipe. Sobe a nota pelos critérios quando sustenta um controle.</t>
  </si>
  <si>
    <t>Indicador</t>
  </si>
  <si>
    <t>Medir sem proteger. Se o indicador detecta desvio (exemplo: avanço físico x financeiro), classificar como Controle.</t>
  </si>
  <si>
    <t>Nota final = média ponderada dos 5 critérios × fator do processo + ajuste da natureza. Depois aplicam-se os vetos. Esforço e prazo só ordenam.</t>
  </si>
  <si>
    <t>Peso dos processos (cadeia de valor)</t>
  </si>
  <si>
    <t>Três perguntas, de 1 a 5, por processo. O fator é um ajuste pequeno sobre a nota; o risco da atividade manda mais do que o processo.</t>
  </si>
  <si>
    <t>Fator mínimo</t>
  </si>
  <si>
    <t>Fator máximo</t>
  </si>
  <si>
    <t>Processo</t>
  </si>
  <si>
    <t>Dinheiro (1–5)</t>
  </si>
  <si>
    <t>Dependência (1–5)</t>
  </si>
  <si>
    <t>Irreversibilidade (1–5)</t>
  </si>
  <si>
    <t>Média</t>
  </si>
  <si>
    <t>Fator</t>
  </si>
  <si>
    <t>Por quê (hipótese para validar)</t>
  </si>
  <si>
    <t>Incorporação Make It</t>
  </si>
  <si>
    <t>Define produto, projeto e custo. Quase tudo depende e o erro volta caro.</t>
  </si>
  <si>
    <t>Incorporação Gadens</t>
  </si>
  <si>
    <t>Mesma lógica; ciclo mais longo e valor por unidade maior.</t>
  </si>
  <si>
    <t>Engenharia</t>
  </si>
  <si>
    <t>Orçamento, planejamento e obra concentram o maior custo e o caminho crítico.</t>
  </si>
  <si>
    <t>Novos Negócios</t>
  </si>
  <si>
    <t>Poucas decisões, mas irreversíveis (compra de terreno, contratos, SPE).</t>
  </si>
  <si>
    <t>Suprimentos</t>
  </si>
  <si>
    <t>Maior parte do custo de obra passa por compras; erro de compra tem correção parcial.</t>
  </si>
  <si>
    <t>Financeiro</t>
  </si>
  <si>
    <t>Todo pagamento e conciliação passa por aqui. É processo de apoio, mas de alto risco.</t>
  </si>
  <si>
    <t>GMO</t>
  </si>
  <si>
    <t>Contratos de empreiteiros e medição; a obra depende deles para iniciar e pagar.</t>
  </si>
  <si>
    <t>Comercial Make It</t>
  </si>
  <si>
    <t>Caixa depende do ritmo de venda e do repasse da CEF.</t>
  </si>
  <si>
    <t>Comercial Gadens</t>
  </si>
  <si>
    <t>Ciclo mais lento e com mais folga que o Make It.</t>
  </si>
  <si>
    <t>Sem processo definido</t>
  </si>
  <si>
    <t>Atividade sem Processo nem etiqueta no ClickUp. Fator neutro.</t>
  </si>
  <si>
    <t>Resumo da priorização</t>
  </si>
  <si>
    <t>Tudo calculado a partir da aba Tarefas.</t>
  </si>
  <si>
    <t>Atividades abertas</t>
  </si>
  <si>
    <t>Já pontuadas</t>
  </si>
  <si>
    <t>Falta pontuar</t>
  </si>
  <si>
    <t>Prioridade</t>
  </si>
  <si>
    <t>Quantidade</t>
  </si>
  <si>
    <t>% das pontuadas</t>
  </si>
  <si>
    <t>Meta máxima</t>
  </si>
  <si>
    <t>Situação</t>
  </si>
  <si>
    <t>Meta máxima: se Urgente passar de 10% ou Alta de 25% das pontuadas, a escala perde sentido. É proposta; edite as células azuis.</t>
  </si>
  <si>
    <t>Abertas</t>
  </si>
  <si>
    <t>Pontuadas</t>
  </si>
  <si>
    <t>Urgente</t>
  </si>
  <si>
    <t>Alta</t>
  </si>
  <si>
    <t>Normal</t>
  </si>
  <si>
    <t>Baixa</t>
  </si>
  <si>
    <t>Total</t>
  </si>
  <si>
    <t>Atividades abertas do ClickUp com a matriz</t>
  </si>
  <si>
    <t>Preencha as células amarelas (H a N). Colunas cinza calculam sozinhas. Âncoras: 12 atividades já pontuadas como proposta, para calibrar.</t>
  </si>
  <si>
    <t>ID</t>
  </si>
  <si>
    <t>Tarefa</t>
  </si>
  <si>
    <t>Responsável</t>
  </si>
  <si>
    <t>Status</t>
  </si>
  <si>
    <t>Prazo</t>
  </si>
  <si>
    <t>Esforço
(1–5)</t>
  </si>
  <si>
    <t>Risco de
fraude e erro</t>
  </si>
  <si>
    <t>Impacto
financeiro</t>
  </si>
  <si>
    <t>Obra e
entrega</t>
  </si>
  <si>
    <t>Legal, CEF
e compliance</t>
  </si>
  <si>
    <t>Para obra ou
repasse CEF?</t>
  </si>
  <si>
    <t>Média
ponderada</t>
  </si>
  <si>
    <t>Fator do
processo</t>
  </si>
  <si>
    <t>Ajuste da
natureza</t>
  </si>
  <si>
    <t>Nota
final</t>
  </si>
  <si>
    <t>Categoria
pela nota</t>
  </si>
  <si>
    <t>Categoria
final</t>
  </si>
  <si>
    <t>Chave</t>
  </si>
  <si>
    <t>Ordem
geral</t>
  </si>
  <si>
    <t>Origem da nota</t>
  </si>
  <si>
    <t>Por que (âncora)</t>
  </si>
  <si>
    <t>17tpepcgqnk</t>
  </si>
  <si>
    <t>Avaliar análise de crédito complementar na modalidade associativo</t>
  </si>
  <si>
    <t>Érica Ferreira Tavares Silva Caldeira, Cleverton Parnoff</t>
  </si>
  <si>
    <t>em progresso</t>
  </si>
  <si>
    <t>17tpepcgqnn</t>
  </si>
  <si>
    <t>Avaliar análise de crédito complementar na modalidade bancário</t>
  </si>
  <si>
    <t>17tpepcdam9</t>
  </si>
  <si>
    <t>Conceder acesso aos sistemas SPC e Serasa</t>
  </si>
  <si>
    <t>Cleverton Parnoff</t>
  </si>
  <si>
    <t>17tpepcdg1y</t>
  </si>
  <si>
    <t>Definir periodicidade de limpeza das unidades de estoque vazias - Monica;</t>
  </si>
  <si>
    <t>Mônica Massaneiro</t>
  </si>
  <si>
    <t>17tpepcdk0j</t>
  </si>
  <si>
    <t>Definição de alçada de aprovação das vendas</t>
  </si>
  <si>
    <t>17tpepcgq44</t>
  </si>
  <si>
    <t>Elaborar Fluxo - Tapumes</t>
  </si>
  <si>
    <t>Andrei Souza Santos</t>
  </si>
  <si>
    <t>17tpepcdg1u</t>
  </si>
  <si>
    <t>Elaborar POP - Decorados (Incluindo vistoria de decorados) - Mariane;</t>
  </si>
  <si>
    <t>Mariane Cristine Machado Scandelari</t>
  </si>
  <si>
    <t>17tpepcgphn</t>
  </si>
  <si>
    <t>Elaborar POP - Definição de Tabela de Preço</t>
  </si>
  <si>
    <t>17tpepcdk0k</t>
  </si>
  <si>
    <t>Elaborar POP - Seleção de Imobiliárias (nível A, B e C)</t>
  </si>
  <si>
    <t>17tpepcdama</t>
  </si>
  <si>
    <t>Elaborar POP ou Política - Premissas Validação da Análise de Crédito - Gadens</t>
  </si>
  <si>
    <t>17tpepcgphp</t>
  </si>
  <si>
    <t>Elaborar Política - Política Comercial do Empreendimento (Prazo, Condição de Pagamento, Riscos, modalidade e fonte de recurso, campanhas por empreendimento, etc.), depois, elaborar POP</t>
  </si>
  <si>
    <t>17tpepcep33</t>
  </si>
  <si>
    <t>Implantar formalização de contratação com as imobiliárias selecionadas/Correspondentes (Contrato de Parceiria - Foco LGPD)</t>
  </si>
  <si>
    <t>Edgard Machado Ferreira Junior</t>
  </si>
  <si>
    <t>17tpepcdk0n</t>
  </si>
  <si>
    <t>Implantar pesquisa NPS sobre o treinamento das imobiliárias</t>
  </si>
  <si>
    <t>17tpepcep2n</t>
  </si>
  <si>
    <t>Melhorar o processo de análise crédito do cliente</t>
  </si>
  <si>
    <t>Danielle Moraes</t>
  </si>
  <si>
    <t>17tpepcep4z</t>
  </si>
  <si>
    <t>Revisar proposta para adequar à LGPD</t>
  </si>
  <si>
    <t>17tpepcdg1v</t>
  </si>
  <si>
    <t>Vistoriar todas as unidades de estoque - Alessandro com apoio da AT, Comercial e Incorporação</t>
  </si>
  <si>
    <t>Alessandro Braz</t>
  </si>
  <si>
    <t>17tpepcpr2a</t>
  </si>
  <si>
    <t>Adequar fluxo do ClickUp de abertura de SPEs para incluir quais estão disponíveis para NN</t>
  </si>
  <si>
    <t>sem prazo definido</t>
  </si>
  <si>
    <t>17tpepcgkn9</t>
  </si>
  <si>
    <t>Automatizar baixa da reserva no CV</t>
  </si>
  <si>
    <t>Alexandre Marchiori Cruz</t>
  </si>
  <si>
    <t>17tpepcgkmw</t>
  </si>
  <si>
    <t>Automatizar data da venda e competência do contrato</t>
  </si>
  <si>
    <t>17tpepcpr27</t>
  </si>
  <si>
    <t>Automatizar informação de decisão de opção de planta escolhida pelo cliente, via CV, para Planejamento e Controle</t>
  </si>
  <si>
    <t>17tpepcdm2z</t>
  </si>
  <si>
    <t>Automatizar processo de contratação com imobiliárias selecionadas</t>
  </si>
  <si>
    <t>17tpepcdaee</t>
  </si>
  <si>
    <t>Avaliar automatização do processo de leads - WhatsApp vs CV Gadens</t>
  </si>
  <si>
    <t>17tpepcpr2y</t>
  </si>
  <si>
    <t>Avaliar bloqueio de unidades permutadas dentro do Mega a partir do CV</t>
  </si>
  <si>
    <t>17tpepcpr26</t>
  </si>
  <si>
    <t>Avaliar com as construtoras prazo máximo para alteração de opção de planta</t>
  </si>
  <si>
    <t>Hellen Venturoso</t>
  </si>
  <si>
    <t>17tpepcgqnr</t>
  </si>
  <si>
    <t>Avaliar impacto da reforma tributária na migração de pessoa física para pessoa jurídica</t>
  </si>
  <si>
    <t>Érica Ferreira Tavares Silva Caldeira, Paulo Tavares</t>
  </si>
  <si>
    <t>17tpepcpr2q</t>
  </si>
  <si>
    <t>Avaliar informação automática sobre cadastro do contrato de permuta financeira, através do Mega Inteligence, ou solução similar</t>
  </si>
  <si>
    <t>17tpepcpr2c</t>
  </si>
  <si>
    <t>Avaliar padronização de nomenclatura das permutas / justificativas de bloqueio no CV (Make It e Gadens)</t>
  </si>
  <si>
    <t>André Garcia Vilas Boas, Mônica Massaneiro</t>
  </si>
  <si>
    <t>17tpepcdm2y</t>
  </si>
  <si>
    <t>Avaliar plataforma para registro de campanhas exclusivas (hoje efetuado no Sharepoint)</t>
  </si>
  <si>
    <t>17tpepcpr2u</t>
  </si>
  <si>
    <t>Avaliar qual melhor modelo para permuta intercompany e garantir aplicação no sistema e incluir no fluxo</t>
  </si>
  <si>
    <t>Paulo Tavares</t>
  </si>
  <si>
    <t>17tpepcenxf</t>
  </si>
  <si>
    <t>Avaliar trava no CV sobre comissão dos contratos vendidos por modalidade - Gadens</t>
  </si>
  <si>
    <t>17tpepcgkv5</t>
  </si>
  <si>
    <t>Avaliar venda via consórcio</t>
  </si>
  <si>
    <t>Marcelo Renato Nascimento Cerqueira</t>
  </si>
  <si>
    <t>Não</t>
  </si>
  <si>
    <t>Âncora (proposta)</t>
  </si>
  <si>
    <t>Avaliar uma modalidade nova de venda: decisão, sem risco imediato.</t>
  </si>
  <si>
    <t>17tpepcpr2b</t>
  </si>
  <si>
    <t>Avaliar viabilidade de continuar SPE distratada ou necessidade de uma nova abertura</t>
  </si>
  <si>
    <t>17tpepcpr24</t>
  </si>
  <si>
    <t>Criar campo no CV para permutante e tipos de permuta</t>
  </si>
  <si>
    <t>Campo de permutante e tipos de permuta no CV: vários fluxos de permuta dependem dele.</t>
  </si>
  <si>
    <t>17tpepcdg1x</t>
  </si>
  <si>
    <t>Criar lista de fornecedores para base - Sergio apoio Mariane;</t>
  </si>
  <si>
    <t>Sergio Lopes</t>
  </si>
  <si>
    <t>17tpepcdg20</t>
  </si>
  <si>
    <t>Definir centro de custo e verba de manutenção de estoque</t>
  </si>
  <si>
    <t>17tpepcgqnq</t>
  </si>
  <si>
    <t>Definir critérios da venda direta</t>
  </si>
  <si>
    <t>Érica Ferreira Tavares Silva Caldeira</t>
  </si>
  <si>
    <t>17tpepcdm33</t>
  </si>
  <si>
    <t>Definir fluxo de contratos personalizados no CV e treinar os envolvidos - Gadens</t>
  </si>
  <si>
    <t>17tpepcpr2m</t>
  </si>
  <si>
    <t>Definir regras de comercialização das unidades pelo permutante - Make It e Gadens</t>
  </si>
  <si>
    <t>17tpepcdk0p</t>
  </si>
  <si>
    <t>Elaborar POP - Critérios de seleção de correspondentes</t>
  </si>
  <si>
    <t>17tpepcdm30</t>
  </si>
  <si>
    <t>Encerramento automático de contrato em caso de não pagamento de sinal</t>
  </si>
  <si>
    <t>17tpepcdm32</t>
  </si>
  <si>
    <t>Fluxo de proposta via CV</t>
  </si>
  <si>
    <t>17tpepcpr29</t>
  </si>
  <si>
    <t>Formalizar envolvidos que não será mais permitido a personalização de unidades</t>
  </si>
  <si>
    <t>17tpepcgmj8</t>
  </si>
  <si>
    <t>Formalizar regras de fechamento mensal comercial</t>
  </si>
  <si>
    <t>17tpepcpr2r</t>
  </si>
  <si>
    <t>Implantar cálculo do valor do repasse ao terreneiro realizado sistemicamente (Gabriel Arantes)</t>
  </si>
  <si>
    <t>Vanderlei Maturicio</t>
  </si>
  <si>
    <t>17tpepcpr2v</t>
  </si>
  <si>
    <t>Implementar informação da escolha das unidades/empreendimento no fluxo de permutas fora do terreno negociado no ClickUp</t>
  </si>
  <si>
    <t>17tpepcgkmf</t>
  </si>
  <si>
    <t>Incluir regras de comissionamento no CV para automatização</t>
  </si>
  <si>
    <t>17tpepcggu2</t>
  </si>
  <si>
    <t>Incluir revisão de contrato personalizado pós jurídico</t>
  </si>
  <si>
    <t>Eraldo Portela</t>
  </si>
  <si>
    <t>17tpepcdm35</t>
  </si>
  <si>
    <t>Integrar CV com Mega - Gadens</t>
  </si>
  <si>
    <t>17tpepcdaef</t>
  </si>
  <si>
    <t>Operacionalizar alçada de aprovação</t>
  </si>
  <si>
    <t>17tpepcghcf</t>
  </si>
  <si>
    <t>Parametrização de fluxo de devolução de sinal no CV</t>
  </si>
  <si>
    <t>17tpepcpr28</t>
  </si>
  <si>
    <t>Realizar a validação de prazo de inclusão de data de opção de planta da unidade</t>
  </si>
  <si>
    <t>17tpepcpr2t</t>
  </si>
  <si>
    <t>Realizar treinamento de cadastro de estrutura do empreendimento no CV, incluindo nomenclatura para unidades permutadas modalidade venda com repasse</t>
  </si>
  <si>
    <t>17tpepcpr2p</t>
  </si>
  <si>
    <t>Realizar treinamento de cadastro de estrutura do empreendimento no Mega, para Incorporação Gadens e Make It, incluindo nomenclatura para unidades permutadas modalidade venda com repasse</t>
  </si>
  <si>
    <t>17tpepcpr2n</t>
  </si>
  <si>
    <t>Realizar treinamento de contrato de permutas financeira para secretaria de vendas e demais áreas aplicáveis no Mega</t>
  </si>
  <si>
    <t>17tpepcgkp5</t>
  </si>
  <si>
    <t>Receber propostas direto no CV e integrar com VPL</t>
  </si>
  <si>
    <t>17tpepcpr7w</t>
  </si>
  <si>
    <t>Revisar material Marketing para garantir a divulgação das opções de plantas</t>
  </si>
  <si>
    <t>17tpepcpr25</t>
  </si>
  <si>
    <t>17tpepcdg1w</t>
  </si>
  <si>
    <t>Verificar informação sobre prazo de entrega (Unidades Decoradas)</t>
  </si>
  <si>
    <t>17tpepcenqt</t>
  </si>
  <si>
    <t>Viabilizar o recebimento de propostas no CV e integrar com VPL - Gadens</t>
  </si>
  <si>
    <t>17tpepcgphr</t>
  </si>
  <si>
    <t>Estabelecer controles para garantir o cumprimento da Política Comercial do Empreendimento</t>
  </si>
  <si>
    <t>pausado</t>
  </si>
  <si>
    <t>Controle da Política Comercial: sem ele, condições de venda podem sair da regra.</t>
  </si>
  <si>
    <t>17tpepcgqpc</t>
  </si>
  <si>
    <t>17tpepcgqwv</t>
  </si>
  <si>
    <t>17tpepcdam8</t>
  </si>
  <si>
    <t>Avaliar análise de crédito interna para modalidade bancária</t>
  </si>
  <si>
    <t>17tpepcgq9c</t>
  </si>
  <si>
    <t>17tpepcgpg0</t>
  </si>
  <si>
    <t>André Garcia Vilas Boas</t>
  </si>
  <si>
    <t>17tpepcgpg1</t>
  </si>
  <si>
    <t>Elaborar POP - Procedimento Comercial do Empreendimento (Prazo, Condição de Pagamento, Riscos, modalidade e fonte de recurso, campanhas por empreendimento, etc.)</t>
  </si>
  <si>
    <t>17tpepcent3</t>
  </si>
  <si>
    <t>Elaborar POP ou Política - Premissas Validação da Análise de Crédito Make It</t>
  </si>
  <si>
    <t>17tpepcdahb</t>
  </si>
  <si>
    <t>17tpepcdaeg</t>
  </si>
  <si>
    <t>17tpepcdaha</t>
  </si>
  <si>
    <t>17tpepcprje</t>
  </si>
  <si>
    <t>17tpepcghca</t>
  </si>
  <si>
    <t>17tpepcghcc</t>
  </si>
  <si>
    <t>17tpepcprj7</t>
  </si>
  <si>
    <t>17tpepcenrn</t>
  </si>
  <si>
    <t>17tpepcekpq</t>
  </si>
  <si>
    <t>Avaliar automatização do processo de leads - WhatsApp vs CV Make It</t>
  </si>
  <si>
    <t>17tpepcprk9</t>
  </si>
  <si>
    <t>17tpepcprj5</t>
  </si>
  <si>
    <t>17tpepcgqy3</t>
  </si>
  <si>
    <t>17tpepcprk2</t>
  </si>
  <si>
    <t>17tpepcprjm</t>
  </si>
  <si>
    <t>17tpepcprk6</t>
  </si>
  <si>
    <t>17tpepcdm31</t>
  </si>
  <si>
    <t>Avaliar trava no CV sobre comissão dos contratos vendidos por modalidade - Make It</t>
  </si>
  <si>
    <t>17tpepcgkxn</t>
  </si>
  <si>
    <t>17tpepcprjh</t>
  </si>
  <si>
    <t>17tpepcprj0</t>
  </si>
  <si>
    <t>17tpepcpr6k</t>
  </si>
  <si>
    <t>17tpepcgqxk</t>
  </si>
  <si>
    <t>17tpepcprjy</t>
  </si>
  <si>
    <t>17tpepcenrt</t>
  </si>
  <si>
    <t>17tpepcprjb</t>
  </si>
  <si>
    <t>17tpepcgm2f</t>
  </si>
  <si>
    <t>17tpepcprk3</t>
  </si>
  <si>
    <t>17tpepcprk8</t>
  </si>
  <si>
    <t>17tpepcghcd</t>
  </si>
  <si>
    <t>17tpepcggwd</t>
  </si>
  <si>
    <t>17tpepcent0</t>
  </si>
  <si>
    <t>17tpepcdm34</t>
  </si>
  <si>
    <t>Melhorar integração CV com Mega - Make It</t>
  </si>
  <si>
    <t>17tpepcgkkw</t>
  </si>
  <si>
    <t>17tpepcprj8</t>
  </si>
  <si>
    <t>17tpepcprk4</t>
  </si>
  <si>
    <t>17tpepcprk1</t>
  </si>
  <si>
    <t>17tpepcprk0</t>
  </si>
  <si>
    <t>17tpepcghc9</t>
  </si>
  <si>
    <t>17tpepcprj3</t>
  </si>
  <si>
    <t>17tpepcenr4</t>
  </si>
  <si>
    <t>Viabilizar o recebimento de propostas no CV e integrar com VPL - Make It</t>
  </si>
  <si>
    <t>17tpepcgpg2</t>
  </si>
  <si>
    <t>86agdxvm8</t>
  </si>
  <si>
    <t>Analisar a possibilidade de automatizar a inserção de dados no Maxor c/ gestão/comparação (atualmente esta fazendo no Excel).</t>
  </si>
  <si>
    <t>em atraso</t>
  </si>
  <si>
    <t>86agjaf19</t>
  </si>
  <si>
    <t>Aplicar as penalidades contempladas em contrato com a empreiteira/construtora quando do não cumprimento dos itens apontados na vistoria (Andressa / Apoio Alessandro e Hellen)"</t>
  </si>
  <si>
    <t>Edgard Machado Ferreira Junior, Andressa Gazolla Gutmann</t>
  </si>
  <si>
    <t>86age41ph</t>
  </si>
  <si>
    <t>Automação do processo de aprovação e distribuição do orçamento executivo (conf. sub-processo "Desenvolve o orç. executivo (D+45)").</t>
  </si>
  <si>
    <t>86ah20vy7</t>
  </si>
  <si>
    <t>Definir processo de contingência de orçamento pré-executivo (Make It)</t>
  </si>
  <si>
    <t>Fernando Okraska, Leticia Gonçalves Bacchi</t>
  </si>
  <si>
    <t>86ajf8rr2</t>
  </si>
  <si>
    <t>Definir responsabilidade pelo Tapume - Gadens e Make It</t>
  </si>
  <si>
    <t>86aj7bmyf</t>
  </si>
  <si>
    <t>Elaborar POP - Critérios e diretrizes de avaliação de riscos, medidas de contenção de danos e minimização de impacto</t>
  </si>
  <si>
    <t>86aj7bx9m</t>
  </si>
  <si>
    <t>Elaborar POP - Critérios e diretrizes de vistoria e revistoria de Qualidade - Finalização de Obra</t>
  </si>
  <si>
    <t>86aj7bx9d</t>
  </si>
  <si>
    <t>Elaborar POP - Critérios e diretrizes de vistoria interna (Copel, Sanepar e concessionarias) Finalização de Obra</t>
  </si>
  <si>
    <t>Lucas Lopes</t>
  </si>
  <si>
    <t>86aj7b0ue</t>
  </si>
  <si>
    <t>Elaborar POP - Estrutura e diretrizes de projeto de TAP</t>
  </si>
  <si>
    <t>86agv9x68</t>
  </si>
  <si>
    <t>Elaborar POP - Lista de escopo que não deveria ser alterada (ex. fundação, quadro, esquadrilha, vedação, posicionamento do esquadro) - Lucas Lopes + Talita e Nadi</t>
  </si>
  <si>
    <t>Lucas Lopes, Fernando Okraska</t>
  </si>
  <si>
    <t>86agzka6x</t>
  </si>
  <si>
    <t>Elaborar POP - Padrão de Visita Guiada - Gadens e Make It</t>
  </si>
  <si>
    <t>86ahckp0b</t>
  </si>
  <si>
    <t>Elaborar POP - Procedimento de interrupção de obra por motivos de segurança POP</t>
  </si>
  <si>
    <t>Procedimento para parar obra por segurança: risco à vida, norma de segurança e efeito direto na obra.</t>
  </si>
  <si>
    <t>86aj0bje9</t>
  </si>
  <si>
    <t>Elaborar POP - Processo de Reengenharia</t>
  </si>
  <si>
    <t>86aj7c618</t>
  </si>
  <si>
    <t>Elaborar POP - Processo de elaboração das viabilidades (Gadens e Make It</t>
  </si>
  <si>
    <t>Eduardo Rosa</t>
  </si>
  <si>
    <t>86aj7bmyp</t>
  </si>
  <si>
    <t>Elaborar POP - Processo de integração de novos colaboradores de obra</t>
  </si>
  <si>
    <t>86ahcknz7</t>
  </si>
  <si>
    <t>Elaborar POP - Tratativas com base na avaliação – Plano de ação junto as áreas de GMO, Obra, Eng, e Qualidade (Alessandro)</t>
  </si>
  <si>
    <t>86aj7bqh4</t>
  </si>
  <si>
    <t>Elaborar Política - Segurança do Trabalho (Direitos, deveres e penalidades)</t>
  </si>
  <si>
    <t>86ahckp2g</t>
  </si>
  <si>
    <t>Elaborar relatório de indicador de qualidade Gadens/Make-It – Incorporação e Projetos Complementares – Mariane</t>
  </si>
  <si>
    <t>86ahckp0x</t>
  </si>
  <si>
    <t>Estruturar processo de rituais de gestão de obra (Helen)</t>
  </si>
  <si>
    <t>86aj811pt</t>
  </si>
  <si>
    <t>Implementar Indicador - % em valores negociados no início de obra (Make It)</t>
  </si>
  <si>
    <t>Fernando de Souza, andressa.ferreira@makeitconstrutora.com.br</t>
  </si>
  <si>
    <t>86aj7etg6</t>
  </si>
  <si>
    <t>Implementar Indicador - Desvio de Orçamento Lançamento e Due</t>
  </si>
  <si>
    <t>Leticia Gonçalves Bacchi</t>
  </si>
  <si>
    <t>86aj7etg3</t>
  </si>
  <si>
    <t>Implementar Indicador - Desvio de Orçamento na Due/Paramétrico  m²</t>
  </si>
  <si>
    <t>86aj7e6rc</t>
  </si>
  <si>
    <t>Implementar Indicador - Qualidade do Projeto (AP)</t>
  </si>
  <si>
    <t>86aj7cq1g</t>
  </si>
  <si>
    <t>Implementar Indicador - Qualidade do Projeto (EP)</t>
  </si>
  <si>
    <t>86aj7ehkp</t>
  </si>
  <si>
    <t>Implementar Indicador - Qualidade do Projeto (EX)</t>
  </si>
  <si>
    <t>86aj7edg2</t>
  </si>
  <si>
    <t>Implementar Indicador - Qualidade do Projeto (PE)</t>
  </si>
  <si>
    <t>86ahrhbbm</t>
  </si>
  <si>
    <t>Implementar estruturação definida para o setor de Segurança do Trabalho (Área Rodando)</t>
  </si>
  <si>
    <t>86ahrherk</t>
  </si>
  <si>
    <t>Implementar sistemática de acompanhamento pela área de qualidade durante a obra</t>
  </si>
  <si>
    <t>86agedzgg</t>
  </si>
  <si>
    <t>Incluir protocolo de avaliação e assinatura de pastas no processo de entrega, avaliação de projetos, orçamento e planejamento executivo pelo Engenheiro Residente. (ENG., Obras e Projetos) e protocolo via ClickUp</t>
  </si>
  <si>
    <t>86agzk67a</t>
  </si>
  <si>
    <t>Mapeamento do processo de extensões de rede</t>
  </si>
  <si>
    <t>86ageg95w</t>
  </si>
  <si>
    <t>Revisar o SLA de prazo para entrega do estudo preliminar Definir SLA de prazos internos no processo Definir e alinhar as premissas para o projetista Estudo de internalizar algumas disciplinas (piloto para Make it e depois avaliar para replicar para Gadens) &gt; melhora no prazo, custo e qualidade // Definir SLA de prazos internos no processo Avaliar possibilidade de revisar as penalidades do contrato Desenvolver fornecedor (projetista). Ajustar a forma de pagamento vinculando e incentivando a entrega no prazo. Problema: Prazo. Prazo de retorno de definições / definição interna // Prazo. Projetistas contratados tem dificuldades de cumprir os prazos acordados, de forma recorrente, e falta de agilidade nas definições internas</t>
  </si>
  <si>
    <t>86ah25xb9</t>
  </si>
  <si>
    <t>Validação e manutenção da tabela de preços no módulo ADO do Mega</t>
  </si>
  <si>
    <t>Cleber Colin</t>
  </si>
  <si>
    <t>86ahcknza</t>
  </si>
  <si>
    <t>Verificar acompanhamento de eficácia do plano de ação no Mobuss (Qualidade - Alessandro).</t>
  </si>
  <si>
    <t>86agjadkt</t>
  </si>
  <si>
    <t>Alinhamento interno de obras e orçamento para análise e atualização do relatório com as informações acordadas entre as partes  (contemplar análises dos desvios, justificativas do estouro, ações corretivas) [Fernando e Letícia)</t>
  </si>
  <si>
    <t>17tpepcgtv4</t>
  </si>
  <si>
    <t>Apresentar e validar método de abertura de orçamento</t>
  </si>
  <si>
    <t>86agvagug</t>
  </si>
  <si>
    <t>Automatizar a importação do As Built no CV</t>
  </si>
  <si>
    <t>17tpepcgtk0</t>
  </si>
  <si>
    <t>Avaliar novos projetistas para entrar na base</t>
  </si>
  <si>
    <t>Fernando Okraska</t>
  </si>
  <si>
    <t>86ahcknyj</t>
  </si>
  <si>
    <t>Avaliar relatório de revisão de desembolso obra</t>
  </si>
  <si>
    <t>86agcvtg4</t>
  </si>
  <si>
    <t>Base de Composições - Boas práticas em BD – orçamento, planejamento e execução (analisar banco de dados de composições) / Avaliar criação de BD de soluções orçamentárias</t>
  </si>
  <si>
    <t>86ageecj9</t>
  </si>
  <si>
    <t>Book de métodos construtivos</t>
  </si>
  <si>
    <t>17tpepcgtjz</t>
  </si>
  <si>
    <t>Criar base de projetistas</t>
  </si>
  <si>
    <t>Fernando Okraska, Lucas Lopes</t>
  </si>
  <si>
    <t>17tpepcgu8n</t>
  </si>
  <si>
    <t>Criar plano de ação de melhoria contínua e transformar em indicador</t>
  </si>
  <si>
    <t>Fernando de Souza</t>
  </si>
  <si>
    <t>86agp1g0f</t>
  </si>
  <si>
    <t>Criar índices de revisão de projeto na obra (Ex. AS BUILT).</t>
  </si>
  <si>
    <t>86agdxfag</t>
  </si>
  <si>
    <t>Criação de equipe para disciplina de Instalações</t>
  </si>
  <si>
    <t>86aghpd6m</t>
  </si>
  <si>
    <t>Definir SLA de prazos internos no processo (quando aplicável) // Avaliar possibilidade de revisar as penalidades do contrato // Desenvolver fornecedor (projetista). // Ajustar a forma de pagamento vinculando e incentivando a entrega no prazo //                           Problema: Prazo. Projetistas contratados tem dificuldades de cumprir os prazos acordados, de forma recorrente, e falta de agilidade nas definições internas.</t>
  </si>
  <si>
    <t>86agva5rp</t>
  </si>
  <si>
    <t>Elaborar POP - Comunicação visual do terreno para Gadens e Make It</t>
  </si>
  <si>
    <t>86aj7b0un</t>
  </si>
  <si>
    <t>Elaborar POP - Estrutura e diretrizes de Ficha de Especificação de Projetos</t>
  </si>
  <si>
    <t>86aj7a0kg</t>
  </si>
  <si>
    <t>Elaborar POP - Padrão de Desenvolvimento de Projeto de Terraplanagem e Croqui de Contenções</t>
  </si>
  <si>
    <t>86aj7c60y</t>
  </si>
  <si>
    <t>Elaborar POP - Processo de Controladoria orçamentária  (acompanhamento e atuação junto as áreas)</t>
  </si>
  <si>
    <t>86ahckp1w</t>
  </si>
  <si>
    <t>Elaborar POP - Revisão de projeto e alinha junto ao orçamento – Alinhamento de critérios entre planejamento e orçamento</t>
  </si>
  <si>
    <t>86aj7bx9v</t>
  </si>
  <si>
    <t>Elaborar Política - Da Jornada do Cliente, incluindo critérios e diretrizes</t>
  </si>
  <si>
    <t>86agzk4n5</t>
  </si>
  <si>
    <t>Envio do termo de vistoria para o cliente</t>
  </si>
  <si>
    <t>86agchn8u</t>
  </si>
  <si>
    <t>Estudar BIM – alteração de orçamento ao alterar E.V. (automação) Implantação BIM (Alteração de escopo do projetista para seleção de itens para quantitativo) Implementar Ferramenta de extração de quantitativos (a ser implantada) BIM</t>
  </si>
  <si>
    <t>86ak8xkjb</t>
  </si>
  <si>
    <t>Implementar indicador - Alterações de projeto por erro</t>
  </si>
  <si>
    <t>86ak8xk00</t>
  </si>
  <si>
    <t>Implementar indicador - Atendimento de linha de base de Pré-Executivo</t>
  </si>
  <si>
    <t>86ak8xk6f</t>
  </si>
  <si>
    <t>Implementar indicador - Estouro de obras por conta de projetos</t>
  </si>
  <si>
    <t>86ak8xk3a</t>
  </si>
  <si>
    <t>Implementar indicador - Riscos de projetos</t>
  </si>
  <si>
    <t>86agcx0kv</t>
  </si>
  <si>
    <t>Integração Prevision e Mega // Avaliar EAP de planejamento e orçamento na integração do Mega (Estudo de upload das views do Prevision para o Mega) com automatização da ponderação (pesos) na integração. Padronizar EAP entre orçamento e Planejamento</t>
  </si>
  <si>
    <t>17tpepcgu8m</t>
  </si>
  <si>
    <t>Levantar serviços executados e avaliar quais temos desvios, para melhorar e padronizar.</t>
  </si>
  <si>
    <t>86ah5hfzp</t>
  </si>
  <si>
    <t>Padronização da EAP entre Orçamento e Planejamento (integração Prevision x Mega)</t>
  </si>
  <si>
    <t>86agcktet</t>
  </si>
  <si>
    <t>Sistema ERP MEGA – falta de relatório (custo por nível + detalhado) // Problema: Falta de relatórios (ex. previsto x realizado na estrutura de orçamento em excel) // Sugestão de Melhoria: Desenvolvimento de relatórios no Mega</t>
  </si>
  <si>
    <t>86ajwdy4c</t>
  </si>
  <si>
    <t>Validar e aplicar formulário de inclusão de insumo</t>
  </si>
  <si>
    <t>86ahckp0f</t>
  </si>
  <si>
    <t>Validação diária de quantitativos (revisão projeto e alinhamento junto ao orçamento (Helen)</t>
  </si>
  <si>
    <t>17tpepcmy78</t>
  </si>
  <si>
    <t>Alinhar com Mega sobre integrações para realizar planejamento de compras</t>
  </si>
  <si>
    <t>86agnzdx8</t>
  </si>
  <si>
    <t>Analisar e implantar banco de dados de preços unitários em plataforma que atenda a demanda</t>
  </si>
  <si>
    <t>86agdwca5</t>
  </si>
  <si>
    <t>Análise da possibilidade de rateio da coordenação de obras</t>
  </si>
  <si>
    <t>86age4cnw</t>
  </si>
  <si>
    <t>Avaliar automação  do processo de Pré-Planejamento (BD de Indices - Formulário / Prompt)</t>
  </si>
  <si>
    <t>17tpepcgt64</t>
  </si>
  <si>
    <t>Avaliar plataforma para substituição do BPM</t>
  </si>
  <si>
    <t>86agedpc9</t>
  </si>
  <si>
    <t>Avaliar se há possibilidade de alterar de uma SM para SC e apropriação de consumo de material por item de serviço (ex. Laje)</t>
  </si>
  <si>
    <t>17tpepcmy8c</t>
  </si>
  <si>
    <t>Consolidação do planejamento do histograma e materiais nas obras (Make It)</t>
  </si>
  <si>
    <t>17tpepcmy8e</t>
  </si>
  <si>
    <t>Contrato de fornecimento não puxa os itens da solicitação de compras no Mega</t>
  </si>
  <si>
    <t>17tpepcmy8d</t>
  </si>
  <si>
    <t>Criar fluxo de análise de consumo, considerando estoques, responsabilidade da baixa</t>
  </si>
  <si>
    <t>86agehw23</t>
  </si>
  <si>
    <t>Discutir escopo de apresentação do Comitê desta etapa - Due Análise de EV (William)</t>
  </si>
  <si>
    <t>William Raphalski</t>
  </si>
  <si>
    <t>86ah27kta</t>
  </si>
  <si>
    <t>Avaliar Incremento de equipe de orçamento para trânsito de informações de PE para EX</t>
  </si>
  <si>
    <t>86ajbuubr</t>
  </si>
  <si>
    <t>Avaliar soluções para possibilitar a criação de cotação livre (ou algo similar) de forma automatizada</t>
  </si>
  <si>
    <t>86agckjn9</t>
  </si>
  <si>
    <t>Criar índices de controle de performance de orçamento (detalhado conforme estrutura da EAP. Ex. Torre, Infra, Complementares).</t>
  </si>
  <si>
    <t>86ahckp1u</t>
  </si>
  <si>
    <t>Elaborar POP - Estrutura de sistemas de não conformidade para desvio do fluxo, incluindo regra de fluxo e comunicado de “Falta de remoção de restrição irá virar não conformidade”.</t>
  </si>
  <si>
    <t>86aj81736</t>
  </si>
  <si>
    <t>Implementar Indicador - Avanço físico versus avanço financeiro (medição)</t>
  </si>
  <si>
    <t>Compara o avanço físico com o financeiro. Detecta pagamento acima do executado, por isso conta como Controle.</t>
  </si>
  <si>
    <t>86aj8174y</t>
  </si>
  <si>
    <t>Implementar Indicador - Taxa de aproveitamento do material</t>
  </si>
  <si>
    <t>86agd825f</t>
  </si>
  <si>
    <t>Incluir no Projeto Executivo a trilha de distribuição após status de aprovação (AutoDoc com BPM). Avaliar uso do Power Automate para distribuição de projetos e orçamentos</t>
  </si>
  <si>
    <t>86agd8vk5</t>
  </si>
  <si>
    <t>Integração e treinamento (Engenheiro residente). Desenvolver processo de integração da equipe de obra e RH (Renata + área)</t>
  </si>
  <si>
    <t>Fernando de Souza, andressa.ferreira@makeitconstrutora.com.br, Renata da Silva de Matos de Jesus</t>
  </si>
  <si>
    <t>86aghm6gu</t>
  </si>
  <si>
    <t>Definir processo de solicitação de Viagens</t>
  </si>
  <si>
    <t>Bruna Oliveira Ribeiro</t>
  </si>
  <si>
    <t>86aghkwdz</t>
  </si>
  <si>
    <t>Definir regra de perfis de acesso / Revisão dos acessos (colaboradores transferidos de empresa área, desligados etc.)</t>
  </si>
  <si>
    <t>Roberto Dias</t>
  </si>
  <si>
    <t>Revisão de perfis de acesso: sem ela, o mesmo usuário pode pedir e aprovar (segregação de funções).</t>
  </si>
  <si>
    <t>86ahhrzff</t>
  </si>
  <si>
    <t>Elaborar POP - Critérios de Conferência Financeira/Fiscal e tratativas de divergência e critérios de aprovação de AP</t>
  </si>
  <si>
    <t>86aghgbxz</t>
  </si>
  <si>
    <t>Implementar utilização do DDA</t>
  </si>
  <si>
    <t>86aghjy4w</t>
  </si>
  <si>
    <t>NFs de PJ não são lançadas no sistema - Ação: Definir regras contábeis e fiscais para o RH realizar o lançamento contábil das notas</t>
  </si>
  <si>
    <t>86aghmk3d</t>
  </si>
  <si>
    <t>Redução de contas bancárias inativas</t>
  </si>
  <si>
    <t>86aghjnhg</t>
  </si>
  <si>
    <t>Revisão de classes financeiras e relação com plano de contas</t>
  </si>
  <si>
    <t>86ahke96e</t>
  </si>
  <si>
    <t>Alinhamento entre financeiro e áreas demandantes sobre a baixa dos adiantamentos</t>
  </si>
  <si>
    <t>86ahkew4h</t>
  </si>
  <si>
    <t>Avaliar implementação da Gestão de Score</t>
  </si>
  <si>
    <t>86aghmk4j</t>
  </si>
  <si>
    <t>Criar trava no campo prorrogado para data anterior a data de lançamento</t>
  </si>
  <si>
    <t>17tpepcddpp</t>
  </si>
  <si>
    <t>Definir plataforma de busca e gestão de documentos fiscais</t>
  </si>
  <si>
    <t>86ahht393</t>
  </si>
  <si>
    <t>Elaborar POP - Critérios de Conferência Financeira/Fiscal no BPM</t>
  </si>
  <si>
    <t>86ahkern3</t>
  </si>
  <si>
    <t>Elaborar POP - Encerramento de Contas Bancárias</t>
  </si>
  <si>
    <t>86ahxbyqh</t>
  </si>
  <si>
    <t>Elaborar POP - Processo de Adiantamento</t>
  </si>
  <si>
    <t>86ahxby7r</t>
  </si>
  <si>
    <t>Elaborar POP - Processo de Conciliação da Tesouraria</t>
  </si>
  <si>
    <t>86ahht4ef</t>
  </si>
  <si>
    <t>Elaborar POP - Processo de Contas a Pagar</t>
  </si>
  <si>
    <t>86ahhve2r</t>
  </si>
  <si>
    <t>Elaborar POP - Processo de Remessa de Pagamento</t>
  </si>
  <si>
    <t>86ahxbzgc</t>
  </si>
  <si>
    <t>Elaborar POP - Realização de Pagamentos Manuais</t>
  </si>
  <si>
    <t>POP de pagamento manual: caminho em que o dinheiro sai fora da remessa automática.</t>
  </si>
  <si>
    <t>86ahyegjk</t>
  </si>
  <si>
    <t>Implementar Indicador  - Percentual de valores de multas e juros por atraso de pagamento</t>
  </si>
  <si>
    <t>86ahyemhb</t>
  </si>
  <si>
    <t>Implementar Indicador  - Score empresarial</t>
  </si>
  <si>
    <t>86ahyehpf</t>
  </si>
  <si>
    <t>Implementar Indicador  de Percentual de Valores de Multas e Juros por atraso de pagamento dos impostos</t>
  </si>
  <si>
    <t>86ahyehpb</t>
  </si>
  <si>
    <t>Implementar Indicador  de Percentual de número de títulos pagos com multas e juros por atraso de pagamento</t>
  </si>
  <si>
    <t>86ahxbj49</t>
  </si>
  <si>
    <t>Implementar Indicador - Cumprimento da conciliação diária bancária</t>
  </si>
  <si>
    <t>86ahyemjf</t>
  </si>
  <si>
    <t>Implementar Indicador - Percentuais pagamentos indevidos</t>
  </si>
  <si>
    <t>86ahyemja</t>
  </si>
  <si>
    <t>Implementar Indicador - Percentual de APs vencidas</t>
  </si>
  <si>
    <t>86ahyemj5</t>
  </si>
  <si>
    <t>Implementar Indicador - Prazo médio de pagamento</t>
  </si>
  <si>
    <t>86ahyehpk</t>
  </si>
  <si>
    <t>Implementar Indicador - Protesto (entrada)</t>
  </si>
  <si>
    <t>86ahyemht</t>
  </si>
  <si>
    <t>Implementar Indicador de % NFs Lançadas no Prazo</t>
  </si>
  <si>
    <t>86ahyemhz</t>
  </si>
  <si>
    <t>Implementar Indicador de Lead Time Total de Pagamento</t>
  </si>
  <si>
    <t>86ahyee99</t>
  </si>
  <si>
    <t>Implementar Indicador de Percentual de  atraso no pagamento</t>
  </si>
  <si>
    <t>86aj7rb0p</t>
  </si>
  <si>
    <t>Implementar indicador - Índice de NFs com Erro</t>
  </si>
  <si>
    <t>86ahxbnff</t>
  </si>
  <si>
    <t>Implementar indicador de Cumprimento das SLAs de Prazos das Áreas para Envio de NF para  Central de Notas Referente a Adiantamento</t>
  </si>
  <si>
    <t>86ahxbm0f</t>
  </si>
  <si>
    <t>Implementar indicador de Cumprimento das SLAs de prazos das áreas para a Central de Notas</t>
  </si>
  <si>
    <t>86ahxbk65</t>
  </si>
  <si>
    <t>Implementar indicador de Saldo Acumulado de Adiantamento</t>
  </si>
  <si>
    <t>86aghjy57</t>
  </si>
  <si>
    <t>Implementar módulo de controle de mútuos</t>
  </si>
  <si>
    <t>86ahketju</t>
  </si>
  <si>
    <t>Inclusão automática de tarifas e taxas Nexxera/Mega</t>
  </si>
  <si>
    <t>86aghkwdk</t>
  </si>
  <si>
    <t>Abertura das inscrições estaduais para transferências e movimentações de estoque</t>
  </si>
  <si>
    <t>86aghjnh5</t>
  </si>
  <si>
    <t>Criar BI para buscar NFs por filial, NFs em geral - G-Control ou Plataforma similar</t>
  </si>
  <si>
    <t>86agnyuvb</t>
  </si>
  <si>
    <t>Definição a respeito das atas de forma geral (assinado ou não)</t>
  </si>
  <si>
    <t>86ahket8w</t>
  </si>
  <si>
    <t>Incluir campos obrigatórios de preenchimento de dados bancários, data de vencimento e dados de pagamento Mega</t>
  </si>
  <si>
    <t>Trava de dados bancários obrigatórios: sem ela, o pagamento pode sair para conta errada. Esforço baixo.</t>
  </si>
  <si>
    <t>86aghm6g1</t>
  </si>
  <si>
    <t>Validar vínculo do adiantamento com Contas a Pagar do Pedido de Compra e no AR (tem que aparecer no Financeiro)</t>
  </si>
  <si>
    <t>86ahkethw</t>
  </si>
  <si>
    <t>Verificação do fluxo de adiantamento (Origem do adiantamento)para refletir no fluxo</t>
  </si>
  <si>
    <t>86aghgbwp</t>
  </si>
  <si>
    <t>Elaborar Política - utilização de cartão corporativo e cartão pré-pago, contemplando critérios de concessão, responsabilidades, limites de utilização, tipos de despesas permitidas, prestação de contas, fluxo de aprovação e controles aplicáveis ao processo.</t>
  </si>
  <si>
    <t>86aghm6gm</t>
  </si>
  <si>
    <t>Verificar Uber Corporativo / Empresas</t>
  </si>
  <si>
    <t>Avaliar Uber corporativo: efeito mínimo.</t>
  </si>
  <si>
    <t>86aghrgvx</t>
  </si>
  <si>
    <t>Avaliar SLA de cada etapa do processo de GMO incluindo SLA para assinatura do contrato</t>
  </si>
  <si>
    <t>Lizandra de Liz</t>
  </si>
  <si>
    <t>86aghrgtv</t>
  </si>
  <si>
    <t>Avaliar separação de contratos por serviços e materiais / locações e serviços, no Mega</t>
  </si>
  <si>
    <t>86aghvdeq</t>
  </si>
  <si>
    <t>Definir regra de aprovação p/ exceções (Bruna)</t>
  </si>
  <si>
    <t>86aght77a</t>
  </si>
  <si>
    <t>Definir regra para manter homologação de fornecedor válida (periodicamente)</t>
  </si>
  <si>
    <t>Andressa Gazolla Gutmann</t>
  </si>
  <si>
    <t>86aj81tw6</t>
  </si>
  <si>
    <t>Implementar Indicador - Lead time de Contratação  de Serviços</t>
  </si>
  <si>
    <t>86aj81twh</t>
  </si>
  <si>
    <t>Implementar Indicador - Tempo médio de aprovação de medição</t>
  </si>
  <si>
    <t>86akm8zdw</t>
  </si>
  <si>
    <t>"Incluir a retenção técnica no POP de Contrato de Empreiteiros</t>
  </si>
  <si>
    <t>86akm8zdm</t>
  </si>
  <si>
    <t>Avaliar possibilidade de alteração da plataforma de assinaturas para o Sign - Mega (Thiago)</t>
  </si>
  <si>
    <t>86akm8zdq</t>
  </si>
  <si>
    <t>Avaliar possibilidade de melhorias na comunicação via WhatsApp com empreiteiros</t>
  </si>
  <si>
    <t>86akm8ze8</t>
  </si>
  <si>
    <t>Avaliar recebimento de documentos dos empreiteiros via WhatsApp, sob a luz do Compliance e LGPD</t>
  </si>
  <si>
    <t>86akm8zea</t>
  </si>
  <si>
    <t>Avaliar se envolvidos no processos de "contratação de empreiteiros", tem WhatsApp corporativo</t>
  </si>
  <si>
    <t>86akm8zcd</t>
  </si>
  <si>
    <t>Criar fluxo de auditoria de contrato vs serviço realizado</t>
  </si>
  <si>
    <t>86akm8zca</t>
  </si>
  <si>
    <t>Criar fluxo de envio de contratos ao time de Segurança do Trabalho para conhecimento e plano de impedimento de acesso a obra em caso de divergências</t>
  </si>
  <si>
    <t>86akm8zbd</t>
  </si>
  <si>
    <t>Criar lead time para tratativas de urgência e ampliar base de empreiteiros</t>
  </si>
  <si>
    <t>86aghvmvd</t>
  </si>
  <si>
    <t>Criar reporte dos contratos de GMO para financeiro</t>
  </si>
  <si>
    <t>86akm8zdk</t>
  </si>
  <si>
    <t>Definir alçada de assinaturas para contratação de mão de obra (Política de Contratos)</t>
  </si>
  <si>
    <t>86akm8zd0</t>
  </si>
  <si>
    <t>Definir fluxo de aprovação de contratos de empreiteiros</t>
  </si>
  <si>
    <t>86akm8zc1</t>
  </si>
  <si>
    <t>Definição de sistema padrão para tabela de preços, bem como, treinamento para os envolvidos, criar critérios de atualização</t>
  </si>
  <si>
    <t>86akm8zbq</t>
  </si>
  <si>
    <t>Definição do lead time do momento da solicitação aprovada até a assinatura do contrato (alinhar com áreas envolvidas), e sua devida formalização</t>
  </si>
  <si>
    <t>86akm8zd7</t>
  </si>
  <si>
    <t>Elaborar IT - Parametrização Fiscal do Contrato de Empreiteiro(Grazi)</t>
  </si>
  <si>
    <t>Grazielle de Oliveira, Paulo Tavares</t>
  </si>
  <si>
    <t>86akm8zda</t>
  </si>
  <si>
    <t>Elaborar POP - Parametrização Fiscal do Contrato de Empreiteiros (Grazi)</t>
  </si>
  <si>
    <t>86akm8ze3</t>
  </si>
  <si>
    <t>Elaborar Regimento - Reunião Mensal de Médio Prazo</t>
  </si>
  <si>
    <t>86akm8zbv</t>
  </si>
  <si>
    <t>Estruturação do histograma e acompanhamento da produtividade da obra com controle de efetivo (deverá ser realizado no Planejamento Executivo)</t>
  </si>
  <si>
    <t>86akam3zk</t>
  </si>
  <si>
    <t>Implementar Indicador - Documentação regular</t>
  </si>
  <si>
    <t>86akam4qm</t>
  </si>
  <si>
    <t>Implementar Indicador - Início de serviço sem contrato</t>
  </si>
  <si>
    <t>86akam2dc</t>
  </si>
  <si>
    <t>Implementar Indicador - Saving</t>
  </si>
  <si>
    <t>86aj81twe</t>
  </si>
  <si>
    <t>Implementar Indicador - Taxa de fornecedores homologados</t>
  </si>
  <si>
    <t>17tpepcddc7</t>
  </si>
  <si>
    <t>Implementar módulo de contratos de empreiteiros para contratos gerais</t>
  </si>
  <si>
    <t>86aght78g</t>
  </si>
  <si>
    <t>Implementar sistema de Due Diligence // Definir critérios de compliance (due diligence) para fornecedores // Avaliar Due Diligence para Fornecedores</t>
  </si>
  <si>
    <t>86akm8zdz</t>
  </si>
  <si>
    <t>Incluir informações de documentação parcial, completa, para contratação"</t>
  </si>
  <si>
    <t>86akm8zef</t>
  </si>
  <si>
    <t>Incluir na política de alçadas regra de alçada dos contratos de GMO</t>
  </si>
  <si>
    <t>86akm8zct</t>
  </si>
  <si>
    <t>Incluir processo de mapa de cotação no Mega</t>
  </si>
  <si>
    <t>86aghvmuc</t>
  </si>
  <si>
    <t>Incluir regras de medição / emissão de NFs / data de corte na medição</t>
  </si>
  <si>
    <t>17tpepcpu26</t>
  </si>
  <si>
    <t>Manutenção dos treinamentos conforme a demanda (Realizar treinamento inicial de aditivo de contrato)</t>
  </si>
  <si>
    <t>17tpepcpu1d</t>
  </si>
  <si>
    <t>Padronização de solicitação de distrato pela Obra para o GMO e treinamento aos envolvidos</t>
  </si>
  <si>
    <t>86akm8zcg</t>
  </si>
  <si>
    <t>Puxar alinhamento para redefinição das alçadas de aprovação</t>
  </si>
  <si>
    <t>86akm8zby</t>
  </si>
  <si>
    <t>Realinhar/reforçar fluxo de comunicação (notificações verbais, escritas/extrajudiciais junto aos empreiteiros pela Obra, GMO e Jurídico</t>
  </si>
  <si>
    <t>86akm8zd2</t>
  </si>
  <si>
    <t>Validação do cadastro do agente do empreiteiro (regime tributário do empreiteiro)</t>
  </si>
  <si>
    <t>86akm8w6a</t>
  </si>
  <si>
    <t>Acesso de funcionários na catraca via Mobus</t>
  </si>
  <si>
    <t>17tpepcpu04</t>
  </si>
  <si>
    <t>Ajustar datas em contrato com empreiteiros (5, 18 e 25)</t>
  </si>
  <si>
    <t>86akm8zcr</t>
  </si>
  <si>
    <t>Analisar carteira de empreiteiros (Mega)</t>
  </si>
  <si>
    <t>17tpepcpu03</t>
  </si>
  <si>
    <t>Atualizar POP de Due de Empreiteiros</t>
  </si>
  <si>
    <t>Andressa Gazolla Gutmann, Edgard Machado Ferreira Junior</t>
  </si>
  <si>
    <t>17tpepcpu00</t>
  </si>
  <si>
    <t>Automatizar o download de contrato assinado no Clicksign</t>
  </si>
  <si>
    <t>17tpepcpu14</t>
  </si>
  <si>
    <t>Avaliar a possibilidade de automatizar o download do mapa de medição aprovado no Sharepoint</t>
  </si>
  <si>
    <t>17tpepcpu1u</t>
  </si>
  <si>
    <t>Avaliar arquivamento do aditivo de contrato ou distrato de forma automatizada (Sharepoint / ClickUp)</t>
  </si>
  <si>
    <t>17tpepcpu1h</t>
  </si>
  <si>
    <t>Avaliar automatização de sinalização de contratos a vencer no Mega (MI)</t>
  </si>
  <si>
    <t>17tpepcpu1g</t>
  </si>
  <si>
    <t>Avaliar automação do distrato no Mega com a catraca (para obras novas)</t>
  </si>
  <si>
    <t>17tpepcpu1w</t>
  </si>
  <si>
    <t>Avaliar contrato com empreiteiros por tipo de serviço (atividades correlatas)</t>
  </si>
  <si>
    <t>17tpepcpu2c</t>
  </si>
  <si>
    <t>Avaliar criação de aplicativo para cadastro de empreiteiros de forma receptiva, ou, buscar no mercado solução similar (Verificar o aplicativo da Make It para possível ampliação)</t>
  </si>
  <si>
    <t>17tpepcpu1c</t>
  </si>
  <si>
    <t>Avaliar possibilidade de verificação da autenticidade de documentos via IA</t>
  </si>
  <si>
    <t>17tpepcpu2a</t>
  </si>
  <si>
    <t>Avaliar recursos para permitir que GMO visite obras e serviços no processo de angariação e homologação</t>
  </si>
  <si>
    <t>17tpepcpu1m</t>
  </si>
  <si>
    <t>Bloquear aditivo de data e reajuste para as obras no Approvo</t>
  </si>
  <si>
    <t>17tpepcpu0a</t>
  </si>
  <si>
    <t>Caso o plano de adaptação dê certo, alterar a data em contrato para envio das medições no dia 18 de cada mês</t>
  </si>
  <si>
    <t>86akm8zba</t>
  </si>
  <si>
    <t>Criar carteira de empreiteiros e plano de fidelização e plano de homologação</t>
  </si>
  <si>
    <t>86akm8w63</t>
  </si>
  <si>
    <t>Criar controle de acesso com focal para acompanhamento e definição de plantão para da entrada/saída diariamente e inclusive nos finais de semana e feriados. Definição de gestão da catraca (controle de acesso)</t>
  </si>
  <si>
    <t>17tpepcpu27</t>
  </si>
  <si>
    <t>Criar de um filtro de tipo de serviço no G-Control para os fornecedores (empreiteiros e fornecedores em geral)</t>
  </si>
  <si>
    <t>17tpepcpu06</t>
  </si>
  <si>
    <t>Criar plano de adaptação para nova regra de envio de medições</t>
  </si>
  <si>
    <t>17tpepcpu01</t>
  </si>
  <si>
    <t>Criar processo de cadastro de fornecedores no Mega</t>
  </si>
  <si>
    <t>17tpepcpu18</t>
  </si>
  <si>
    <t>Criar rotina de gerar fluxo de previsão financeira de contrato de empreiteiros</t>
  </si>
  <si>
    <t>86akm8zbf</t>
  </si>
  <si>
    <t>Criação de modelos de remunerações variáveis para empreiteiros</t>
  </si>
  <si>
    <t>(sem responsável)</t>
  </si>
  <si>
    <t>86akm8zbz</t>
  </si>
  <si>
    <t>Criação de plano de ação pelo Marketing, campanhas, benefícios, bem como, criar o entendimento da grande demanda que a Make It pode trazer (diferente de plano de fidelização)</t>
  </si>
  <si>
    <t>17tpepcpu02</t>
  </si>
  <si>
    <t>Definir documentação mínima de cadastro de fornecedores</t>
  </si>
  <si>
    <t>17tpepcpu1e</t>
  </si>
  <si>
    <t>Definição de fluxo de solicitações e informações, bem como, avaliar plataforma ou sistema para isso, para evitar o uso de e-mail</t>
  </si>
  <si>
    <t>17tpepcpu29</t>
  </si>
  <si>
    <t>Desenvolver o G-Control de cadastro de fornecedores homologados para atender as demandas de GMO e Suprimentos</t>
  </si>
  <si>
    <t>17tpepcptzw</t>
  </si>
  <si>
    <t>Elaborar POP - Análise da Carteira de Empreiteiros</t>
  </si>
  <si>
    <t>86akm8ze6</t>
  </si>
  <si>
    <t>Elaborar POP - Critérios de análise de histograma</t>
  </si>
  <si>
    <t>86akm8zde</t>
  </si>
  <si>
    <t>Habilitar módulo de aditivo de contrato no Mega (novos serviços de mesmo tipo) Verificar com Mega</t>
  </si>
  <si>
    <t>17tpepcpu1k</t>
  </si>
  <si>
    <t>Implantar aprovação do GMO no aditivo de data no Approvo</t>
  </si>
  <si>
    <t>86akm8zbm</t>
  </si>
  <si>
    <t>Implementar rotina de avaliação da obra por parte do empreiteiro e verificação da experiência do empreiteiro com relação a obra</t>
  </si>
  <si>
    <t>17tpepcptzx</t>
  </si>
  <si>
    <t>Incluir no POP de aprovação de pedidos (Planejamento e Controle) aprovação de pedidos e solicitações</t>
  </si>
  <si>
    <t>86akm8zbp</t>
  </si>
  <si>
    <t>Monitoramento da saúde do empreiteiro (produtividade, quantidade de pessoas para o serviço, etc)"</t>
  </si>
  <si>
    <t>86akm8zcn</t>
  </si>
  <si>
    <t>Montar planejamento de histograma (Excel)</t>
  </si>
  <si>
    <t>17tpepcpu1y</t>
  </si>
  <si>
    <t>Realizar treinamento inicial de aditivo de contrato</t>
  </si>
  <si>
    <t>86akm8zdu</t>
  </si>
  <si>
    <t>Validar valor do contrato = valor da contratação no Mega</t>
  </si>
  <si>
    <t>86aghvmuw</t>
  </si>
  <si>
    <t>Definir papéis e responsabilidades da gestão de Contratos no GMO (Bruna)</t>
  </si>
  <si>
    <t>86aghpd4j</t>
  </si>
  <si>
    <t>Definir Grupo de Trabalho (GT) responsabilidade e aplicabilidade planilha de unidades, áreas e vagas vinculadas (Mariane)</t>
  </si>
  <si>
    <t>86agnyyd6</t>
  </si>
  <si>
    <t>Definição de indicadores Gadens para redução de cronograma</t>
  </si>
  <si>
    <t>86aj7b7kv</t>
  </si>
  <si>
    <t>Elaborar POP - Estrutura e diretrizes de relatório/Ata de passagem de fase</t>
  </si>
  <si>
    <t>86aj7b9g5</t>
  </si>
  <si>
    <t>Elaborar Regimento - Reunião de passagem de fases (todas as fases)</t>
  </si>
  <si>
    <t>86akbg0v4</t>
  </si>
  <si>
    <t>Implementar Indicador - Qualidade do Projeto (Anteprojeto)</t>
  </si>
  <si>
    <t>Eduardo Rosa, Mariane Cristine Machado Scandelari, Talita Knopf</t>
  </si>
  <si>
    <t>86akbfyzr</t>
  </si>
  <si>
    <t>Implementar Indicador - Qualidade do Projeto (Estudo Preliminar)</t>
  </si>
  <si>
    <t>86akbg19u</t>
  </si>
  <si>
    <t>Implementar Indicador - Qualidade do Projeto (Executivo)</t>
  </si>
  <si>
    <t>86akbg169</t>
  </si>
  <si>
    <t>Implementar Indicador - Qualidade do Projeto (Pré-Executivo)</t>
  </si>
  <si>
    <t>86aghpd1m</t>
  </si>
  <si>
    <t>Incluir Reunião de Acompanhamento de Terrenos em EP</t>
  </si>
  <si>
    <t>86ah40h0v</t>
  </si>
  <si>
    <t>Alinhar prazo e organização / desenvolvimento de projeto de pré-due (Thiago Gadens)</t>
  </si>
  <si>
    <t>Thiago Gadens</t>
  </si>
  <si>
    <t>17tpepcpuv6</t>
  </si>
  <si>
    <t>Avaliar contratação de uma pessoa dedicada integralmente para esta demanda</t>
  </si>
  <si>
    <t>86agc5vxc</t>
  </si>
  <si>
    <t>Avaliar a possibilidade de criar uma central de legalização</t>
  </si>
  <si>
    <t>86agzkbe7</t>
  </si>
  <si>
    <t>Elaborar IT - Com todas as identificações visuais para Make It e Gadens (Para empreendimento)</t>
  </si>
  <si>
    <t>86aj7b7pf</t>
  </si>
  <si>
    <t>Elaborar POP - Estrutura e diretrizes de Memoriais CEF</t>
  </si>
  <si>
    <t>86agb8595</t>
  </si>
  <si>
    <t>Realizar estudo sobre a estrutura de pastas (raiz) / TI deve definir o padrão de nomenclatura para salvamento nas pastas</t>
  </si>
  <si>
    <t>86agc69ak</t>
  </si>
  <si>
    <t>Definir reuniões de passagem de fase com participação da Incorporação, Engenharia (complementares e obras) desde EP até EX. (Make It) Implementar relatório de "passagem de fase" (rever nome) em todas as fases aplicáveis. Problema: Momentos / etapas de compatibilização de projetos não estão bem definidos e formalizados nos fluxos dos processos impactando em retrabalho na execução das obras (Make It) '</t>
  </si>
  <si>
    <t>Marcela Schneider</t>
  </si>
  <si>
    <t>86ajaadj3</t>
  </si>
  <si>
    <t>Elaborar POP - Estrutura e diretrizes de relatório/Ata de passagem de fase (Fase de AP)</t>
  </si>
  <si>
    <t>Talita Knopf</t>
  </si>
  <si>
    <t>86aj7b0uu</t>
  </si>
  <si>
    <t>Elaborar POP - Estrutura e diretrizes de relatório/Ata de passagem de fase (Fase de EP)</t>
  </si>
  <si>
    <t>86agc6y33</t>
  </si>
  <si>
    <t>Estudo para internalização de Projetos Arquitetônicos (Make It) Ampliar o portfolio de fornecedores (exceto arquitetura)</t>
  </si>
  <si>
    <t>17tpepcgwrv</t>
  </si>
  <si>
    <t>Incluir pré-planejamento no ClickUp da Incorporação</t>
  </si>
  <si>
    <t>17tpepcgtap</t>
  </si>
  <si>
    <t>Avaliar contratação de um especialista do ClickUp para realizar o treinamento</t>
  </si>
  <si>
    <t>17tpepcqf7n</t>
  </si>
  <si>
    <t>17tpepcgtan</t>
  </si>
  <si>
    <t>Criar ação de treinamento sobre utilização do ClickUp</t>
  </si>
  <si>
    <t>86agc5773</t>
  </si>
  <si>
    <t>Definir solução para absorção do volume administrativo na Incorporação (contratação ou automação)</t>
  </si>
  <si>
    <t>Paula de Mattos Ribeiro</t>
  </si>
  <si>
    <t>86agb7nf0</t>
  </si>
  <si>
    <t>Emissão de Guias de Pagamento - G-Control ou outra ferramenta futura que possa aparecer</t>
  </si>
  <si>
    <t>86agc71jx</t>
  </si>
  <si>
    <t>Avaliar Padronização dos produtos (Make It). Problema: Falta de assertividade nos quantitativos devido a falta de informações e padronização.</t>
  </si>
  <si>
    <t>86agc64qm</t>
  </si>
  <si>
    <t>86agb97mq</t>
  </si>
  <si>
    <t>Seleciona por Juntada os Comprovantes - Automatizar o back-up de juntada de documentos</t>
  </si>
  <si>
    <t>86acmx0ez</t>
  </si>
  <si>
    <t>Automatizar o envio de informações do novo projeto p/ todos líderes (ClickUp vs Mega Vs Viabil.)</t>
  </si>
  <si>
    <t>86acmwz7c</t>
  </si>
  <si>
    <t>Automação: Clipping com os portais imobiliários de informações p/ região (terrenos)</t>
  </si>
  <si>
    <t>86acmxgff</t>
  </si>
  <si>
    <t>Construir em PowerBI o painel de gestão de aprovações - Avaliar utilização do Approvo.</t>
  </si>
  <si>
    <t>86acmkafc</t>
  </si>
  <si>
    <t>Criar base de dados para geração de inteligência corporativa para avaliação de concorrência, diferenças por prefeitura, para produto novo ou cidade nova com automação de registro das informações de oportunidades de terreno</t>
  </si>
  <si>
    <t>86acvyp72</t>
  </si>
  <si>
    <t>Disponibilizar manual corporativo</t>
  </si>
  <si>
    <t>86acmweg8</t>
  </si>
  <si>
    <t>Estruturar e aprovar Plano de Alçadas formal para aprovações de compras e contratações e disponibilizar em manual corporativo. (Falta de definição de plano de alçadas e autonomia.)</t>
  </si>
  <si>
    <t>Sem alçada formal, vários fluxos decidem "conforme alçada" sem regra. Difícil de fazer (depende da diretoria).</t>
  </si>
  <si>
    <t>86acmwat3</t>
  </si>
  <si>
    <t>Incluir 2ª reunião de avaliação da oportunidades de aquisição, comitê de aquisição de terreno (NN., JUR., ENG., COM., INC.). Definir função de cada membro neste comitê.</t>
  </si>
  <si>
    <t>86aeukbue</t>
  </si>
  <si>
    <t>Incluir 3ª reunião de avaliação de projetos, protocolo/comitê de projeto para o terreno (NN., ENG., COM., INC.).</t>
  </si>
  <si>
    <t>86acmwaua</t>
  </si>
  <si>
    <t>86acmx33z</t>
  </si>
  <si>
    <t>Padronizar nomenclatura de comprovantes no SharePoint e automatizar integração com o Mega para lançamento e estratificação gerencial de pagamentos</t>
  </si>
  <si>
    <t>86acmwf2n</t>
  </si>
  <si>
    <t>Teste Viabil x Viabilidade Mega</t>
  </si>
  <si>
    <t>86aeukbv3</t>
  </si>
  <si>
    <t>Validar documento com Diretoria (stakeholders).</t>
  </si>
  <si>
    <t>86ad1d9qy</t>
  </si>
  <si>
    <t>86acvxch7</t>
  </si>
  <si>
    <t>Validar documento com Thiago Gadens</t>
  </si>
  <si>
    <t>86acmweve</t>
  </si>
  <si>
    <t>Criar BI para Gadens</t>
  </si>
  <si>
    <t>86ajv7gnq</t>
  </si>
  <si>
    <t>Elaborar POP - Metodologia de Precificação de Produto Gadens</t>
  </si>
  <si>
    <t>86ajv7h6t</t>
  </si>
  <si>
    <t>Elaborar POP - Metodologia de Precificação de Produto Make It</t>
  </si>
  <si>
    <t>86acmwemz</t>
  </si>
  <si>
    <t>Implantar programa de formação de líderes em gestão, além de temas relacionados a finanças, negociação e inovação. (Programa de Desenvolvimento de Líderes)</t>
  </si>
  <si>
    <t>Valquiria Bortolin Xavier da Silva</t>
  </si>
  <si>
    <t>86ahdhy4g</t>
  </si>
  <si>
    <t>Levantamento de contratos ativos do Grupo Gadens</t>
  </si>
  <si>
    <t>86acw3r68</t>
  </si>
  <si>
    <t>Será realizado uma nova capacitação de todos os times para a criação e utilização dos Pedidos no sistema.</t>
  </si>
  <si>
    <t>86acmxhx0</t>
  </si>
  <si>
    <t>Abrir ST para contratação de serviços e pagamento durante a pré-due e due diligence no Mega.</t>
  </si>
  <si>
    <t>86acmwezp</t>
  </si>
  <si>
    <t>Automação das informações legais via Adobe e avaliação da informação para o Mega e ClickUp</t>
  </si>
  <si>
    <t>86acmx2h4</t>
  </si>
  <si>
    <t>Avaliar possível automação dos processos de abertura dos centros de custo por obra quando for definido o CNPJ e se o clickup é a melhor plataforma para incluir no fluxo o Financeiro e Orçamento da Incorporação</t>
  </si>
  <si>
    <t>86acmxhwv</t>
  </si>
  <si>
    <t>Definir pedidos via sistema, exigindo formalização prévia e validação de compliance. (Pedido Livre x Pedido Técnico x Pedido Normal)</t>
  </si>
  <si>
    <t>86adg6wjx</t>
  </si>
  <si>
    <t>Foi realizado o mapeamento das pastas utilizadas junto a área. - Pendência: Em analise de nova estruturação de pastas e nomenclaturas.</t>
  </si>
  <si>
    <t>86aew31gf</t>
  </si>
  <si>
    <t>Implementar indicador: Custo com a Due Diligence – Dez/25 (a depender da implementação do orçamento gerencial no Mega/Alex)</t>
  </si>
  <si>
    <t>86adcfaum</t>
  </si>
  <si>
    <t>86aew32y4</t>
  </si>
  <si>
    <t>Implementar indicador: Erro médio em simulações de viabilidade (projeção vs real) – Gadens Nov/25 // Make It Nov/25</t>
  </si>
  <si>
    <t>86adcfjfc</t>
  </si>
  <si>
    <t>86acmxh1v</t>
  </si>
  <si>
    <t>Integrar/cadastrar Plano de Autonomia formal (já definido) no ERP.</t>
  </si>
  <si>
    <t>86addjrtr</t>
  </si>
  <si>
    <t>Definir quais dados e origem dos mesmos para ação posterior de TI</t>
  </si>
  <si>
    <t>86ahfaxw1</t>
  </si>
  <si>
    <t>Avaliar disponibilidade da manutenção da tabela de preços no módulo ADO do Mega e respectivo treinamento</t>
  </si>
  <si>
    <t>86agetcvz</t>
  </si>
  <si>
    <t>Criar avaliação de inspeção de qualidade para os solicitantes / usuários / responsáveis efetuarem (qualidade: formulário // envio para dentro do Mega: TI) - checklist de avaliação de fornecedor no lançamento da NF integrado no Mega.</t>
  </si>
  <si>
    <t>86agen80g</t>
  </si>
  <si>
    <t>Definir e implementar modelo de gestão e controle de pedidos guarda-chuva no ERP MEGA, contemplando critérios de utilização, regras para baixa parcial, controle de consumo do pedido “mãe”, escopo permitido, valor máximo, prazo de vigência, responsabilidades, alçadas e mecanismos de acompanhamento operacional.</t>
  </si>
  <si>
    <t>86agetpf5</t>
  </si>
  <si>
    <t>Definir formulário de cadastro de materiais (FORMS OU MEGA) - e quais campos obrigatórios no formulário.</t>
  </si>
  <si>
    <t>86agetqqx</t>
  </si>
  <si>
    <t>Elaborar Política -  Política de compras e contratação de fornecedores, contemplando critérios de aquisição de materiais e serviços, regras de utilização entre pedido de compra e cartão corporativo, fluxo de compras emergenciais, homologação de fornecedores, alçadas, responsabilidades e controles aplicáveis ao processo.</t>
  </si>
  <si>
    <t>86agetqtb</t>
  </si>
  <si>
    <t>Elaborar Política - Revisar quais itens são aplicáveis ter contrato (gestão de riscos) / negociações em whatsapp / e-mail / Definir Política de Contratos</t>
  </si>
  <si>
    <t>Edgard Machado Ferreira Junior, Carlos Oliveira</t>
  </si>
  <si>
    <t>86aj7rq96</t>
  </si>
  <si>
    <t>Elaborar Política de Almoxarifado - Incluindo regras de inventário (periodicidade, ajustes, alçadas etc.)</t>
  </si>
  <si>
    <t>Política de almoxarifado e inventário: perda de material e acuracidade de estoque.</t>
  </si>
  <si>
    <t>86ah4bx8y</t>
  </si>
  <si>
    <t>Implementar indicador - Saving de Orçamento com a finalidade de medir a captura de valor obtida nas negociações.(baseado no custo orçado).</t>
  </si>
  <si>
    <t>86ah4bx92</t>
  </si>
  <si>
    <t>Implementar indicador - Saving de Último preço praticado com a finalidade de medir a captura de valor obtida nas negociações.(baseado no custo referente ao último preço praticado).</t>
  </si>
  <si>
    <t>86agem645</t>
  </si>
  <si>
    <t>Programa Visto Consciente</t>
  </si>
  <si>
    <t>86agety19</t>
  </si>
  <si>
    <t>Treinamento para utilização do conversor de unidade (no cadastro e no lançamento do item)</t>
  </si>
  <si>
    <t>86aget0gr</t>
  </si>
  <si>
    <t>Ativar envio automático do pedido aprovado ao fornecedor</t>
  </si>
  <si>
    <t>86aj6wf2e</t>
  </si>
  <si>
    <t>Automatizar indicadores de Suprimentos</t>
  </si>
  <si>
    <t>86aghmk4x</t>
  </si>
  <si>
    <t>Avaliar a implementação do Portal de Fornecedores ou solução tecnológica equivalente para suportar os processos de cadastro, atualização cadastral e gestão documental de fornecedores.</t>
  </si>
  <si>
    <t>86agety1h</t>
  </si>
  <si>
    <t>Criar gatilhos / alertas para as solicitações de materiais no Mega (controle de estoque)</t>
  </si>
  <si>
    <t>86aghg2zx</t>
  </si>
  <si>
    <t>Definir regra de um cadastro de fornecedor ser apenas conta de PJ p/ serv. de PJ</t>
  </si>
  <si>
    <t>Regra de conta PJ para serviço PJ: evita pagar prestador em conta de terceiro.</t>
  </si>
  <si>
    <t>86aget7yz</t>
  </si>
  <si>
    <t>Elaborar Política - processo de cadastro e atualização cadastral de fornecedores, contemplando documentação obrigatória, critérios de validação, responsabilidades, periodicidade de atualização e controles aplicáveis.</t>
  </si>
  <si>
    <t>86aget7yk</t>
  </si>
  <si>
    <t>Elaborar Política - processo de homologação de fornecedores para as incorporadoras Gadens e Make It, contemplando critérios de avaliação, documentação obrigatória, níveis de homologação, responsabilidades, fluxo de aprovação, periodicidade de reavaliação, controles aplicáveis etc.</t>
  </si>
  <si>
    <t>86agetqtf</t>
  </si>
  <si>
    <t>Parametrizar Mega para suportar cláusulas a serem inseridas no pedido de compra – Pedido de compra precisa ser “assinado” pelo fornecedor e incluir minuta padrão no sistema</t>
  </si>
  <si>
    <t>86agety10</t>
  </si>
  <si>
    <t>Contrato de fornecimento não puxa os itens da solicitação de compras no Mega ou plataforma similar que possa aparecer</t>
  </si>
  <si>
    <t>86agen7z3</t>
  </si>
  <si>
    <t>Reavaliar tipos de composição BDI nas obras (x unidades)</t>
  </si>
  <si>
    <t>86agetqt2</t>
  </si>
  <si>
    <t>Replanejamento de obra - criar alerta / Retroalimentação do Prevision</t>
  </si>
  <si>
    <t>86agerve7</t>
  </si>
  <si>
    <t>Treinamento para acesso informações de cronograma de compras</t>
  </si>
  <si>
    <t>86aghcck7</t>
  </si>
  <si>
    <t>Validação automática da duplicidade no cadastro de itens (Robô IA)</t>
  </si>
  <si>
    <t>86agy1hhy</t>
  </si>
  <si>
    <t>Automatizar processo de aprovação de ajustes de inventários no Approvo ou outro formato.</t>
  </si>
  <si>
    <t>86aget7yp</t>
  </si>
  <si>
    <t>Avaliar por quanto tempo a homologação fica válida / Definir validade da homologação</t>
  </si>
  <si>
    <t>86agerve1</t>
  </si>
  <si>
    <t>Avaliar possibilidade de disparar com fornecedor solicitação parcial do pedido guarda-chuva no Mega</t>
  </si>
  <si>
    <t>86agetqrn</t>
  </si>
  <si>
    <t>Elaborar POP - formato de cadastro de estoque mínimo - Definir critérios, responsáveis, se será por empreendimento</t>
  </si>
  <si>
    <t>86aget0hp</t>
  </si>
  <si>
    <t>Estudar reserva de estoque x solicitação de materiais</t>
  </si>
  <si>
    <t>86agety12</t>
  </si>
  <si>
    <t>Implantação do módulo de qualificação de fornecedores (responsáveis: Cleber, Alessandro, Alexandre)</t>
  </si>
  <si>
    <t>86ah4bxa3</t>
  </si>
  <si>
    <t>Implementar indicador - Percentual de fornecedores com baixa performance, indicador que mede a proporção de fornecedores com não conformidade aberta na avaliação de desempenho</t>
  </si>
  <si>
    <t>86ah4bx9a</t>
  </si>
  <si>
    <t>Implementar indicador - Pontualidade do Fornecedor com a finalidade de medir o percentual de entregas que foram efetuadas no prazo acordado.</t>
  </si>
  <si>
    <t>86agetcvx</t>
  </si>
  <si>
    <t>Parametrizar sistema para gerar relatórios e indicadores de performance no que tange a avaliação de fornecedores (Por obra, fornecedor, período)</t>
  </si>
  <si>
    <t>86aget0j6</t>
  </si>
  <si>
    <t>Registro e Parametrização das informações de estoque mínimo, estoque de segurança etc.</t>
  </si>
  <si>
    <t>86agem63t</t>
  </si>
  <si>
    <t>Suprimentos volta a solicitação. Mega não puxa justificativa, gera retrabalho e perda de controle</t>
  </si>
  <si>
    <t>Calibração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</si>
</sst>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0"/>
    <numFmt numFmtId="166" formatCode="0.000"/>
    <numFmt numFmtId="167" formatCode="0.000000"/>
  </numFmts>
  <fonts count="9" x14ac:knownFonts="1">
    <font>
      <sz val="11"/>
      <color theme="1"/>
      <name val="Calibri"/>
      <family val="2"/>
      <scheme val="minor"/>
    </font>
    <font>
      <b/>
      <sz val="14"/>
      <color rgb="FF1F3864"/>
      <name val="Arial"/>
    </font>
    <font>
      <i/>
      <sz val="10"/>
      <color rgb="FF595959"/>
      <name val="Arial"/>
    </font>
    <font>
      <b/>
      <sz val="10"/>
      <name val="Arial"/>
    </font>
    <font>
      <sz val="10"/>
      <name val="Arial"/>
    </font>
    <font>
      <b/>
      <sz val="10"/>
      <color rgb="FFFFFFFF"/>
      <name val="Arial"/>
    </font>
    <font>
      <sz val="10"/>
      <color rgb="FF0000FF"/>
      <name val="Arial"/>
    </font>
    <font>
      <sz val="9"/>
      <color rgb="FF7F7F7F"/>
      <name val="Arial"/>
    </font>
    <font>
      <u/>
      <sz val="10"/>
      <color rgb="FF0563C1"/>
      <name val="Arial"/>
    </font>
  </fonts>
  <fills count="6">
    <fill>
      <patternFill patternType="none"/>
    </fill>
    <fill>
      <patternFill patternType="gray125"/>
    </fill>
    <fill>
      <patternFill patternType="solid">
        <fgColor rgb="FFD9E1F2"/>
      </patternFill>
    </fill>
    <fill>
      <patternFill patternType="solid">
        <fgColor rgb="FF1F3864"/>
      </patternFill>
    </fill>
    <fill>
      <patternFill patternType="solid">
        <fgColor rgb="FFFFF2CC"/>
      </patternFill>
    </fill>
    <fill>
      <patternFill patternType="solid">
        <fgColor rgb="FFF2F2F2"/>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28">
    <xf numFmtId="0" fontId="0" fillId="0" borderId="0" xfId="0"/>
    <xf numFmtId="0" fontId="1" fillId="0" borderId="0" xfId="0" applyFont="1" applyAlignment="1">
      <alignment vertical="center"/>
    </xf>
    <xf numFmtId="0" fontId="2" fillId="0" borderId="0" xfId="0" applyFont="1" applyAlignment="1">
      <alignment vertical="top" wrapText="1"/>
    </xf>
    <xf numFmtId="0" fontId="3" fillId="2" borderId="1" xfId="0" applyFont="1" applyFill="1" applyBorder="1" applyAlignment="1">
      <alignment vertical="top" wrapText="1"/>
    </xf>
    <xf numFmtId="0" fontId="4" fillId="0" borderId="1" xfId="0" applyFont="1" applyBorder="1" applyAlignment="1">
      <alignment vertical="top" wrapText="1"/>
    </xf>
    <xf numFmtId="0" fontId="5" fillId="3"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3" fillId="5" borderId="1" xfId="0" applyFont="1" applyFill="1" applyBorder="1" applyAlignment="1">
      <alignment vertical="top" wrapText="1"/>
    </xf>
    <xf numFmtId="0" fontId="4" fillId="5" borderId="1" xfId="0" applyFont="1" applyFill="1" applyBorder="1" applyAlignment="1">
      <alignment vertical="top" wrapText="1"/>
    </xf>
    <xf numFmtId="0" fontId="3" fillId="5"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3" fillId="0" borderId="0" xfId="0" applyFont="1" applyAlignment="1">
      <alignment vertical="top" wrapText="1"/>
    </xf>
    <xf numFmtId="164" fontId="4" fillId="5" borderId="1" xfId="0" applyNumberFormat="1" applyFont="1" applyFill="1" applyBorder="1" applyAlignment="1">
      <alignment horizontal="center" vertical="center" wrapText="1"/>
    </xf>
    <xf numFmtId="164" fontId="6" fillId="4" borderId="1" xfId="0" applyNumberFormat="1" applyFont="1" applyFill="1" applyBorder="1" applyAlignment="1">
      <alignment horizontal="center" vertical="center" wrapText="1"/>
    </xf>
    <xf numFmtId="165" fontId="6" fillId="4" borderId="1" xfId="0" applyNumberFormat="1" applyFont="1" applyFill="1" applyBorder="1" applyAlignment="1">
      <alignment horizontal="center" vertical="center" wrapText="1"/>
    </xf>
    <xf numFmtId="2" fontId="6" fillId="4" borderId="1" xfId="0" applyNumberFormat="1" applyFont="1" applyFill="1" applyBorder="1" applyAlignment="1">
      <alignment horizontal="center" vertical="center" wrapText="1"/>
    </xf>
    <xf numFmtId="2" fontId="4" fillId="5" borderId="1" xfId="0" applyNumberFormat="1" applyFont="1" applyFill="1" applyBorder="1" applyAlignment="1">
      <alignment horizontal="center" vertical="center" wrapText="1"/>
    </xf>
    <xf numFmtId="166" fontId="4" fillId="5" borderId="1" xfId="0" applyNumberFormat="1" applyFont="1" applyFill="1" applyBorder="1" applyAlignment="1">
      <alignment horizontal="center" vertical="center" wrapText="1"/>
    </xf>
    <xf numFmtId="9" fontId="4" fillId="5" borderId="1" xfId="0" applyNumberFormat="1" applyFont="1" applyFill="1" applyBorder="1" applyAlignment="1">
      <alignment horizontal="center" vertical="center" wrapText="1"/>
    </xf>
    <xf numFmtId="9" fontId="6" fillId="4" borderId="1" xfId="0" applyNumberFormat="1" applyFont="1" applyFill="1" applyBorder="1" applyAlignment="1">
      <alignment horizontal="center" vertical="center" wrapText="1"/>
    </xf>
    <xf numFmtId="0" fontId="7" fillId="0" borderId="1" xfId="0" applyFont="1" applyBorder="1" applyAlignment="1">
      <alignment vertical="top" wrapText="1"/>
    </xf>
    <xf numFmtId="0" fontId="8" fillId="0" borderId="1" xfId="0" applyFont="1" applyBorder="1" applyAlignment="1">
      <alignment vertical="top" wrapText="1"/>
    </xf>
    <xf numFmtId="14" fontId="4" fillId="0" borderId="1" xfId="0" applyNumberFormat="1" applyFont="1" applyBorder="1" applyAlignment="1">
      <alignment horizontal="center" vertical="center" wrapText="1"/>
    </xf>
    <xf numFmtId="0" fontId="6" fillId="4" borderId="1" xfId="0" applyFont="1" applyFill="1" applyBorder="1" applyAlignment="1">
      <alignment vertical="top" wrapText="1"/>
    </xf>
    <xf numFmtId="165" fontId="4" fillId="5" borderId="1" xfId="0" applyNumberFormat="1" applyFont="1" applyFill="1" applyBorder="1" applyAlignment="1">
      <alignment horizontal="center" vertical="center" wrapText="1"/>
    </xf>
    <xf numFmtId="2" fontId="3" fillId="5" borderId="1" xfId="0" applyNumberFormat="1" applyFont="1" applyFill="1" applyBorder="1" applyAlignment="1">
      <alignment horizontal="center" vertical="center" wrapText="1"/>
    </xf>
    <xf numFmtId="167" fontId="7" fillId="5" borderId="1" xfId="0" applyNumberFormat="1" applyFont="1" applyFill="1" applyBorder="1" applyAlignment="1">
      <alignment horizontal="center" vertical="center" wrapText="1"/>
    </xf>
    <xf numFmtId="0" fontId="5" fillId="3" borderId="2" xfId="0" applyFont="1" applyFill="1" applyBorder="1" applyAlignment="1">
      <alignment horizontal="center" vertical="center" wrapText="1"/>
    </xf>
  </cellXfs>
  <cellStyles count="1">
    <cellStyle name="Normal" xfId="0" builtinId="0"/>
  </cellStyles>
  <dxfs count="4">
    <dxf>
      <fill>
        <patternFill patternType="solid">
          <fgColor rgb="FFB6D7A8"/>
          <bgColor rgb="FFB6D7A8"/>
        </patternFill>
      </fill>
    </dxf>
    <dxf>
      <fill>
        <patternFill patternType="solid">
          <fgColor rgb="FFFFE599"/>
          <bgColor rgb="FFFFE599"/>
        </patternFill>
      </fill>
    </dxf>
    <dxf>
      <fill>
        <patternFill patternType="solid">
          <fgColor rgb="FFF9CB9C"/>
          <bgColor rgb="FFF9CB9C"/>
        </patternFill>
      </fill>
    </dxf>
    <dxf>
      <fill>
        <patternFill patternType="solid">
          <fgColor rgb="FFF4B6B6"/>
          <bgColor rgb="FFF4B6B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17" Type="http://schemas.openxmlformats.org/officeDocument/2006/relationships/hyperlink" Target="https://app.clickup.com/t/86agv9x68" TargetMode="External"/><Relationship Id="rId299" Type="http://schemas.openxmlformats.org/officeDocument/2006/relationships/hyperlink" Target="https://app.clickup.com/t/86akm8zde" TargetMode="External"/><Relationship Id="rId21" Type="http://schemas.openxmlformats.org/officeDocument/2006/relationships/hyperlink" Target="https://app.clickup.com/t/17tpepcdm2z" TargetMode="External"/><Relationship Id="rId63" Type="http://schemas.openxmlformats.org/officeDocument/2006/relationships/hyperlink" Target="https://app.clickup.com/t/17tpepcdam8" TargetMode="External"/><Relationship Id="rId159" Type="http://schemas.openxmlformats.org/officeDocument/2006/relationships/hyperlink" Target="https://app.clickup.com/t/86agzk4n5" TargetMode="External"/><Relationship Id="rId324" Type="http://schemas.openxmlformats.org/officeDocument/2006/relationships/hyperlink" Target="https://app.clickup.com/t/86ajaadj3" TargetMode="External"/><Relationship Id="rId366" Type="http://schemas.openxmlformats.org/officeDocument/2006/relationships/hyperlink" Target="https://app.clickup.com/t/86addjrtr" TargetMode="External"/><Relationship Id="rId170" Type="http://schemas.openxmlformats.org/officeDocument/2006/relationships/hyperlink" Target="https://app.clickup.com/t/86ahckp0f" TargetMode="External"/><Relationship Id="rId226" Type="http://schemas.openxmlformats.org/officeDocument/2006/relationships/hyperlink" Target="https://app.clickup.com/t/86aghjnh5" TargetMode="External"/><Relationship Id="rId268" Type="http://schemas.openxmlformats.org/officeDocument/2006/relationships/hyperlink" Target="https://app.clickup.com/t/86akm8zcg" TargetMode="External"/><Relationship Id="rId32" Type="http://schemas.openxmlformats.org/officeDocument/2006/relationships/hyperlink" Target="https://app.clickup.com/t/17tpepcpr2b" TargetMode="External"/><Relationship Id="rId74" Type="http://schemas.openxmlformats.org/officeDocument/2006/relationships/hyperlink" Target="https://app.clickup.com/t/17tpepcprj7" TargetMode="External"/><Relationship Id="rId128" Type="http://schemas.openxmlformats.org/officeDocument/2006/relationships/hyperlink" Target="https://app.clickup.com/t/86aj7etg6" TargetMode="External"/><Relationship Id="rId335" Type="http://schemas.openxmlformats.org/officeDocument/2006/relationships/hyperlink" Target="https://app.clickup.com/t/86agb97mq" TargetMode="External"/><Relationship Id="rId377" Type="http://schemas.openxmlformats.org/officeDocument/2006/relationships/hyperlink" Target="https://app.clickup.com/t/86agety19" TargetMode="External"/><Relationship Id="rId5" Type="http://schemas.openxmlformats.org/officeDocument/2006/relationships/hyperlink" Target="https://app.clickup.com/t/17tpepcdk0j" TargetMode="External"/><Relationship Id="rId181" Type="http://schemas.openxmlformats.org/officeDocument/2006/relationships/hyperlink" Target="https://app.clickup.com/t/86ah27kta" TargetMode="External"/><Relationship Id="rId237" Type="http://schemas.openxmlformats.org/officeDocument/2006/relationships/hyperlink" Target="https://app.clickup.com/t/86aj81tw6" TargetMode="External"/><Relationship Id="rId279" Type="http://schemas.openxmlformats.org/officeDocument/2006/relationships/hyperlink" Target="https://app.clickup.com/t/17tpepcpu1g" TargetMode="External"/><Relationship Id="rId43" Type="http://schemas.openxmlformats.org/officeDocument/2006/relationships/hyperlink" Target="https://app.clickup.com/t/17tpepcgmj8" TargetMode="External"/><Relationship Id="rId139" Type="http://schemas.openxmlformats.org/officeDocument/2006/relationships/hyperlink" Target="https://app.clickup.com/t/86ah25xb9" TargetMode="External"/><Relationship Id="rId290" Type="http://schemas.openxmlformats.org/officeDocument/2006/relationships/hyperlink" Target="https://app.clickup.com/t/17tpepcpu01" TargetMode="External"/><Relationship Id="rId304" Type="http://schemas.openxmlformats.org/officeDocument/2006/relationships/hyperlink" Target="https://app.clickup.com/t/86akm8zcn" TargetMode="External"/><Relationship Id="rId346" Type="http://schemas.openxmlformats.org/officeDocument/2006/relationships/hyperlink" Target="https://app.clickup.com/t/86acmwf2n" TargetMode="External"/><Relationship Id="rId388" Type="http://schemas.openxmlformats.org/officeDocument/2006/relationships/hyperlink" Target="https://app.clickup.com/t/86agetqt2" TargetMode="External"/><Relationship Id="rId85" Type="http://schemas.openxmlformats.org/officeDocument/2006/relationships/hyperlink" Target="https://app.clickup.com/t/17tpepcprjh" TargetMode="External"/><Relationship Id="rId150" Type="http://schemas.openxmlformats.org/officeDocument/2006/relationships/hyperlink" Target="https://app.clickup.com/t/86agp1g0f" TargetMode="External"/><Relationship Id="rId192" Type="http://schemas.openxmlformats.org/officeDocument/2006/relationships/hyperlink" Target="https://app.clickup.com/t/86aghgbxz" TargetMode="External"/><Relationship Id="rId206" Type="http://schemas.openxmlformats.org/officeDocument/2006/relationships/hyperlink" Target="https://app.clickup.com/t/86ahxbzgc" TargetMode="External"/><Relationship Id="rId248" Type="http://schemas.openxmlformats.org/officeDocument/2006/relationships/hyperlink" Target="https://app.clickup.com/t/86akm8zdk" TargetMode="External"/><Relationship Id="rId12" Type="http://schemas.openxmlformats.org/officeDocument/2006/relationships/hyperlink" Target="https://app.clickup.com/t/17tpepcep33" TargetMode="External"/><Relationship Id="rId108" Type="http://schemas.openxmlformats.org/officeDocument/2006/relationships/hyperlink" Target="https://app.clickup.com/t/86agdxvm8" TargetMode="External"/><Relationship Id="rId315" Type="http://schemas.openxmlformats.org/officeDocument/2006/relationships/hyperlink" Target="https://app.clickup.com/t/86akbg169" TargetMode="External"/><Relationship Id="rId357" Type="http://schemas.openxmlformats.org/officeDocument/2006/relationships/hyperlink" Target="https://app.clickup.com/t/86acmwezp" TargetMode="External"/><Relationship Id="rId54" Type="http://schemas.openxmlformats.org/officeDocument/2006/relationships/hyperlink" Target="https://app.clickup.com/t/17tpepcpr2n" TargetMode="External"/><Relationship Id="rId96" Type="http://schemas.openxmlformats.org/officeDocument/2006/relationships/hyperlink" Target="https://app.clickup.com/t/17tpepcggwd" TargetMode="External"/><Relationship Id="rId161" Type="http://schemas.openxmlformats.org/officeDocument/2006/relationships/hyperlink" Target="https://app.clickup.com/t/86ak8xkjb" TargetMode="External"/><Relationship Id="rId217" Type="http://schemas.openxmlformats.org/officeDocument/2006/relationships/hyperlink" Target="https://app.clickup.com/t/86ahyemhz" TargetMode="External"/><Relationship Id="rId399" Type="http://schemas.openxmlformats.org/officeDocument/2006/relationships/hyperlink" Target="https://app.clickup.com/t/86agetcvx" TargetMode="External"/><Relationship Id="rId259" Type="http://schemas.openxmlformats.org/officeDocument/2006/relationships/hyperlink" Target="https://app.clickup.com/t/86aj81twe" TargetMode="External"/><Relationship Id="rId23" Type="http://schemas.openxmlformats.org/officeDocument/2006/relationships/hyperlink" Target="https://app.clickup.com/t/17tpepcpr2y" TargetMode="External"/><Relationship Id="rId119" Type="http://schemas.openxmlformats.org/officeDocument/2006/relationships/hyperlink" Target="https://app.clickup.com/t/86ahckp0b" TargetMode="External"/><Relationship Id="rId270" Type="http://schemas.openxmlformats.org/officeDocument/2006/relationships/hyperlink" Target="https://app.clickup.com/t/86akm8zd2" TargetMode="External"/><Relationship Id="rId326" Type="http://schemas.openxmlformats.org/officeDocument/2006/relationships/hyperlink" Target="https://app.clickup.com/t/86agc6y33" TargetMode="External"/><Relationship Id="rId65" Type="http://schemas.openxmlformats.org/officeDocument/2006/relationships/hyperlink" Target="https://app.clickup.com/t/17tpepcgpg0" TargetMode="External"/><Relationship Id="rId130" Type="http://schemas.openxmlformats.org/officeDocument/2006/relationships/hyperlink" Target="https://app.clickup.com/t/86aj7e6rc" TargetMode="External"/><Relationship Id="rId368" Type="http://schemas.openxmlformats.org/officeDocument/2006/relationships/hyperlink" Target="https://app.clickup.com/t/86agetcvz" TargetMode="External"/><Relationship Id="rId172" Type="http://schemas.openxmlformats.org/officeDocument/2006/relationships/hyperlink" Target="https://app.clickup.com/t/86agnzdx8" TargetMode="External"/><Relationship Id="rId228" Type="http://schemas.openxmlformats.org/officeDocument/2006/relationships/hyperlink" Target="https://app.clickup.com/t/86ahket8w" TargetMode="External"/><Relationship Id="rId281" Type="http://schemas.openxmlformats.org/officeDocument/2006/relationships/hyperlink" Target="https://app.clickup.com/t/17tpepcpu2c" TargetMode="External"/><Relationship Id="rId337" Type="http://schemas.openxmlformats.org/officeDocument/2006/relationships/hyperlink" Target="https://app.clickup.com/t/86acmwz7c" TargetMode="External"/><Relationship Id="rId34" Type="http://schemas.openxmlformats.org/officeDocument/2006/relationships/hyperlink" Target="https://app.clickup.com/t/17tpepcdg1x" TargetMode="External"/><Relationship Id="rId76" Type="http://schemas.openxmlformats.org/officeDocument/2006/relationships/hyperlink" Target="https://app.clickup.com/t/17tpepcekpq" TargetMode="External"/><Relationship Id="rId141" Type="http://schemas.openxmlformats.org/officeDocument/2006/relationships/hyperlink" Target="https://app.clickup.com/t/86agjadkt" TargetMode="External"/><Relationship Id="rId379" Type="http://schemas.openxmlformats.org/officeDocument/2006/relationships/hyperlink" Target="https://app.clickup.com/t/86aj6wf2e" TargetMode="External"/><Relationship Id="rId7" Type="http://schemas.openxmlformats.org/officeDocument/2006/relationships/hyperlink" Target="https://app.clickup.com/t/17tpepcdg1u" TargetMode="External"/><Relationship Id="rId183" Type="http://schemas.openxmlformats.org/officeDocument/2006/relationships/hyperlink" Target="https://app.clickup.com/t/86agckjn9" TargetMode="External"/><Relationship Id="rId239" Type="http://schemas.openxmlformats.org/officeDocument/2006/relationships/hyperlink" Target="https://app.clickup.com/t/86akm8zdw" TargetMode="External"/><Relationship Id="rId390" Type="http://schemas.openxmlformats.org/officeDocument/2006/relationships/hyperlink" Target="https://app.clickup.com/t/86aghcck7" TargetMode="External"/><Relationship Id="rId250" Type="http://schemas.openxmlformats.org/officeDocument/2006/relationships/hyperlink" Target="https://app.clickup.com/t/86akm8zc1" TargetMode="External"/><Relationship Id="rId292" Type="http://schemas.openxmlformats.org/officeDocument/2006/relationships/hyperlink" Target="https://app.clickup.com/t/86akm8zbf" TargetMode="External"/><Relationship Id="rId306" Type="http://schemas.openxmlformats.org/officeDocument/2006/relationships/hyperlink" Target="https://app.clickup.com/t/86akm8zdu" TargetMode="External"/><Relationship Id="rId45" Type="http://schemas.openxmlformats.org/officeDocument/2006/relationships/hyperlink" Target="https://app.clickup.com/t/17tpepcpr2v" TargetMode="External"/><Relationship Id="rId87" Type="http://schemas.openxmlformats.org/officeDocument/2006/relationships/hyperlink" Target="https://app.clickup.com/t/17tpepcpr6k" TargetMode="External"/><Relationship Id="rId110" Type="http://schemas.openxmlformats.org/officeDocument/2006/relationships/hyperlink" Target="https://app.clickup.com/t/86age41ph" TargetMode="External"/><Relationship Id="rId348" Type="http://schemas.openxmlformats.org/officeDocument/2006/relationships/hyperlink" Target="https://app.clickup.com/t/86ad1d9qy" TargetMode="External"/><Relationship Id="rId152" Type="http://schemas.openxmlformats.org/officeDocument/2006/relationships/hyperlink" Target="https://app.clickup.com/t/86aghpd6m" TargetMode="External"/><Relationship Id="rId194" Type="http://schemas.openxmlformats.org/officeDocument/2006/relationships/hyperlink" Target="https://app.clickup.com/t/86aghmk3d" TargetMode="External"/><Relationship Id="rId208" Type="http://schemas.openxmlformats.org/officeDocument/2006/relationships/hyperlink" Target="https://app.clickup.com/t/86ahyemhb" TargetMode="External"/><Relationship Id="rId261" Type="http://schemas.openxmlformats.org/officeDocument/2006/relationships/hyperlink" Target="https://app.clickup.com/t/86aght78g" TargetMode="External"/><Relationship Id="rId14" Type="http://schemas.openxmlformats.org/officeDocument/2006/relationships/hyperlink" Target="https://app.clickup.com/t/17tpepcep2n" TargetMode="External"/><Relationship Id="rId56" Type="http://schemas.openxmlformats.org/officeDocument/2006/relationships/hyperlink" Target="https://app.clickup.com/t/17tpepcpr7w" TargetMode="External"/><Relationship Id="rId317" Type="http://schemas.openxmlformats.org/officeDocument/2006/relationships/hyperlink" Target="https://app.clickup.com/t/86ah40h0v" TargetMode="External"/><Relationship Id="rId359" Type="http://schemas.openxmlformats.org/officeDocument/2006/relationships/hyperlink" Target="https://app.clickup.com/t/86acmxhwv" TargetMode="External"/><Relationship Id="rId98" Type="http://schemas.openxmlformats.org/officeDocument/2006/relationships/hyperlink" Target="https://app.clickup.com/t/17tpepcdm34" TargetMode="External"/><Relationship Id="rId121" Type="http://schemas.openxmlformats.org/officeDocument/2006/relationships/hyperlink" Target="https://app.clickup.com/t/86aj7c618" TargetMode="External"/><Relationship Id="rId163" Type="http://schemas.openxmlformats.org/officeDocument/2006/relationships/hyperlink" Target="https://app.clickup.com/t/86ak8xk6f" TargetMode="External"/><Relationship Id="rId219" Type="http://schemas.openxmlformats.org/officeDocument/2006/relationships/hyperlink" Target="https://app.clickup.com/t/86aj7rb0p" TargetMode="External"/><Relationship Id="rId370" Type="http://schemas.openxmlformats.org/officeDocument/2006/relationships/hyperlink" Target="https://app.clickup.com/t/86agetpf5" TargetMode="External"/><Relationship Id="rId230" Type="http://schemas.openxmlformats.org/officeDocument/2006/relationships/hyperlink" Target="https://app.clickup.com/t/86ahkethw" TargetMode="External"/><Relationship Id="rId25" Type="http://schemas.openxmlformats.org/officeDocument/2006/relationships/hyperlink" Target="https://app.clickup.com/t/17tpepcgqnr" TargetMode="External"/><Relationship Id="rId67" Type="http://schemas.openxmlformats.org/officeDocument/2006/relationships/hyperlink" Target="https://app.clickup.com/t/17tpepcent3" TargetMode="External"/><Relationship Id="rId272" Type="http://schemas.openxmlformats.org/officeDocument/2006/relationships/hyperlink" Target="https://app.clickup.com/t/17tpepcpu04" TargetMode="External"/><Relationship Id="rId328" Type="http://schemas.openxmlformats.org/officeDocument/2006/relationships/hyperlink" Target="https://app.clickup.com/t/17tpepcgtap" TargetMode="External"/><Relationship Id="rId132" Type="http://schemas.openxmlformats.org/officeDocument/2006/relationships/hyperlink" Target="https://app.clickup.com/t/86aj7ehkp" TargetMode="External"/><Relationship Id="rId174" Type="http://schemas.openxmlformats.org/officeDocument/2006/relationships/hyperlink" Target="https://app.clickup.com/t/86age4cnw" TargetMode="External"/><Relationship Id="rId381" Type="http://schemas.openxmlformats.org/officeDocument/2006/relationships/hyperlink" Target="https://app.clickup.com/t/86agety1h" TargetMode="External"/><Relationship Id="rId241" Type="http://schemas.openxmlformats.org/officeDocument/2006/relationships/hyperlink" Target="https://app.clickup.com/t/86akm8zdq" TargetMode="External"/><Relationship Id="rId36" Type="http://schemas.openxmlformats.org/officeDocument/2006/relationships/hyperlink" Target="https://app.clickup.com/t/17tpepcgqnq" TargetMode="External"/><Relationship Id="rId283" Type="http://schemas.openxmlformats.org/officeDocument/2006/relationships/hyperlink" Target="https://app.clickup.com/t/17tpepcpu2a" TargetMode="External"/><Relationship Id="rId339" Type="http://schemas.openxmlformats.org/officeDocument/2006/relationships/hyperlink" Target="https://app.clickup.com/t/86acmkafc" TargetMode="External"/><Relationship Id="rId78" Type="http://schemas.openxmlformats.org/officeDocument/2006/relationships/hyperlink" Target="https://app.clickup.com/t/17tpepcprj5" TargetMode="External"/><Relationship Id="rId101" Type="http://schemas.openxmlformats.org/officeDocument/2006/relationships/hyperlink" Target="https://app.clickup.com/t/17tpepcprk4" TargetMode="External"/><Relationship Id="rId143" Type="http://schemas.openxmlformats.org/officeDocument/2006/relationships/hyperlink" Target="https://app.clickup.com/t/86agvagug" TargetMode="External"/><Relationship Id="rId185" Type="http://schemas.openxmlformats.org/officeDocument/2006/relationships/hyperlink" Target="https://app.clickup.com/t/86aj81736" TargetMode="External"/><Relationship Id="rId350" Type="http://schemas.openxmlformats.org/officeDocument/2006/relationships/hyperlink" Target="https://app.clickup.com/t/86acmweve" TargetMode="External"/><Relationship Id="rId9" Type="http://schemas.openxmlformats.org/officeDocument/2006/relationships/hyperlink" Target="https://app.clickup.com/t/17tpepcdk0k" TargetMode="External"/><Relationship Id="rId210" Type="http://schemas.openxmlformats.org/officeDocument/2006/relationships/hyperlink" Target="https://app.clickup.com/t/86ahyehpb" TargetMode="External"/><Relationship Id="rId392" Type="http://schemas.openxmlformats.org/officeDocument/2006/relationships/hyperlink" Target="https://app.clickup.com/t/86aget7yp" TargetMode="External"/><Relationship Id="rId252" Type="http://schemas.openxmlformats.org/officeDocument/2006/relationships/hyperlink" Target="https://app.clickup.com/t/86akm8zd7" TargetMode="External"/><Relationship Id="rId294" Type="http://schemas.openxmlformats.org/officeDocument/2006/relationships/hyperlink" Target="https://app.clickup.com/t/17tpepcpu02" TargetMode="External"/><Relationship Id="rId308" Type="http://schemas.openxmlformats.org/officeDocument/2006/relationships/hyperlink" Target="https://app.clickup.com/t/86aghpd4j" TargetMode="External"/><Relationship Id="rId47" Type="http://schemas.openxmlformats.org/officeDocument/2006/relationships/hyperlink" Target="https://app.clickup.com/t/17tpepcggu2" TargetMode="External"/><Relationship Id="rId89" Type="http://schemas.openxmlformats.org/officeDocument/2006/relationships/hyperlink" Target="https://app.clickup.com/t/17tpepcprjy" TargetMode="External"/><Relationship Id="rId112" Type="http://schemas.openxmlformats.org/officeDocument/2006/relationships/hyperlink" Target="https://app.clickup.com/t/86ajf8rr2" TargetMode="External"/><Relationship Id="rId154" Type="http://schemas.openxmlformats.org/officeDocument/2006/relationships/hyperlink" Target="https://app.clickup.com/t/86aj7b0un" TargetMode="External"/><Relationship Id="rId361" Type="http://schemas.openxmlformats.org/officeDocument/2006/relationships/hyperlink" Target="https://app.clickup.com/t/86aew31gf" TargetMode="External"/><Relationship Id="rId196" Type="http://schemas.openxmlformats.org/officeDocument/2006/relationships/hyperlink" Target="https://app.clickup.com/t/86ahke96e" TargetMode="External"/><Relationship Id="rId16" Type="http://schemas.openxmlformats.org/officeDocument/2006/relationships/hyperlink" Target="https://app.clickup.com/t/17tpepcdg1v" TargetMode="External"/><Relationship Id="rId221" Type="http://schemas.openxmlformats.org/officeDocument/2006/relationships/hyperlink" Target="https://app.clickup.com/t/86ahxbm0f" TargetMode="External"/><Relationship Id="rId263" Type="http://schemas.openxmlformats.org/officeDocument/2006/relationships/hyperlink" Target="https://app.clickup.com/t/86akm8zef" TargetMode="External"/><Relationship Id="rId319" Type="http://schemas.openxmlformats.org/officeDocument/2006/relationships/hyperlink" Target="https://app.clickup.com/t/86agc5vxc" TargetMode="External"/><Relationship Id="rId58" Type="http://schemas.openxmlformats.org/officeDocument/2006/relationships/hyperlink" Target="https://app.clickup.com/t/17tpepcdg1w" TargetMode="External"/><Relationship Id="rId123" Type="http://schemas.openxmlformats.org/officeDocument/2006/relationships/hyperlink" Target="https://app.clickup.com/t/86ahcknz7" TargetMode="External"/><Relationship Id="rId330" Type="http://schemas.openxmlformats.org/officeDocument/2006/relationships/hyperlink" Target="https://app.clickup.com/t/17tpepcgtan" TargetMode="External"/><Relationship Id="rId90" Type="http://schemas.openxmlformats.org/officeDocument/2006/relationships/hyperlink" Target="https://app.clickup.com/t/17tpepcenrt" TargetMode="External"/><Relationship Id="rId165" Type="http://schemas.openxmlformats.org/officeDocument/2006/relationships/hyperlink" Target="https://app.clickup.com/t/86agcx0kv" TargetMode="External"/><Relationship Id="rId186" Type="http://schemas.openxmlformats.org/officeDocument/2006/relationships/hyperlink" Target="https://app.clickup.com/t/86aj8174y" TargetMode="External"/><Relationship Id="rId351" Type="http://schemas.openxmlformats.org/officeDocument/2006/relationships/hyperlink" Target="https://app.clickup.com/t/86ajv7gnq" TargetMode="External"/><Relationship Id="rId372" Type="http://schemas.openxmlformats.org/officeDocument/2006/relationships/hyperlink" Target="https://app.clickup.com/t/86agetqtb" TargetMode="External"/><Relationship Id="rId393" Type="http://schemas.openxmlformats.org/officeDocument/2006/relationships/hyperlink" Target="https://app.clickup.com/t/86agerve1" TargetMode="External"/><Relationship Id="rId211" Type="http://schemas.openxmlformats.org/officeDocument/2006/relationships/hyperlink" Target="https://app.clickup.com/t/86ahxbj49" TargetMode="External"/><Relationship Id="rId232" Type="http://schemas.openxmlformats.org/officeDocument/2006/relationships/hyperlink" Target="https://app.clickup.com/t/86aghm6gm" TargetMode="External"/><Relationship Id="rId253" Type="http://schemas.openxmlformats.org/officeDocument/2006/relationships/hyperlink" Target="https://app.clickup.com/t/86akm8zda" TargetMode="External"/><Relationship Id="rId274" Type="http://schemas.openxmlformats.org/officeDocument/2006/relationships/hyperlink" Target="https://app.clickup.com/t/17tpepcpu03" TargetMode="External"/><Relationship Id="rId295" Type="http://schemas.openxmlformats.org/officeDocument/2006/relationships/hyperlink" Target="https://app.clickup.com/t/17tpepcpu1e" TargetMode="External"/><Relationship Id="rId309" Type="http://schemas.openxmlformats.org/officeDocument/2006/relationships/hyperlink" Target="https://app.clickup.com/t/86agnyyd6" TargetMode="External"/><Relationship Id="rId27" Type="http://schemas.openxmlformats.org/officeDocument/2006/relationships/hyperlink" Target="https://app.clickup.com/t/17tpepcpr2c" TargetMode="External"/><Relationship Id="rId48" Type="http://schemas.openxmlformats.org/officeDocument/2006/relationships/hyperlink" Target="https://app.clickup.com/t/17tpepcdm35" TargetMode="External"/><Relationship Id="rId69" Type="http://schemas.openxmlformats.org/officeDocument/2006/relationships/hyperlink" Target="https://app.clickup.com/t/17tpepcdaeg" TargetMode="External"/><Relationship Id="rId113" Type="http://schemas.openxmlformats.org/officeDocument/2006/relationships/hyperlink" Target="https://app.clickup.com/t/86aj7bmyf" TargetMode="External"/><Relationship Id="rId134" Type="http://schemas.openxmlformats.org/officeDocument/2006/relationships/hyperlink" Target="https://app.clickup.com/t/86ahrhbbm" TargetMode="External"/><Relationship Id="rId320" Type="http://schemas.openxmlformats.org/officeDocument/2006/relationships/hyperlink" Target="https://app.clickup.com/t/86agzkbe7" TargetMode="External"/><Relationship Id="rId80" Type="http://schemas.openxmlformats.org/officeDocument/2006/relationships/hyperlink" Target="https://app.clickup.com/t/17tpepcprk2" TargetMode="External"/><Relationship Id="rId155" Type="http://schemas.openxmlformats.org/officeDocument/2006/relationships/hyperlink" Target="https://app.clickup.com/t/86aj7a0kg" TargetMode="External"/><Relationship Id="rId176" Type="http://schemas.openxmlformats.org/officeDocument/2006/relationships/hyperlink" Target="https://app.clickup.com/t/86agedpc9" TargetMode="External"/><Relationship Id="rId197" Type="http://schemas.openxmlformats.org/officeDocument/2006/relationships/hyperlink" Target="https://app.clickup.com/t/86ahkew4h" TargetMode="External"/><Relationship Id="rId341" Type="http://schemas.openxmlformats.org/officeDocument/2006/relationships/hyperlink" Target="https://app.clickup.com/t/86acmweg8" TargetMode="External"/><Relationship Id="rId362" Type="http://schemas.openxmlformats.org/officeDocument/2006/relationships/hyperlink" Target="https://app.clickup.com/t/86adcfaum" TargetMode="External"/><Relationship Id="rId383" Type="http://schemas.openxmlformats.org/officeDocument/2006/relationships/hyperlink" Target="https://app.clickup.com/t/86aget7yz" TargetMode="External"/><Relationship Id="rId201" Type="http://schemas.openxmlformats.org/officeDocument/2006/relationships/hyperlink" Target="https://app.clickup.com/t/86ahkern3" TargetMode="External"/><Relationship Id="rId222" Type="http://schemas.openxmlformats.org/officeDocument/2006/relationships/hyperlink" Target="https://app.clickup.com/t/86ahxbk65" TargetMode="External"/><Relationship Id="rId243" Type="http://schemas.openxmlformats.org/officeDocument/2006/relationships/hyperlink" Target="https://app.clickup.com/t/86akm8zea" TargetMode="External"/><Relationship Id="rId264" Type="http://schemas.openxmlformats.org/officeDocument/2006/relationships/hyperlink" Target="https://app.clickup.com/t/86akm8zct" TargetMode="External"/><Relationship Id="rId285" Type="http://schemas.openxmlformats.org/officeDocument/2006/relationships/hyperlink" Target="https://app.clickup.com/t/17tpepcpu0a" TargetMode="External"/><Relationship Id="rId17" Type="http://schemas.openxmlformats.org/officeDocument/2006/relationships/hyperlink" Target="https://app.clickup.com/t/17tpepcpr2a" TargetMode="External"/><Relationship Id="rId38" Type="http://schemas.openxmlformats.org/officeDocument/2006/relationships/hyperlink" Target="https://app.clickup.com/t/17tpepcpr2m" TargetMode="External"/><Relationship Id="rId59" Type="http://schemas.openxmlformats.org/officeDocument/2006/relationships/hyperlink" Target="https://app.clickup.com/t/17tpepcenqt" TargetMode="External"/><Relationship Id="rId103" Type="http://schemas.openxmlformats.org/officeDocument/2006/relationships/hyperlink" Target="https://app.clickup.com/t/17tpepcprk0" TargetMode="External"/><Relationship Id="rId124" Type="http://schemas.openxmlformats.org/officeDocument/2006/relationships/hyperlink" Target="https://app.clickup.com/t/86aj7bqh4" TargetMode="External"/><Relationship Id="rId310" Type="http://schemas.openxmlformats.org/officeDocument/2006/relationships/hyperlink" Target="https://app.clickup.com/t/86aj7b7kv" TargetMode="External"/><Relationship Id="rId70" Type="http://schemas.openxmlformats.org/officeDocument/2006/relationships/hyperlink" Target="https://app.clickup.com/t/17tpepcdaha" TargetMode="External"/><Relationship Id="rId91" Type="http://schemas.openxmlformats.org/officeDocument/2006/relationships/hyperlink" Target="https://app.clickup.com/t/17tpepcprjb" TargetMode="External"/><Relationship Id="rId145" Type="http://schemas.openxmlformats.org/officeDocument/2006/relationships/hyperlink" Target="https://app.clickup.com/t/86ahcknyj" TargetMode="External"/><Relationship Id="rId166" Type="http://schemas.openxmlformats.org/officeDocument/2006/relationships/hyperlink" Target="https://app.clickup.com/t/17tpepcgu8m" TargetMode="External"/><Relationship Id="rId187" Type="http://schemas.openxmlformats.org/officeDocument/2006/relationships/hyperlink" Target="https://app.clickup.com/t/86agd825f" TargetMode="External"/><Relationship Id="rId331" Type="http://schemas.openxmlformats.org/officeDocument/2006/relationships/hyperlink" Target="https://app.clickup.com/t/86agc5773" TargetMode="External"/><Relationship Id="rId352" Type="http://schemas.openxmlformats.org/officeDocument/2006/relationships/hyperlink" Target="https://app.clickup.com/t/86ajv7h6t" TargetMode="External"/><Relationship Id="rId373" Type="http://schemas.openxmlformats.org/officeDocument/2006/relationships/hyperlink" Target="https://app.clickup.com/t/86aj7rq96" TargetMode="External"/><Relationship Id="rId394" Type="http://schemas.openxmlformats.org/officeDocument/2006/relationships/hyperlink" Target="https://app.clickup.com/t/86agetqrn" TargetMode="External"/><Relationship Id="rId1" Type="http://schemas.openxmlformats.org/officeDocument/2006/relationships/hyperlink" Target="https://app.clickup.com/t/17tpepcgqnk" TargetMode="External"/><Relationship Id="rId212" Type="http://schemas.openxmlformats.org/officeDocument/2006/relationships/hyperlink" Target="https://app.clickup.com/t/86ahyemjf" TargetMode="External"/><Relationship Id="rId233" Type="http://schemas.openxmlformats.org/officeDocument/2006/relationships/hyperlink" Target="https://app.clickup.com/t/86aghrgvx" TargetMode="External"/><Relationship Id="rId254" Type="http://schemas.openxmlformats.org/officeDocument/2006/relationships/hyperlink" Target="https://app.clickup.com/t/86akm8ze3" TargetMode="External"/><Relationship Id="rId28" Type="http://schemas.openxmlformats.org/officeDocument/2006/relationships/hyperlink" Target="https://app.clickup.com/t/17tpepcdm2y" TargetMode="External"/><Relationship Id="rId49" Type="http://schemas.openxmlformats.org/officeDocument/2006/relationships/hyperlink" Target="https://app.clickup.com/t/17tpepcdaef" TargetMode="External"/><Relationship Id="rId114" Type="http://schemas.openxmlformats.org/officeDocument/2006/relationships/hyperlink" Target="https://app.clickup.com/t/86aj7bx9m" TargetMode="External"/><Relationship Id="rId275" Type="http://schemas.openxmlformats.org/officeDocument/2006/relationships/hyperlink" Target="https://app.clickup.com/t/17tpepcpu00" TargetMode="External"/><Relationship Id="rId296" Type="http://schemas.openxmlformats.org/officeDocument/2006/relationships/hyperlink" Target="https://app.clickup.com/t/17tpepcpu29" TargetMode="External"/><Relationship Id="rId300" Type="http://schemas.openxmlformats.org/officeDocument/2006/relationships/hyperlink" Target="https://app.clickup.com/t/17tpepcpu1k" TargetMode="External"/><Relationship Id="rId60" Type="http://schemas.openxmlformats.org/officeDocument/2006/relationships/hyperlink" Target="https://app.clickup.com/t/17tpepcgphr" TargetMode="External"/><Relationship Id="rId81" Type="http://schemas.openxmlformats.org/officeDocument/2006/relationships/hyperlink" Target="https://app.clickup.com/t/17tpepcprjm" TargetMode="External"/><Relationship Id="rId135" Type="http://schemas.openxmlformats.org/officeDocument/2006/relationships/hyperlink" Target="https://app.clickup.com/t/86ahrherk" TargetMode="External"/><Relationship Id="rId156" Type="http://schemas.openxmlformats.org/officeDocument/2006/relationships/hyperlink" Target="https://app.clickup.com/t/86aj7c60y" TargetMode="External"/><Relationship Id="rId177" Type="http://schemas.openxmlformats.org/officeDocument/2006/relationships/hyperlink" Target="https://app.clickup.com/t/17tpepcmy8c" TargetMode="External"/><Relationship Id="rId198" Type="http://schemas.openxmlformats.org/officeDocument/2006/relationships/hyperlink" Target="https://app.clickup.com/t/86aghmk4j" TargetMode="External"/><Relationship Id="rId321" Type="http://schemas.openxmlformats.org/officeDocument/2006/relationships/hyperlink" Target="https://app.clickup.com/t/86aj7b7pf" TargetMode="External"/><Relationship Id="rId342" Type="http://schemas.openxmlformats.org/officeDocument/2006/relationships/hyperlink" Target="https://app.clickup.com/t/86acmwat3" TargetMode="External"/><Relationship Id="rId363" Type="http://schemas.openxmlformats.org/officeDocument/2006/relationships/hyperlink" Target="https://app.clickup.com/t/86aew32y4" TargetMode="External"/><Relationship Id="rId384" Type="http://schemas.openxmlformats.org/officeDocument/2006/relationships/hyperlink" Target="https://app.clickup.com/t/86aget7yk" TargetMode="External"/><Relationship Id="rId202" Type="http://schemas.openxmlformats.org/officeDocument/2006/relationships/hyperlink" Target="https://app.clickup.com/t/86ahxbyqh" TargetMode="External"/><Relationship Id="rId223" Type="http://schemas.openxmlformats.org/officeDocument/2006/relationships/hyperlink" Target="https://app.clickup.com/t/86aghjy57" TargetMode="External"/><Relationship Id="rId244" Type="http://schemas.openxmlformats.org/officeDocument/2006/relationships/hyperlink" Target="https://app.clickup.com/t/86akm8zcd" TargetMode="External"/><Relationship Id="rId18" Type="http://schemas.openxmlformats.org/officeDocument/2006/relationships/hyperlink" Target="https://app.clickup.com/t/17tpepcgkn9" TargetMode="External"/><Relationship Id="rId39" Type="http://schemas.openxmlformats.org/officeDocument/2006/relationships/hyperlink" Target="https://app.clickup.com/t/17tpepcdk0p" TargetMode="External"/><Relationship Id="rId265" Type="http://schemas.openxmlformats.org/officeDocument/2006/relationships/hyperlink" Target="https://app.clickup.com/t/86aghvmuc" TargetMode="External"/><Relationship Id="rId286" Type="http://schemas.openxmlformats.org/officeDocument/2006/relationships/hyperlink" Target="https://app.clickup.com/t/86akm8zba" TargetMode="External"/><Relationship Id="rId50" Type="http://schemas.openxmlformats.org/officeDocument/2006/relationships/hyperlink" Target="https://app.clickup.com/t/17tpepcghcf" TargetMode="External"/><Relationship Id="rId104" Type="http://schemas.openxmlformats.org/officeDocument/2006/relationships/hyperlink" Target="https://app.clickup.com/t/17tpepcghc9" TargetMode="External"/><Relationship Id="rId125" Type="http://schemas.openxmlformats.org/officeDocument/2006/relationships/hyperlink" Target="https://app.clickup.com/t/86ahckp2g" TargetMode="External"/><Relationship Id="rId146" Type="http://schemas.openxmlformats.org/officeDocument/2006/relationships/hyperlink" Target="https://app.clickup.com/t/86agcvtg4" TargetMode="External"/><Relationship Id="rId167" Type="http://schemas.openxmlformats.org/officeDocument/2006/relationships/hyperlink" Target="https://app.clickup.com/t/86ah5hfzp" TargetMode="External"/><Relationship Id="rId188" Type="http://schemas.openxmlformats.org/officeDocument/2006/relationships/hyperlink" Target="https://app.clickup.com/t/86agd8vk5" TargetMode="External"/><Relationship Id="rId311" Type="http://schemas.openxmlformats.org/officeDocument/2006/relationships/hyperlink" Target="https://app.clickup.com/t/86aj7b9g5" TargetMode="External"/><Relationship Id="rId332" Type="http://schemas.openxmlformats.org/officeDocument/2006/relationships/hyperlink" Target="https://app.clickup.com/t/86agb7nf0" TargetMode="External"/><Relationship Id="rId353" Type="http://schemas.openxmlformats.org/officeDocument/2006/relationships/hyperlink" Target="https://app.clickup.com/t/86acmwemz" TargetMode="External"/><Relationship Id="rId374" Type="http://schemas.openxmlformats.org/officeDocument/2006/relationships/hyperlink" Target="https://app.clickup.com/t/86ah4bx8y" TargetMode="External"/><Relationship Id="rId395" Type="http://schemas.openxmlformats.org/officeDocument/2006/relationships/hyperlink" Target="https://app.clickup.com/t/86aget0hp" TargetMode="External"/><Relationship Id="rId71" Type="http://schemas.openxmlformats.org/officeDocument/2006/relationships/hyperlink" Target="https://app.clickup.com/t/17tpepcprje" TargetMode="External"/><Relationship Id="rId92" Type="http://schemas.openxmlformats.org/officeDocument/2006/relationships/hyperlink" Target="https://app.clickup.com/t/17tpepcgm2f" TargetMode="External"/><Relationship Id="rId213" Type="http://schemas.openxmlformats.org/officeDocument/2006/relationships/hyperlink" Target="https://app.clickup.com/t/86ahyemja" TargetMode="External"/><Relationship Id="rId234" Type="http://schemas.openxmlformats.org/officeDocument/2006/relationships/hyperlink" Target="https://app.clickup.com/t/86aghrgtv" TargetMode="External"/><Relationship Id="rId2" Type="http://schemas.openxmlformats.org/officeDocument/2006/relationships/hyperlink" Target="https://app.clickup.com/t/17tpepcgqnn" TargetMode="External"/><Relationship Id="rId29" Type="http://schemas.openxmlformats.org/officeDocument/2006/relationships/hyperlink" Target="https://app.clickup.com/t/17tpepcpr2u" TargetMode="External"/><Relationship Id="rId255" Type="http://schemas.openxmlformats.org/officeDocument/2006/relationships/hyperlink" Target="https://app.clickup.com/t/86akm8zbv" TargetMode="External"/><Relationship Id="rId276" Type="http://schemas.openxmlformats.org/officeDocument/2006/relationships/hyperlink" Target="https://app.clickup.com/t/17tpepcpu14" TargetMode="External"/><Relationship Id="rId297" Type="http://schemas.openxmlformats.org/officeDocument/2006/relationships/hyperlink" Target="https://app.clickup.com/t/17tpepcptzw" TargetMode="External"/><Relationship Id="rId40" Type="http://schemas.openxmlformats.org/officeDocument/2006/relationships/hyperlink" Target="https://app.clickup.com/t/17tpepcdm30" TargetMode="External"/><Relationship Id="rId115" Type="http://schemas.openxmlformats.org/officeDocument/2006/relationships/hyperlink" Target="https://app.clickup.com/t/86aj7bx9d" TargetMode="External"/><Relationship Id="rId136" Type="http://schemas.openxmlformats.org/officeDocument/2006/relationships/hyperlink" Target="https://app.clickup.com/t/86agedzgg" TargetMode="External"/><Relationship Id="rId157" Type="http://schemas.openxmlformats.org/officeDocument/2006/relationships/hyperlink" Target="https://app.clickup.com/t/86ahckp1w" TargetMode="External"/><Relationship Id="rId178" Type="http://schemas.openxmlformats.org/officeDocument/2006/relationships/hyperlink" Target="https://app.clickup.com/t/17tpepcmy8e" TargetMode="External"/><Relationship Id="rId301" Type="http://schemas.openxmlformats.org/officeDocument/2006/relationships/hyperlink" Target="https://app.clickup.com/t/86akm8zbm" TargetMode="External"/><Relationship Id="rId322" Type="http://schemas.openxmlformats.org/officeDocument/2006/relationships/hyperlink" Target="https://app.clickup.com/t/86agb8595" TargetMode="External"/><Relationship Id="rId343" Type="http://schemas.openxmlformats.org/officeDocument/2006/relationships/hyperlink" Target="https://app.clickup.com/t/86aeukbue" TargetMode="External"/><Relationship Id="rId364" Type="http://schemas.openxmlformats.org/officeDocument/2006/relationships/hyperlink" Target="https://app.clickup.com/t/86adcfjfc" TargetMode="External"/><Relationship Id="rId61" Type="http://schemas.openxmlformats.org/officeDocument/2006/relationships/hyperlink" Target="https://app.clickup.com/t/17tpepcgqpc" TargetMode="External"/><Relationship Id="rId82" Type="http://schemas.openxmlformats.org/officeDocument/2006/relationships/hyperlink" Target="https://app.clickup.com/t/17tpepcprk6" TargetMode="External"/><Relationship Id="rId199" Type="http://schemas.openxmlformats.org/officeDocument/2006/relationships/hyperlink" Target="https://app.clickup.com/t/17tpepcddpp" TargetMode="External"/><Relationship Id="rId203" Type="http://schemas.openxmlformats.org/officeDocument/2006/relationships/hyperlink" Target="https://app.clickup.com/t/86ahxby7r" TargetMode="External"/><Relationship Id="rId385" Type="http://schemas.openxmlformats.org/officeDocument/2006/relationships/hyperlink" Target="https://app.clickup.com/t/86agetqtf" TargetMode="External"/><Relationship Id="rId19" Type="http://schemas.openxmlformats.org/officeDocument/2006/relationships/hyperlink" Target="https://app.clickup.com/t/17tpepcgkmw" TargetMode="External"/><Relationship Id="rId224" Type="http://schemas.openxmlformats.org/officeDocument/2006/relationships/hyperlink" Target="https://app.clickup.com/t/86ahketju" TargetMode="External"/><Relationship Id="rId245" Type="http://schemas.openxmlformats.org/officeDocument/2006/relationships/hyperlink" Target="https://app.clickup.com/t/86akm8zca" TargetMode="External"/><Relationship Id="rId266" Type="http://schemas.openxmlformats.org/officeDocument/2006/relationships/hyperlink" Target="https://app.clickup.com/t/17tpepcpu26" TargetMode="External"/><Relationship Id="rId287" Type="http://schemas.openxmlformats.org/officeDocument/2006/relationships/hyperlink" Target="https://app.clickup.com/t/86akm8w63" TargetMode="External"/><Relationship Id="rId30" Type="http://schemas.openxmlformats.org/officeDocument/2006/relationships/hyperlink" Target="https://app.clickup.com/t/17tpepcenxf" TargetMode="External"/><Relationship Id="rId105" Type="http://schemas.openxmlformats.org/officeDocument/2006/relationships/hyperlink" Target="https://app.clickup.com/t/17tpepcprj3" TargetMode="External"/><Relationship Id="rId126" Type="http://schemas.openxmlformats.org/officeDocument/2006/relationships/hyperlink" Target="https://app.clickup.com/t/86ahckp0x" TargetMode="External"/><Relationship Id="rId147" Type="http://schemas.openxmlformats.org/officeDocument/2006/relationships/hyperlink" Target="https://app.clickup.com/t/86ageecj9" TargetMode="External"/><Relationship Id="rId168" Type="http://schemas.openxmlformats.org/officeDocument/2006/relationships/hyperlink" Target="https://app.clickup.com/t/86agcktet" TargetMode="External"/><Relationship Id="rId312" Type="http://schemas.openxmlformats.org/officeDocument/2006/relationships/hyperlink" Target="https://app.clickup.com/t/86akbg0v4" TargetMode="External"/><Relationship Id="rId333" Type="http://schemas.openxmlformats.org/officeDocument/2006/relationships/hyperlink" Target="https://app.clickup.com/t/86agc71jx" TargetMode="External"/><Relationship Id="rId354" Type="http://schemas.openxmlformats.org/officeDocument/2006/relationships/hyperlink" Target="https://app.clickup.com/t/86ahdhy4g" TargetMode="External"/><Relationship Id="rId51" Type="http://schemas.openxmlformats.org/officeDocument/2006/relationships/hyperlink" Target="https://app.clickup.com/t/17tpepcpr28" TargetMode="External"/><Relationship Id="rId72" Type="http://schemas.openxmlformats.org/officeDocument/2006/relationships/hyperlink" Target="https://app.clickup.com/t/17tpepcghca" TargetMode="External"/><Relationship Id="rId93" Type="http://schemas.openxmlformats.org/officeDocument/2006/relationships/hyperlink" Target="https://app.clickup.com/t/17tpepcprk3" TargetMode="External"/><Relationship Id="rId189" Type="http://schemas.openxmlformats.org/officeDocument/2006/relationships/hyperlink" Target="https://app.clickup.com/t/86aghm6gu" TargetMode="External"/><Relationship Id="rId375" Type="http://schemas.openxmlformats.org/officeDocument/2006/relationships/hyperlink" Target="https://app.clickup.com/t/86ah4bx92" TargetMode="External"/><Relationship Id="rId396" Type="http://schemas.openxmlformats.org/officeDocument/2006/relationships/hyperlink" Target="https://app.clickup.com/t/86agety12" TargetMode="External"/><Relationship Id="rId3" Type="http://schemas.openxmlformats.org/officeDocument/2006/relationships/hyperlink" Target="https://app.clickup.com/t/17tpepcdam9" TargetMode="External"/><Relationship Id="rId214" Type="http://schemas.openxmlformats.org/officeDocument/2006/relationships/hyperlink" Target="https://app.clickup.com/t/86ahyemj5" TargetMode="External"/><Relationship Id="rId235" Type="http://schemas.openxmlformats.org/officeDocument/2006/relationships/hyperlink" Target="https://app.clickup.com/t/86aghvdeq" TargetMode="External"/><Relationship Id="rId256" Type="http://schemas.openxmlformats.org/officeDocument/2006/relationships/hyperlink" Target="https://app.clickup.com/t/86akam3zk" TargetMode="External"/><Relationship Id="rId277" Type="http://schemas.openxmlformats.org/officeDocument/2006/relationships/hyperlink" Target="https://app.clickup.com/t/17tpepcpu1u" TargetMode="External"/><Relationship Id="rId298" Type="http://schemas.openxmlformats.org/officeDocument/2006/relationships/hyperlink" Target="https://app.clickup.com/t/86akm8ze6" TargetMode="External"/><Relationship Id="rId400" Type="http://schemas.openxmlformats.org/officeDocument/2006/relationships/hyperlink" Target="https://app.clickup.com/t/86aget0j6" TargetMode="External"/><Relationship Id="rId116" Type="http://schemas.openxmlformats.org/officeDocument/2006/relationships/hyperlink" Target="https://app.clickup.com/t/86aj7b0ue" TargetMode="External"/><Relationship Id="rId137" Type="http://schemas.openxmlformats.org/officeDocument/2006/relationships/hyperlink" Target="https://app.clickup.com/t/86agzk67a" TargetMode="External"/><Relationship Id="rId158" Type="http://schemas.openxmlformats.org/officeDocument/2006/relationships/hyperlink" Target="https://app.clickup.com/t/86aj7bx9v" TargetMode="External"/><Relationship Id="rId302" Type="http://schemas.openxmlformats.org/officeDocument/2006/relationships/hyperlink" Target="https://app.clickup.com/t/17tpepcptzx" TargetMode="External"/><Relationship Id="rId323" Type="http://schemas.openxmlformats.org/officeDocument/2006/relationships/hyperlink" Target="https://app.clickup.com/t/86agc69ak" TargetMode="External"/><Relationship Id="rId344" Type="http://schemas.openxmlformats.org/officeDocument/2006/relationships/hyperlink" Target="https://app.clickup.com/t/86acmwaua" TargetMode="External"/><Relationship Id="rId20" Type="http://schemas.openxmlformats.org/officeDocument/2006/relationships/hyperlink" Target="https://app.clickup.com/t/17tpepcpr27" TargetMode="External"/><Relationship Id="rId41" Type="http://schemas.openxmlformats.org/officeDocument/2006/relationships/hyperlink" Target="https://app.clickup.com/t/17tpepcdm32" TargetMode="External"/><Relationship Id="rId62" Type="http://schemas.openxmlformats.org/officeDocument/2006/relationships/hyperlink" Target="https://app.clickup.com/t/17tpepcgqwv" TargetMode="External"/><Relationship Id="rId83" Type="http://schemas.openxmlformats.org/officeDocument/2006/relationships/hyperlink" Target="https://app.clickup.com/t/17tpepcdm31" TargetMode="External"/><Relationship Id="rId179" Type="http://schemas.openxmlformats.org/officeDocument/2006/relationships/hyperlink" Target="https://app.clickup.com/t/17tpepcmy8d" TargetMode="External"/><Relationship Id="rId365" Type="http://schemas.openxmlformats.org/officeDocument/2006/relationships/hyperlink" Target="https://app.clickup.com/t/86acmxh1v" TargetMode="External"/><Relationship Id="rId386" Type="http://schemas.openxmlformats.org/officeDocument/2006/relationships/hyperlink" Target="https://app.clickup.com/t/86agety10" TargetMode="External"/><Relationship Id="rId190" Type="http://schemas.openxmlformats.org/officeDocument/2006/relationships/hyperlink" Target="https://app.clickup.com/t/86aghkwdz" TargetMode="External"/><Relationship Id="rId204" Type="http://schemas.openxmlformats.org/officeDocument/2006/relationships/hyperlink" Target="https://app.clickup.com/t/86ahht4ef" TargetMode="External"/><Relationship Id="rId225" Type="http://schemas.openxmlformats.org/officeDocument/2006/relationships/hyperlink" Target="https://app.clickup.com/t/86aghkwdk" TargetMode="External"/><Relationship Id="rId246" Type="http://schemas.openxmlformats.org/officeDocument/2006/relationships/hyperlink" Target="https://app.clickup.com/t/86akm8zbd" TargetMode="External"/><Relationship Id="rId267" Type="http://schemas.openxmlformats.org/officeDocument/2006/relationships/hyperlink" Target="https://app.clickup.com/t/17tpepcpu1d" TargetMode="External"/><Relationship Id="rId288" Type="http://schemas.openxmlformats.org/officeDocument/2006/relationships/hyperlink" Target="https://app.clickup.com/t/17tpepcpu27" TargetMode="External"/><Relationship Id="rId106" Type="http://schemas.openxmlformats.org/officeDocument/2006/relationships/hyperlink" Target="https://app.clickup.com/t/17tpepcenr4" TargetMode="External"/><Relationship Id="rId127" Type="http://schemas.openxmlformats.org/officeDocument/2006/relationships/hyperlink" Target="https://app.clickup.com/t/86aj811pt" TargetMode="External"/><Relationship Id="rId313" Type="http://schemas.openxmlformats.org/officeDocument/2006/relationships/hyperlink" Target="https://app.clickup.com/t/86akbfyzr" TargetMode="External"/><Relationship Id="rId10" Type="http://schemas.openxmlformats.org/officeDocument/2006/relationships/hyperlink" Target="https://app.clickup.com/t/17tpepcdama" TargetMode="External"/><Relationship Id="rId31" Type="http://schemas.openxmlformats.org/officeDocument/2006/relationships/hyperlink" Target="https://app.clickup.com/t/17tpepcgkv5" TargetMode="External"/><Relationship Id="rId52" Type="http://schemas.openxmlformats.org/officeDocument/2006/relationships/hyperlink" Target="https://app.clickup.com/t/17tpepcpr2t" TargetMode="External"/><Relationship Id="rId73" Type="http://schemas.openxmlformats.org/officeDocument/2006/relationships/hyperlink" Target="https://app.clickup.com/t/17tpepcghcc" TargetMode="External"/><Relationship Id="rId94" Type="http://schemas.openxmlformats.org/officeDocument/2006/relationships/hyperlink" Target="https://app.clickup.com/t/17tpepcprk8" TargetMode="External"/><Relationship Id="rId148" Type="http://schemas.openxmlformats.org/officeDocument/2006/relationships/hyperlink" Target="https://app.clickup.com/t/17tpepcgtjz" TargetMode="External"/><Relationship Id="rId169" Type="http://schemas.openxmlformats.org/officeDocument/2006/relationships/hyperlink" Target="https://app.clickup.com/t/86ajwdy4c" TargetMode="External"/><Relationship Id="rId334" Type="http://schemas.openxmlformats.org/officeDocument/2006/relationships/hyperlink" Target="https://app.clickup.com/t/86agc64qm" TargetMode="External"/><Relationship Id="rId355" Type="http://schemas.openxmlformats.org/officeDocument/2006/relationships/hyperlink" Target="https://app.clickup.com/t/86acw3r68" TargetMode="External"/><Relationship Id="rId376" Type="http://schemas.openxmlformats.org/officeDocument/2006/relationships/hyperlink" Target="https://app.clickup.com/t/86agem645" TargetMode="External"/><Relationship Id="rId397" Type="http://schemas.openxmlformats.org/officeDocument/2006/relationships/hyperlink" Target="https://app.clickup.com/t/86ah4bxa3" TargetMode="External"/><Relationship Id="rId4" Type="http://schemas.openxmlformats.org/officeDocument/2006/relationships/hyperlink" Target="https://app.clickup.com/t/17tpepcdg1y" TargetMode="External"/><Relationship Id="rId180" Type="http://schemas.openxmlformats.org/officeDocument/2006/relationships/hyperlink" Target="https://app.clickup.com/t/86agehw23" TargetMode="External"/><Relationship Id="rId215" Type="http://schemas.openxmlformats.org/officeDocument/2006/relationships/hyperlink" Target="https://app.clickup.com/t/86ahyehpk" TargetMode="External"/><Relationship Id="rId236" Type="http://schemas.openxmlformats.org/officeDocument/2006/relationships/hyperlink" Target="https://app.clickup.com/t/86aght77a" TargetMode="External"/><Relationship Id="rId257" Type="http://schemas.openxmlformats.org/officeDocument/2006/relationships/hyperlink" Target="https://app.clickup.com/t/86akam4qm" TargetMode="External"/><Relationship Id="rId278" Type="http://schemas.openxmlformats.org/officeDocument/2006/relationships/hyperlink" Target="https://app.clickup.com/t/17tpepcpu1h" TargetMode="External"/><Relationship Id="rId401" Type="http://schemas.openxmlformats.org/officeDocument/2006/relationships/hyperlink" Target="https://app.clickup.com/t/86agem63t" TargetMode="External"/><Relationship Id="rId303" Type="http://schemas.openxmlformats.org/officeDocument/2006/relationships/hyperlink" Target="https://app.clickup.com/t/86akm8zbp" TargetMode="External"/><Relationship Id="rId42" Type="http://schemas.openxmlformats.org/officeDocument/2006/relationships/hyperlink" Target="https://app.clickup.com/t/17tpepcpr29" TargetMode="External"/><Relationship Id="rId84" Type="http://schemas.openxmlformats.org/officeDocument/2006/relationships/hyperlink" Target="https://app.clickup.com/t/17tpepcgkxn" TargetMode="External"/><Relationship Id="rId138" Type="http://schemas.openxmlformats.org/officeDocument/2006/relationships/hyperlink" Target="https://app.clickup.com/t/86ageg95w" TargetMode="External"/><Relationship Id="rId345" Type="http://schemas.openxmlformats.org/officeDocument/2006/relationships/hyperlink" Target="https://app.clickup.com/t/86acmx33z" TargetMode="External"/><Relationship Id="rId387" Type="http://schemas.openxmlformats.org/officeDocument/2006/relationships/hyperlink" Target="https://app.clickup.com/t/86agen7z3" TargetMode="External"/><Relationship Id="rId191" Type="http://schemas.openxmlformats.org/officeDocument/2006/relationships/hyperlink" Target="https://app.clickup.com/t/86ahhrzff" TargetMode="External"/><Relationship Id="rId205" Type="http://schemas.openxmlformats.org/officeDocument/2006/relationships/hyperlink" Target="https://app.clickup.com/t/86ahhve2r" TargetMode="External"/><Relationship Id="rId247" Type="http://schemas.openxmlformats.org/officeDocument/2006/relationships/hyperlink" Target="https://app.clickup.com/t/86aghvmvd" TargetMode="External"/><Relationship Id="rId107" Type="http://schemas.openxmlformats.org/officeDocument/2006/relationships/hyperlink" Target="https://app.clickup.com/t/17tpepcgpg2" TargetMode="External"/><Relationship Id="rId289" Type="http://schemas.openxmlformats.org/officeDocument/2006/relationships/hyperlink" Target="https://app.clickup.com/t/17tpepcpu06" TargetMode="External"/><Relationship Id="rId11" Type="http://schemas.openxmlformats.org/officeDocument/2006/relationships/hyperlink" Target="https://app.clickup.com/t/17tpepcgphp" TargetMode="External"/><Relationship Id="rId53" Type="http://schemas.openxmlformats.org/officeDocument/2006/relationships/hyperlink" Target="https://app.clickup.com/t/17tpepcpr2p" TargetMode="External"/><Relationship Id="rId149" Type="http://schemas.openxmlformats.org/officeDocument/2006/relationships/hyperlink" Target="https://app.clickup.com/t/17tpepcgu8n" TargetMode="External"/><Relationship Id="rId314" Type="http://schemas.openxmlformats.org/officeDocument/2006/relationships/hyperlink" Target="https://app.clickup.com/t/86akbg19u" TargetMode="External"/><Relationship Id="rId356" Type="http://schemas.openxmlformats.org/officeDocument/2006/relationships/hyperlink" Target="https://app.clickup.com/t/86acmxhx0" TargetMode="External"/><Relationship Id="rId398" Type="http://schemas.openxmlformats.org/officeDocument/2006/relationships/hyperlink" Target="https://app.clickup.com/t/86ah4bx9a" TargetMode="External"/><Relationship Id="rId95" Type="http://schemas.openxmlformats.org/officeDocument/2006/relationships/hyperlink" Target="https://app.clickup.com/t/17tpepcghcd" TargetMode="External"/><Relationship Id="rId160" Type="http://schemas.openxmlformats.org/officeDocument/2006/relationships/hyperlink" Target="https://app.clickup.com/t/86agchn8u" TargetMode="External"/><Relationship Id="rId216" Type="http://schemas.openxmlformats.org/officeDocument/2006/relationships/hyperlink" Target="https://app.clickup.com/t/86ahyemht" TargetMode="External"/><Relationship Id="rId258" Type="http://schemas.openxmlformats.org/officeDocument/2006/relationships/hyperlink" Target="https://app.clickup.com/t/86akam2dc" TargetMode="External"/><Relationship Id="rId22" Type="http://schemas.openxmlformats.org/officeDocument/2006/relationships/hyperlink" Target="https://app.clickup.com/t/17tpepcdaee" TargetMode="External"/><Relationship Id="rId64" Type="http://schemas.openxmlformats.org/officeDocument/2006/relationships/hyperlink" Target="https://app.clickup.com/t/17tpepcgq9c" TargetMode="External"/><Relationship Id="rId118" Type="http://schemas.openxmlformats.org/officeDocument/2006/relationships/hyperlink" Target="https://app.clickup.com/t/86agzka6x" TargetMode="External"/><Relationship Id="rId325" Type="http://schemas.openxmlformats.org/officeDocument/2006/relationships/hyperlink" Target="https://app.clickup.com/t/86aj7b0uu" TargetMode="External"/><Relationship Id="rId367" Type="http://schemas.openxmlformats.org/officeDocument/2006/relationships/hyperlink" Target="https://app.clickup.com/t/86ahfaxw1" TargetMode="External"/><Relationship Id="rId171" Type="http://schemas.openxmlformats.org/officeDocument/2006/relationships/hyperlink" Target="https://app.clickup.com/t/17tpepcmy78" TargetMode="External"/><Relationship Id="rId227" Type="http://schemas.openxmlformats.org/officeDocument/2006/relationships/hyperlink" Target="https://app.clickup.com/t/86agnyuvb" TargetMode="External"/><Relationship Id="rId269" Type="http://schemas.openxmlformats.org/officeDocument/2006/relationships/hyperlink" Target="https://app.clickup.com/t/86akm8zby" TargetMode="External"/><Relationship Id="rId33" Type="http://schemas.openxmlformats.org/officeDocument/2006/relationships/hyperlink" Target="https://app.clickup.com/t/17tpepcpr24" TargetMode="External"/><Relationship Id="rId129" Type="http://schemas.openxmlformats.org/officeDocument/2006/relationships/hyperlink" Target="https://app.clickup.com/t/86aj7etg3" TargetMode="External"/><Relationship Id="rId280" Type="http://schemas.openxmlformats.org/officeDocument/2006/relationships/hyperlink" Target="https://app.clickup.com/t/17tpepcpu1w" TargetMode="External"/><Relationship Id="rId336" Type="http://schemas.openxmlformats.org/officeDocument/2006/relationships/hyperlink" Target="https://app.clickup.com/t/86acmx0ez" TargetMode="External"/><Relationship Id="rId75" Type="http://schemas.openxmlformats.org/officeDocument/2006/relationships/hyperlink" Target="https://app.clickup.com/t/17tpepcenrn" TargetMode="External"/><Relationship Id="rId140" Type="http://schemas.openxmlformats.org/officeDocument/2006/relationships/hyperlink" Target="https://app.clickup.com/t/86ahcknza" TargetMode="External"/><Relationship Id="rId182" Type="http://schemas.openxmlformats.org/officeDocument/2006/relationships/hyperlink" Target="https://app.clickup.com/t/86ajbuubr" TargetMode="External"/><Relationship Id="rId378" Type="http://schemas.openxmlformats.org/officeDocument/2006/relationships/hyperlink" Target="https://app.clickup.com/t/86aget0gr" TargetMode="External"/><Relationship Id="rId6" Type="http://schemas.openxmlformats.org/officeDocument/2006/relationships/hyperlink" Target="https://app.clickup.com/t/17tpepcgq44" TargetMode="External"/><Relationship Id="rId238" Type="http://schemas.openxmlformats.org/officeDocument/2006/relationships/hyperlink" Target="https://app.clickup.com/t/86aj81twh" TargetMode="External"/><Relationship Id="rId291" Type="http://schemas.openxmlformats.org/officeDocument/2006/relationships/hyperlink" Target="https://app.clickup.com/t/17tpepcpu18" TargetMode="External"/><Relationship Id="rId305" Type="http://schemas.openxmlformats.org/officeDocument/2006/relationships/hyperlink" Target="https://app.clickup.com/t/17tpepcpu1y" TargetMode="External"/><Relationship Id="rId347" Type="http://schemas.openxmlformats.org/officeDocument/2006/relationships/hyperlink" Target="https://app.clickup.com/t/86aeukbv3" TargetMode="External"/><Relationship Id="rId44" Type="http://schemas.openxmlformats.org/officeDocument/2006/relationships/hyperlink" Target="https://app.clickup.com/t/17tpepcpr2r" TargetMode="External"/><Relationship Id="rId86" Type="http://schemas.openxmlformats.org/officeDocument/2006/relationships/hyperlink" Target="https://app.clickup.com/t/17tpepcprj0" TargetMode="External"/><Relationship Id="rId151" Type="http://schemas.openxmlformats.org/officeDocument/2006/relationships/hyperlink" Target="https://app.clickup.com/t/86agdxfag" TargetMode="External"/><Relationship Id="rId389" Type="http://schemas.openxmlformats.org/officeDocument/2006/relationships/hyperlink" Target="https://app.clickup.com/t/86agerve7" TargetMode="External"/><Relationship Id="rId193" Type="http://schemas.openxmlformats.org/officeDocument/2006/relationships/hyperlink" Target="https://app.clickup.com/t/86aghjy4w" TargetMode="External"/><Relationship Id="rId207" Type="http://schemas.openxmlformats.org/officeDocument/2006/relationships/hyperlink" Target="https://app.clickup.com/t/86ahyegjk" TargetMode="External"/><Relationship Id="rId249" Type="http://schemas.openxmlformats.org/officeDocument/2006/relationships/hyperlink" Target="https://app.clickup.com/t/86akm8zd0" TargetMode="External"/><Relationship Id="rId13" Type="http://schemas.openxmlformats.org/officeDocument/2006/relationships/hyperlink" Target="https://app.clickup.com/t/17tpepcdk0n" TargetMode="External"/><Relationship Id="rId109" Type="http://schemas.openxmlformats.org/officeDocument/2006/relationships/hyperlink" Target="https://app.clickup.com/t/86agjaf19" TargetMode="External"/><Relationship Id="rId260" Type="http://schemas.openxmlformats.org/officeDocument/2006/relationships/hyperlink" Target="https://app.clickup.com/t/17tpepcddc7" TargetMode="External"/><Relationship Id="rId316" Type="http://schemas.openxmlformats.org/officeDocument/2006/relationships/hyperlink" Target="https://app.clickup.com/t/86aghpd1m" TargetMode="External"/><Relationship Id="rId55" Type="http://schemas.openxmlformats.org/officeDocument/2006/relationships/hyperlink" Target="https://app.clickup.com/t/17tpepcgkp5" TargetMode="External"/><Relationship Id="rId97" Type="http://schemas.openxmlformats.org/officeDocument/2006/relationships/hyperlink" Target="https://app.clickup.com/t/17tpepcent0" TargetMode="External"/><Relationship Id="rId120" Type="http://schemas.openxmlformats.org/officeDocument/2006/relationships/hyperlink" Target="https://app.clickup.com/t/86aj0bje9" TargetMode="External"/><Relationship Id="rId358" Type="http://schemas.openxmlformats.org/officeDocument/2006/relationships/hyperlink" Target="https://app.clickup.com/t/86acmx2h4" TargetMode="External"/><Relationship Id="rId162" Type="http://schemas.openxmlformats.org/officeDocument/2006/relationships/hyperlink" Target="https://app.clickup.com/t/86ak8xk00" TargetMode="External"/><Relationship Id="rId218" Type="http://schemas.openxmlformats.org/officeDocument/2006/relationships/hyperlink" Target="https://app.clickup.com/t/86ahyee99" TargetMode="External"/><Relationship Id="rId271" Type="http://schemas.openxmlformats.org/officeDocument/2006/relationships/hyperlink" Target="https://app.clickup.com/t/86akm8w6a" TargetMode="External"/><Relationship Id="rId24" Type="http://schemas.openxmlformats.org/officeDocument/2006/relationships/hyperlink" Target="https://app.clickup.com/t/17tpepcpr26" TargetMode="External"/><Relationship Id="rId66" Type="http://schemas.openxmlformats.org/officeDocument/2006/relationships/hyperlink" Target="https://app.clickup.com/t/17tpepcgpg1" TargetMode="External"/><Relationship Id="rId131" Type="http://schemas.openxmlformats.org/officeDocument/2006/relationships/hyperlink" Target="https://app.clickup.com/t/86aj7cq1g" TargetMode="External"/><Relationship Id="rId327" Type="http://schemas.openxmlformats.org/officeDocument/2006/relationships/hyperlink" Target="https://app.clickup.com/t/17tpepcgwrv" TargetMode="External"/><Relationship Id="rId369" Type="http://schemas.openxmlformats.org/officeDocument/2006/relationships/hyperlink" Target="https://app.clickup.com/t/86agen80g" TargetMode="External"/><Relationship Id="rId173" Type="http://schemas.openxmlformats.org/officeDocument/2006/relationships/hyperlink" Target="https://app.clickup.com/t/86agdwca5" TargetMode="External"/><Relationship Id="rId229" Type="http://schemas.openxmlformats.org/officeDocument/2006/relationships/hyperlink" Target="https://app.clickup.com/t/86aghm6g1" TargetMode="External"/><Relationship Id="rId380" Type="http://schemas.openxmlformats.org/officeDocument/2006/relationships/hyperlink" Target="https://app.clickup.com/t/86aghmk4x" TargetMode="External"/><Relationship Id="rId240" Type="http://schemas.openxmlformats.org/officeDocument/2006/relationships/hyperlink" Target="https://app.clickup.com/t/86akm8zdm" TargetMode="External"/><Relationship Id="rId35" Type="http://schemas.openxmlformats.org/officeDocument/2006/relationships/hyperlink" Target="https://app.clickup.com/t/17tpepcdg20" TargetMode="External"/><Relationship Id="rId77" Type="http://schemas.openxmlformats.org/officeDocument/2006/relationships/hyperlink" Target="https://app.clickup.com/t/17tpepcprk9" TargetMode="External"/><Relationship Id="rId100" Type="http://schemas.openxmlformats.org/officeDocument/2006/relationships/hyperlink" Target="https://app.clickup.com/t/17tpepcprj8" TargetMode="External"/><Relationship Id="rId282" Type="http://schemas.openxmlformats.org/officeDocument/2006/relationships/hyperlink" Target="https://app.clickup.com/t/17tpepcpu1c" TargetMode="External"/><Relationship Id="rId338" Type="http://schemas.openxmlformats.org/officeDocument/2006/relationships/hyperlink" Target="https://app.clickup.com/t/86acmxgff" TargetMode="External"/><Relationship Id="rId8" Type="http://schemas.openxmlformats.org/officeDocument/2006/relationships/hyperlink" Target="https://app.clickup.com/t/17tpepcgphn" TargetMode="External"/><Relationship Id="rId142" Type="http://schemas.openxmlformats.org/officeDocument/2006/relationships/hyperlink" Target="https://app.clickup.com/t/17tpepcgtv4" TargetMode="External"/><Relationship Id="rId184" Type="http://schemas.openxmlformats.org/officeDocument/2006/relationships/hyperlink" Target="https://app.clickup.com/t/86ahckp1u" TargetMode="External"/><Relationship Id="rId391" Type="http://schemas.openxmlformats.org/officeDocument/2006/relationships/hyperlink" Target="https://app.clickup.com/t/86agy1hhy" TargetMode="External"/><Relationship Id="rId251" Type="http://schemas.openxmlformats.org/officeDocument/2006/relationships/hyperlink" Target="https://app.clickup.com/t/86akm8zbq" TargetMode="External"/><Relationship Id="rId46" Type="http://schemas.openxmlformats.org/officeDocument/2006/relationships/hyperlink" Target="https://app.clickup.com/t/17tpepcgkmf" TargetMode="External"/><Relationship Id="rId293" Type="http://schemas.openxmlformats.org/officeDocument/2006/relationships/hyperlink" Target="https://app.clickup.com/t/86akm8zbz" TargetMode="External"/><Relationship Id="rId307" Type="http://schemas.openxmlformats.org/officeDocument/2006/relationships/hyperlink" Target="https://app.clickup.com/t/86aghvmuw" TargetMode="External"/><Relationship Id="rId349" Type="http://schemas.openxmlformats.org/officeDocument/2006/relationships/hyperlink" Target="https://app.clickup.com/t/86acvxch7" TargetMode="External"/><Relationship Id="rId88" Type="http://schemas.openxmlformats.org/officeDocument/2006/relationships/hyperlink" Target="https://app.clickup.com/t/17tpepcgqxk" TargetMode="External"/><Relationship Id="rId111" Type="http://schemas.openxmlformats.org/officeDocument/2006/relationships/hyperlink" Target="https://app.clickup.com/t/86ah20vy7" TargetMode="External"/><Relationship Id="rId153" Type="http://schemas.openxmlformats.org/officeDocument/2006/relationships/hyperlink" Target="https://app.clickup.com/t/86agva5rp" TargetMode="External"/><Relationship Id="rId195" Type="http://schemas.openxmlformats.org/officeDocument/2006/relationships/hyperlink" Target="https://app.clickup.com/t/86aghjnhg" TargetMode="External"/><Relationship Id="rId209" Type="http://schemas.openxmlformats.org/officeDocument/2006/relationships/hyperlink" Target="https://app.clickup.com/t/86ahyehpf" TargetMode="External"/><Relationship Id="rId360" Type="http://schemas.openxmlformats.org/officeDocument/2006/relationships/hyperlink" Target="https://app.clickup.com/t/86adg6wjx" TargetMode="External"/><Relationship Id="rId220" Type="http://schemas.openxmlformats.org/officeDocument/2006/relationships/hyperlink" Target="https://app.clickup.com/t/86ahxbnff" TargetMode="External"/><Relationship Id="rId15" Type="http://schemas.openxmlformats.org/officeDocument/2006/relationships/hyperlink" Target="https://app.clickup.com/t/17tpepcep4z" TargetMode="External"/><Relationship Id="rId57" Type="http://schemas.openxmlformats.org/officeDocument/2006/relationships/hyperlink" Target="https://app.clickup.com/t/17tpepcpr25" TargetMode="External"/><Relationship Id="rId262" Type="http://schemas.openxmlformats.org/officeDocument/2006/relationships/hyperlink" Target="https://app.clickup.com/t/86akm8zdz" TargetMode="External"/><Relationship Id="rId318" Type="http://schemas.openxmlformats.org/officeDocument/2006/relationships/hyperlink" Target="https://app.clickup.com/t/17tpepcpuv6" TargetMode="External"/><Relationship Id="rId99" Type="http://schemas.openxmlformats.org/officeDocument/2006/relationships/hyperlink" Target="https://app.clickup.com/t/17tpepcgkkw" TargetMode="External"/><Relationship Id="rId122" Type="http://schemas.openxmlformats.org/officeDocument/2006/relationships/hyperlink" Target="https://app.clickup.com/t/86aj7bmyp" TargetMode="External"/><Relationship Id="rId164" Type="http://schemas.openxmlformats.org/officeDocument/2006/relationships/hyperlink" Target="https://app.clickup.com/t/86ak8xk3a" TargetMode="External"/><Relationship Id="rId371" Type="http://schemas.openxmlformats.org/officeDocument/2006/relationships/hyperlink" Target="https://app.clickup.com/t/86agetqqx" TargetMode="External"/><Relationship Id="rId26" Type="http://schemas.openxmlformats.org/officeDocument/2006/relationships/hyperlink" Target="https://app.clickup.com/t/17tpepcpr2q" TargetMode="External"/><Relationship Id="rId231" Type="http://schemas.openxmlformats.org/officeDocument/2006/relationships/hyperlink" Target="https://app.clickup.com/t/86aghgbwp" TargetMode="External"/><Relationship Id="rId273" Type="http://schemas.openxmlformats.org/officeDocument/2006/relationships/hyperlink" Target="https://app.clickup.com/t/86akm8zcr" TargetMode="External"/><Relationship Id="rId329" Type="http://schemas.openxmlformats.org/officeDocument/2006/relationships/hyperlink" Target="https://app.clickup.com/t/17tpepcqf7n" TargetMode="External"/><Relationship Id="rId68" Type="http://schemas.openxmlformats.org/officeDocument/2006/relationships/hyperlink" Target="https://app.clickup.com/t/17tpepcdahb" TargetMode="External"/><Relationship Id="rId133" Type="http://schemas.openxmlformats.org/officeDocument/2006/relationships/hyperlink" Target="https://app.clickup.com/t/86aj7edg2" TargetMode="External"/><Relationship Id="rId175" Type="http://schemas.openxmlformats.org/officeDocument/2006/relationships/hyperlink" Target="https://app.clickup.com/t/17tpepcgt64" TargetMode="External"/><Relationship Id="rId340" Type="http://schemas.openxmlformats.org/officeDocument/2006/relationships/hyperlink" Target="https://app.clickup.com/t/86acvyp72" TargetMode="External"/><Relationship Id="rId200" Type="http://schemas.openxmlformats.org/officeDocument/2006/relationships/hyperlink" Target="https://app.clickup.com/t/86ahht393" TargetMode="External"/><Relationship Id="rId382" Type="http://schemas.openxmlformats.org/officeDocument/2006/relationships/hyperlink" Target="https://app.clickup.com/t/86aghg2zx" TargetMode="External"/><Relationship Id="rId242" Type="http://schemas.openxmlformats.org/officeDocument/2006/relationships/hyperlink" Target="https://app.clickup.com/t/86akm8ze8" TargetMode="External"/><Relationship Id="rId284" Type="http://schemas.openxmlformats.org/officeDocument/2006/relationships/hyperlink" Target="https://app.clickup.com/t/17tpepcpu1m" TargetMode="External"/><Relationship Id="rId37" Type="http://schemas.openxmlformats.org/officeDocument/2006/relationships/hyperlink" Target="https://app.clickup.com/t/17tpepcdm33" TargetMode="External"/><Relationship Id="rId79" Type="http://schemas.openxmlformats.org/officeDocument/2006/relationships/hyperlink" Target="https://app.clickup.com/t/17tpepcgqy3" TargetMode="External"/><Relationship Id="rId102" Type="http://schemas.openxmlformats.org/officeDocument/2006/relationships/hyperlink" Target="https://app.clickup.com/t/17tpepcprk1" TargetMode="External"/><Relationship Id="rId144" Type="http://schemas.openxmlformats.org/officeDocument/2006/relationships/hyperlink" Target="https://app.clickup.com/t/17tpepcgtk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13"/>
  <sheetViews>
    <sheetView showGridLines="0" topLeftCell="A11" workbookViewId="0"/>
  </sheetViews>
  <sheetFormatPr defaultRowHeight="14.4" x14ac:dyDescent="0.3"/>
  <cols>
    <col min="1" max="1" width="3" customWidth="1"/>
    <col min="2" max="2" width="30" customWidth="1"/>
    <col min="3" max="3" width="105" customWidth="1"/>
  </cols>
  <sheetData>
    <row r="2" spans="2:3" ht="17.399999999999999" x14ac:dyDescent="0.3">
      <c r="B2" s="1" t="s">
        <v>0</v>
      </c>
    </row>
    <row r="3" spans="2:3" ht="52.8" x14ac:dyDescent="0.3">
      <c r="B3" s="2" t="s">
        <v>1</v>
      </c>
    </row>
    <row r="5" spans="2:3" ht="30" customHeight="1" x14ac:dyDescent="0.3">
      <c r="B5" s="3" t="s">
        <v>2</v>
      </c>
      <c r="C5" s="4" t="s">
        <v>3</v>
      </c>
    </row>
    <row r="6" spans="2:3" ht="30" customHeight="1" x14ac:dyDescent="0.3">
      <c r="B6" s="3" t="s">
        <v>4</v>
      </c>
      <c r="C6" s="4" t="s">
        <v>5</v>
      </c>
    </row>
    <row r="7" spans="2:3" ht="150" customHeight="1" x14ac:dyDescent="0.3">
      <c r="B7" s="3" t="s">
        <v>6</v>
      </c>
      <c r="C7" s="4" t="s">
        <v>7</v>
      </c>
    </row>
    <row r="8" spans="2:3" ht="90" customHeight="1" x14ac:dyDescent="0.3">
      <c r="B8" s="3" t="s">
        <v>8</v>
      </c>
      <c r="C8" s="4" t="s">
        <v>9</v>
      </c>
    </row>
    <row r="9" spans="2:3" ht="60" customHeight="1" x14ac:dyDescent="0.3">
      <c r="B9" s="3" t="s">
        <v>10</v>
      </c>
      <c r="C9" s="4" t="s">
        <v>11</v>
      </c>
    </row>
    <row r="10" spans="2:3" ht="45" customHeight="1" x14ac:dyDescent="0.3">
      <c r="B10" s="3" t="s">
        <v>12</v>
      </c>
      <c r="C10" s="4" t="s">
        <v>13</v>
      </c>
    </row>
    <row r="11" spans="2:3" ht="45" customHeight="1" x14ac:dyDescent="0.3">
      <c r="B11" s="3" t="s">
        <v>14</v>
      </c>
      <c r="C11" s="4" t="s">
        <v>15</v>
      </c>
    </row>
    <row r="12" spans="2:3" ht="30" customHeight="1" x14ac:dyDescent="0.3">
      <c r="B12" s="3" t="s">
        <v>16</v>
      </c>
      <c r="C12" s="4" t="s">
        <v>17</v>
      </c>
    </row>
    <row r="13" spans="2:3" ht="30" customHeight="1" x14ac:dyDescent="0.3">
      <c r="B13" s="3" t="s">
        <v>18</v>
      </c>
      <c r="C13" s="4"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5"/>
  <sheetViews>
    <sheetView showGridLines="0" topLeftCell="A8" workbookViewId="0"/>
  </sheetViews>
  <sheetFormatPr defaultRowHeight="14.4" x14ac:dyDescent="0.3"/>
  <cols>
    <col min="1" max="1" width="30" customWidth="1"/>
    <col min="2" max="2" width="44" customWidth="1"/>
    <col min="3" max="3" width="11" customWidth="1"/>
    <col min="4" max="8" width="30" customWidth="1"/>
  </cols>
  <sheetData>
    <row r="1" spans="1:8" ht="17.399999999999999" x14ac:dyDescent="0.3">
      <c r="A1" s="1" t="s">
        <v>20</v>
      </c>
    </row>
    <row r="2" spans="1:8" ht="39.6" x14ac:dyDescent="0.3">
      <c r="A2" s="2" t="s">
        <v>21</v>
      </c>
    </row>
    <row r="4" spans="1:8" x14ac:dyDescent="0.3">
      <c r="A4" s="5" t="s">
        <v>22</v>
      </c>
      <c r="B4" s="5" t="s">
        <v>23</v>
      </c>
      <c r="C4" s="5" t="s">
        <v>24</v>
      </c>
      <c r="D4" s="5" t="s">
        <v>25</v>
      </c>
      <c r="E4" s="5" t="s">
        <v>26</v>
      </c>
      <c r="F4" s="5" t="s">
        <v>27</v>
      </c>
      <c r="G4" s="5" t="s">
        <v>28</v>
      </c>
      <c r="H4" s="5" t="s">
        <v>29</v>
      </c>
    </row>
    <row r="5" spans="1:8" ht="58.05" customHeight="1" x14ac:dyDescent="0.3">
      <c r="A5" s="3" t="s">
        <v>30</v>
      </c>
      <c r="B5" s="4" t="s">
        <v>31</v>
      </c>
      <c r="C5" s="6">
        <v>30</v>
      </c>
      <c r="D5" s="4" t="s">
        <v>32</v>
      </c>
      <c r="E5" s="4" t="s">
        <v>33</v>
      </c>
      <c r="F5" s="4" t="s">
        <v>34</v>
      </c>
      <c r="G5" s="4" t="s">
        <v>35</v>
      </c>
      <c r="H5" s="4" t="s">
        <v>36</v>
      </c>
    </row>
    <row r="6" spans="1:8" ht="58.05" customHeight="1" x14ac:dyDescent="0.3">
      <c r="A6" s="3" t="s">
        <v>37</v>
      </c>
      <c r="B6" s="4" t="s">
        <v>38</v>
      </c>
      <c r="C6" s="6">
        <v>20</v>
      </c>
      <c r="D6" s="4" t="s">
        <v>39</v>
      </c>
      <c r="E6" s="4" t="s">
        <v>40</v>
      </c>
      <c r="F6" s="4" t="s">
        <v>41</v>
      </c>
      <c r="G6" s="4" t="s">
        <v>42</v>
      </c>
      <c r="H6" s="4" t="s">
        <v>43</v>
      </c>
    </row>
    <row r="7" spans="1:8" ht="58.05" customHeight="1" x14ac:dyDescent="0.3">
      <c r="A7" s="3" t="s">
        <v>44</v>
      </c>
      <c r="B7" s="4" t="s">
        <v>45</v>
      </c>
      <c r="C7" s="6">
        <v>20</v>
      </c>
      <c r="D7" s="4" t="s">
        <v>46</v>
      </c>
      <c r="E7" s="4" t="s">
        <v>47</v>
      </c>
      <c r="F7" s="4" t="s">
        <v>48</v>
      </c>
      <c r="G7" s="4" t="s">
        <v>49</v>
      </c>
      <c r="H7" s="4" t="s">
        <v>50</v>
      </c>
    </row>
    <row r="8" spans="1:8" ht="58.05" customHeight="1" x14ac:dyDescent="0.3">
      <c r="A8" s="3" t="s">
        <v>51</v>
      </c>
      <c r="B8" s="4" t="s">
        <v>52</v>
      </c>
      <c r="C8" s="6">
        <v>15</v>
      </c>
      <c r="D8" s="4" t="s">
        <v>53</v>
      </c>
      <c r="E8" s="4" t="s">
        <v>54</v>
      </c>
      <c r="F8" s="4" t="s">
        <v>55</v>
      </c>
      <c r="G8" s="4" t="s">
        <v>56</v>
      </c>
      <c r="H8" s="4" t="s">
        <v>57</v>
      </c>
    </row>
    <row r="9" spans="1:8" ht="58.05" customHeight="1" x14ac:dyDescent="0.3">
      <c r="A9" s="3" t="s">
        <v>58</v>
      </c>
      <c r="B9" s="4" t="s">
        <v>59</v>
      </c>
      <c r="C9" s="6">
        <v>15</v>
      </c>
      <c r="D9" s="4" t="s">
        <v>60</v>
      </c>
      <c r="E9" s="4" t="s">
        <v>61</v>
      </c>
      <c r="F9" s="4" t="s">
        <v>62</v>
      </c>
      <c r="G9" s="4" t="s">
        <v>63</v>
      </c>
      <c r="H9" s="4" t="s">
        <v>64</v>
      </c>
    </row>
    <row r="10" spans="1:8" x14ac:dyDescent="0.3">
      <c r="A10" s="7" t="s">
        <v>65</v>
      </c>
      <c r="B10" s="8" t="str">
        <f>IF(C10=100,"Soma correta (100%)","ATENÇÃO: os pesos devem somar 100")</f>
        <v>Soma correta (100%)</v>
      </c>
      <c r="C10" s="9">
        <f>SUM(C5:C9)</f>
        <v>100</v>
      </c>
    </row>
    <row r="12" spans="1:8" ht="45" customHeight="1" x14ac:dyDescent="0.3">
      <c r="A12" s="3" t="s">
        <v>66</v>
      </c>
      <c r="B12" s="4" t="s">
        <v>67</v>
      </c>
      <c r="C12" s="10" t="s">
        <v>68</v>
      </c>
      <c r="D12" s="4" t="s">
        <v>69</v>
      </c>
      <c r="E12" s="4" t="s">
        <v>70</v>
      </c>
      <c r="F12" s="4" t="s">
        <v>71</v>
      </c>
      <c r="G12" s="4" t="s">
        <v>72</v>
      </c>
      <c r="H12" s="4" t="s">
        <v>73</v>
      </c>
    </row>
    <row r="14" spans="1:8" x14ac:dyDescent="0.3">
      <c r="A14" s="11" t="s">
        <v>74</v>
      </c>
    </row>
    <row r="15" spans="1:8" ht="26.4" x14ac:dyDescent="0.3">
      <c r="A15" s="5" t="s">
        <v>75</v>
      </c>
      <c r="B15" s="5" t="s">
        <v>76</v>
      </c>
      <c r="C15" s="5" t="s">
        <v>77</v>
      </c>
    </row>
    <row r="16" spans="1:8" x14ac:dyDescent="0.3">
      <c r="A16" s="3" t="s">
        <v>78</v>
      </c>
      <c r="B16" s="4" t="s">
        <v>79</v>
      </c>
      <c r="C16" s="12">
        <v>0</v>
      </c>
    </row>
    <row r="17" spans="1:3" x14ac:dyDescent="0.3">
      <c r="A17" s="3" t="s">
        <v>80</v>
      </c>
      <c r="B17" s="4" t="s">
        <v>81</v>
      </c>
      <c r="C17" s="13">
        <v>2.5</v>
      </c>
    </row>
    <row r="18" spans="1:3" x14ac:dyDescent="0.3">
      <c r="A18" s="3" t="s">
        <v>82</v>
      </c>
      <c r="B18" s="4" t="s">
        <v>83</v>
      </c>
      <c r="C18" s="13">
        <v>3.3</v>
      </c>
    </row>
    <row r="19" spans="1:3" x14ac:dyDescent="0.3">
      <c r="A19" s="3" t="s">
        <v>84</v>
      </c>
      <c r="B19" s="4" t="s">
        <v>85</v>
      </c>
      <c r="C19" s="13">
        <v>4</v>
      </c>
    </row>
    <row r="21" spans="1:3" ht="26.4" x14ac:dyDescent="0.3">
      <c r="A21" s="11" t="s">
        <v>86</v>
      </c>
    </row>
    <row r="22" spans="1:3" ht="26.4" x14ac:dyDescent="0.3">
      <c r="A22" s="5" t="s">
        <v>87</v>
      </c>
      <c r="B22" s="5" t="s">
        <v>88</v>
      </c>
      <c r="C22" s="5" t="s">
        <v>89</v>
      </c>
    </row>
    <row r="23" spans="1:3" x14ac:dyDescent="0.3">
      <c r="A23" s="3" t="s">
        <v>90</v>
      </c>
      <c r="B23" s="4" t="s">
        <v>91</v>
      </c>
      <c r="C23" s="6">
        <v>3</v>
      </c>
    </row>
    <row r="24" spans="1:3" x14ac:dyDescent="0.3">
      <c r="A24" s="3" t="s">
        <v>92</v>
      </c>
      <c r="B24" s="4" t="s">
        <v>93</v>
      </c>
      <c r="C24" s="6">
        <v>4</v>
      </c>
    </row>
    <row r="26" spans="1:3" ht="26.4" x14ac:dyDescent="0.3">
      <c r="A26" s="11" t="s">
        <v>94</v>
      </c>
    </row>
    <row r="27" spans="1:3" x14ac:dyDescent="0.3">
      <c r="A27" s="5" t="s">
        <v>95</v>
      </c>
      <c r="B27" s="5" t="s">
        <v>96</v>
      </c>
      <c r="C27" s="5" t="s">
        <v>97</v>
      </c>
    </row>
    <row r="28" spans="1:3" ht="40.049999999999997" customHeight="1" x14ac:dyDescent="0.3">
      <c r="A28" s="3" t="s">
        <v>98</v>
      </c>
      <c r="B28" s="4" t="s">
        <v>99</v>
      </c>
      <c r="C28" s="14">
        <v>0.3</v>
      </c>
    </row>
    <row r="29" spans="1:3" ht="40.049999999999997" customHeight="1" x14ac:dyDescent="0.3">
      <c r="A29" s="3" t="s">
        <v>100</v>
      </c>
      <c r="B29" s="4" t="s">
        <v>101</v>
      </c>
      <c r="C29" s="14">
        <v>0</v>
      </c>
    </row>
    <row r="30" spans="1:3" ht="40.049999999999997" customHeight="1" x14ac:dyDescent="0.3">
      <c r="A30" s="3" t="s">
        <v>102</v>
      </c>
      <c r="B30" s="4" t="s">
        <v>103</v>
      </c>
      <c r="C30" s="14">
        <v>0</v>
      </c>
    </row>
    <row r="31" spans="1:3" ht="40.049999999999997" customHeight="1" x14ac:dyDescent="0.3">
      <c r="A31" s="3" t="s">
        <v>104</v>
      </c>
      <c r="B31" s="4" t="s">
        <v>105</v>
      </c>
      <c r="C31" s="14">
        <v>0</v>
      </c>
    </row>
    <row r="32" spans="1:3" ht="40.049999999999997" customHeight="1" x14ac:dyDescent="0.3">
      <c r="A32" s="3" t="s">
        <v>106</v>
      </c>
      <c r="B32" s="4" t="s">
        <v>107</v>
      </c>
      <c r="C32" s="14">
        <v>-0.2</v>
      </c>
    </row>
    <row r="33" spans="1:3" ht="40.049999999999997" customHeight="1" x14ac:dyDescent="0.3">
      <c r="A33" s="3" t="s">
        <v>108</v>
      </c>
      <c r="B33" s="4" t="s">
        <v>109</v>
      </c>
      <c r="C33" s="14">
        <v>-0.3</v>
      </c>
    </row>
    <row r="35" spans="1:3" ht="66" x14ac:dyDescent="0.3">
      <c r="A35" s="2" t="s">
        <v>110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7"/>
  <sheetViews>
    <sheetView showGridLines="0" topLeftCell="A15" workbookViewId="0"/>
  </sheetViews>
  <sheetFormatPr defaultRowHeight="14.4" x14ac:dyDescent="0.3"/>
  <cols>
    <col min="1" max="1" width="28" customWidth="1"/>
    <col min="2" max="3" width="13" customWidth="1"/>
    <col min="4" max="4" width="16" customWidth="1"/>
    <col min="5" max="6" width="10" customWidth="1"/>
    <col min="7" max="7" width="70" customWidth="1"/>
  </cols>
  <sheetData>
    <row r="1" spans="1:7" ht="17.399999999999999" x14ac:dyDescent="0.3">
      <c r="A1" s="1" t="s">
        <v>111</v>
      </c>
    </row>
    <row r="2" spans="1:7" ht="66" x14ac:dyDescent="0.3">
      <c r="A2" s="2" t="s">
        <v>112</v>
      </c>
    </row>
    <row r="4" spans="1:7" x14ac:dyDescent="0.3">
      <c r="A4" s="3" t="s">
        <v>113</v>
      </c>
      <c r="B4" s="15">
        <v>0.9</v>
      </c>
    </row>
    <row r="5" spans="1:7" x14ac:dyDescent="0.3">
      <c r="A5" s="3" t="s">
        <v>114</v>
      </c>
      <c r="B5" s="15">
        <v>1.1000000000000001</v>
      </c>
    </row>
    <row r="7" spans="1:7" ht="26.4" x14ac:dyDescent="0.3">
      <c r="A7" s="5" t="s">
        <v>115</v>
      </c>
      <c r="B7" s="5" t="s">
        <v>116</v>
      </c>
      <c r="C7" s="5" t="s">
        <v>117</v>
      </c>
      <c r="D7" s="5" t="s">
        <v>118</v>
      </c>
      <c r="E7" s="5" t="s">
        <v>119</v>
      </c>
      <c r="F7" s="5" t="s">
        <v>120</v>
      </c>
      <c r="G7" s="5" t="s">
        <v>121</v>
      </c>
    </row>
    <row r="8" spans="1:7" ht="30" customHeight="1" x14ac:dyDescent="0.3">
      <c r="A8" s="3" t="s">
        <v>122</v>
      </c>
      <c r="B8" s="6">
        <v>5</v>
      </c>
      <c r="C8" s="6">
        <v>5</v>
      </c>
      <c r="D8" s="6">
        <v>5</v>
      </c>
      <c r="E8" s="16">
        <f t="shared" ref="E8:E17" si="0">ROUND(AVERAGE(B8:D8),2)</f>
        <v>5</v>
      </c>
      <c r="F8" s="17">
        <f t="shared" ref="F8:F17" si="1">ROUND($B$4+($B$5-$B$4)*(E8-1)/4,3)</f>
        <v>1.1000000000000001</v>
      </c>
      <c r="G8" s="4" t="s">
        <v>123</v>
      </c>
    </row>
    <row r="9" spans="1:7" ht="30" customHeight="1" x14ac:dyDescent="0.3">
      <c r="A9" s="3" t="s">
        <v>124</v>
      </c>
      <c r="B9" s="6">
        <v>5</v>
      </c>
      <c r="C9" s="6">
        <v>5</v>
      </c>
      <c r="D9" s="6">
        <v>5</v>
      </c>
      <c r="E9" s="16">
        <f t="shared" si="0"/>
        <v>5</v>
      </c>
      <c r="F9" s="17">
        <f t="shared" si="1"/>
        <v>1.1000000000000001</v>
      </c>
      <c r="G9" s="4" t="s">
        <v>125</v>
      </c>
    </row>
    <row r="10" spans="1:7" ht="30" customHeight="1" x14ac:dyDescent="0.3">
      <c r="A10" s="3" t="s">
        <v>126</v>
      </c>
      <c r="B10" s="6">
        <v>5</v>
      </c>
      <c r="C10" s="6">
        <v>5</v>
      </c>
      <c r="D10" s="6">
        <v>4</v>
      </c>
      <c r="E10" s="16">
        <f t="shared" si="0"/>
        <v>4.67</v>
      </c>
      <c r="F10" s="17">
        <f t="shared" si="1"/>
        <v>1.0840000000000001</v>
      </c>
      <c r="G10" s="4" t="s">
        <v>127</v>
      </c>
    </row>
    <row r="11" spans="1:7" ht="30" customHeight="1" x14ac:dyDescent="0.3">
      <c r="A11" s="3" t="s">
        <v>128</v>
      </c>
      <c r="B11" s="6">
        <v>5</v>
      </c>
      <c r="C11" s="6">
        <v>3</v>
      </c>
      <c r="D11" s="6">
        <v>5</v>
      </c>
      <c r="E11" s="16">
        <f t="shared" si="0"/>
        <v>4.33</v>
      </c>
      <c r="F11" s="17">
        <f t="shared" si="1"/>
        <v>1.0669999999999999</v>
      </c>
      <c r="G11" s="4" t="s">
        <v>129</v>
      </c>
    </row>
    <row r="12" spans="1:7" ht="30" customHeight="1" x14ac:dyDescent="0.3">
      <c r="A12" s="3" t="s">
        <v>130</v>
      </c>
      <c r="B12" s="6">
        <v>5</v>
      </c>
      <c r="C12" s="6">
        <v>4</v>
      </c>
      <c r="D12" s="6">
        <v>3</v>
      </c>
      <c r="E12" s="16">
        <f t="shared" si="0"/>
        <v>4</v>
      </c>
      <c r="F12" s="17">
        <f t="shared" si="1"/>
        <v>1.05</v>
      </c>
      <c r="G12" s="4" t="s">
        <v>131</v>
      </c>
    </row>
    <row r="13" spans="1:7" ht="30" customHeight="1" x14ac:dyDescent="0.3">
      <c r="A13" s="3" t="s">
        <v>132</v>
      </c>
      <c r="B13" s="6">
        <v>4</v>
      </c>
      <c r="C13" s="6">
        <v>5</v>
      </c>
      <c r="D13" s="6">
        <v>3</v>
      </c>
      <c r="E13" s="16">
        <f t="shared" si="0"/>
        <v>4</v>
      </c>
      <c r="F13" s="17">
        <f t="shared" si="1"/>
        <v>1.05</v>
      </c>
      <c r="G13" s="4" t="s">
        <v>133</v>
      </c>
    </row>
    <row r="14" spans="1:7" ht="30" customHeight="1" x14ac:dyDescent="0.3">
      <c r="A14" s="3" t="s">
        <v>134</v>
      </c>
      <c r="B14" s="6">
        <v>4</v>
      </c>
      <c r="C14" s="6">
        <v>4</v>
      </c>
      <c r="D14" s="6">
        <v>3</v>
      </c>
      <c r="E14" s="16">
        <f t="shared" si="0"/>
        <v>3.67</v>
      </c>
      <c r="F14" s="17">
        <f t="shared" si="1"/>
        <v>1.034</v>
      </c>
      <c r="G14" s="4" t="s">
        <v>135</v>
      </c>
    </row>
    <row r="15" spans="1:7" ht="30" customHeight="1" x14ac:dyDescent="0.3">
      <c r="A15" s="3" t="s">
        <v>136</v>
      </c>
      <c r="B15" s="6">
        <v>4</v>
      </c>
      <c r="C15" s="6">
        <v>4</v>
      </c>
      <c r="D15" s="6">
        <v>3</v>
      </c>
      <c r="E15" s="16">
        <f t="shared" si="0"/>
        <v>3.67</v>
      </c>
      <c r="F15" s="17">
        <f t="shared" si="1"/>
        <v>1.034</v>
      </c>
      <c r="G15" s="4" t="s">
        <v>137</v>
      </c>
    </row>
    <row r="16" spans="1:7" ht="30" customHeight="1" x14ac:dyDescent="0.3">
      <c r="A16" s="3" t="s">
        <v>138</v>
      </c>
      <c r="B16" s="6">
        <v>4</v>
      </c>
      <c r="C16" s="6">
        <v>3</v>
      </c>
      <c r="D16" s="6">
        <v>3</v>
      </c>
      <c r="E16" s="16">
        <f t="shared" si="0"/>
        <v>3.33</v>
      </c>
      <c r="F16" s="17">
        <f t="shared" si="1"/>
        <v>1.0169999999999999</v>
      </c>
      <c r="G16" s="4" t="s">
        <v>139</v>
      </c>
    </row>
    <row r="17" spans="1:7" ht="30" customHeight="1" x14ac:dyDescent="0.3">
      <c r="A17" s="3" t="s">
        <v>140</v>
      </c>
      <c r="B17" s="6">
        <v>3</v>
      </c>
      <c r="C17" s="6">
        <v>3</v>
      </c>
      <c r="D17" s="6">
        <v>3</v>
      </c>
      <c r="E17" s="16">
        <f t="shared" si="0"/>
        <v>3</v>
      </c>
      <c r="F17" s="17">
        <f t="shared" si="1"/>
        <v>1</v>
      </c>
      <c r="G17" s="4" t="s">
        <v>141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6"/>
  <sheetViews>
    <sheetView showGridLines="0" topLeftCell="A14" workbookViewId="0"/>
  </sheetViews>
  <sheetFormatPr defaultRowHeight="14.4" x14ac:dyDescent="0.3"/>
  <cols>
    <col min="1" max="1" width="30" customWidth="1"/>
    <col min="2" max="7" width="14" customWidth="1"/>
    <col min="8" max="8" width="16" customWidth="1"/>
  </cols>
  <sheetData>
    <row r="1" spans="1:7" ht="17.399999999999999" x14ac:dyDescent="0.3">
      <c r="A1" s="1" t="s">
        <v>142</v>
      </c>
    </row>
    <row r="2" spans="1:7" ht="26.4" x14ac:dyDescent="0.3">
      <c r="A2" s="2" t="s">
        <v>143</v>
      </c>
    </row>
    <row r="4" spans="1:7" x14ac:dyDescent="0.3">
      <c r="A4" s="3" t="s">
        <v>144</v>
      </c>
      <c r="B4" s="9">
        <f>COUNTA(Tarefas!$A$5:$A$405)</f>
        <v>401</v>
      </c>
    </row>
    <row r="5" spans="1:7" x14ac:dyDescent="0.3">
      <c r="A5" s="3" t="s">
        <v>145</v>
      </c>
      <c r="B5" s="9">
        <f>COUNT(Tarefas!$R$5:$R$405)</f>
        <v>12</v>
      </c>
    </row>
    <row r="6" spans="1:7" x14ac:dyDescent="0.3">
      <c r="A6" s="3" t="s">
        <v>146</v>
      </c>
      <c r="B6" s="9">
        <f>B4-B5</f>
        <v>389</v>
      </c>
    </row>
    <row r="8" spans="1:7" ht="26.4" x14ac:dyDescent="0.3">
      <c r="A8" s="5" t="s">
        <v>147</v>
      </c>
      <c r="B8" s="5" t="s">
        <v>148</v>
      </c>
      <c r="C8" s="5" t="s">
        <v>149</v>
      </c>
      <c r="D8" s="5" t="s">
        <v>150</v>
      </c>
      <c r="E8" s="5" t="s">
        <v>151</v>
      </c>
    </row>
    <row r="9" spans="1:7" ht="26.4" x14ac:dyDescent="0.3">
      <c r="A9" s="3" t="s">
        <v>84</v>
      </c>
      <c r="B9" s="10">
        <f>COUNTIF(Tarefas!$T$5:$T$405,4)</f>
        <v>2</v>
      </c>
      <c r="C9" s="18">
        <f>IF($B$5=0,0,B9/$B$5)</f>
        <v>0.16666666666666666</v>
      </c>
      <c r="D9" s="19">
        <v>0.1</v>
      </c>
      <c r="E9" s="10" t="str">
        <f>IF($B$5=0,"—",IF(C9&gt;D9,"Acima da meta: revisar cortes","Dentro da meta"))</f>
        <v>Acima da meta: revisar cortes</v>
      </c>
    </row>
    <row r="10" spans="1:7" ht="26.4" x14ac:dyDescent="0.3">
      <c r="A10" s="3" t="s">
        <v>82</v>
      </c>
      <c r="B10" s="10">
        <f>COUNTIF(Tarefas!$T$5:$T$405,3)</f>
        <v>6</v>
      </c>
      <c r="C10" s="18">
        <f>IF($B$5=0,0,B10/$B$5)</f>
        <v>0.5</v>
      </c>
      <c r="D10" s="19">
        <v>0.25</v>
      </c>
      <c r="E10" s="10" t="str">
        <f>IF($B$5=0,"—",IF(C10&gt;D10,"Acima da meta: revisar cortes","Dentro da meta"))</f>
        <v>Acima da meta: revisar cortes</v>
      </c>
    </row>
    <row r="11" spans="1:7" x14ac:dyDescent="0.3">
      <c r="A11" s="3" t="s">
        <v>80</v>
      </c>
      <c r="B11" s="10">
        <f>COUNTIF(Tarefas!$T$5:$T$405,2)</f>
        <v>2</v>
      </c>
      <c r="C11" s="18">
        <f>IF($B$5=0,0,B11/$B$5)</f>
        <v>0.16666666666666666</v>
      </c>
      <c r="D11" s="10" t="s">
        <v>68</v>
      </c>
      <c r="E11" s="10" t="s">
        <v>68</v>
      </c>
    </row>
    <row r="12" spans="1:7" x14ac:dyDescent="0.3">
      <c r="A12" s="3" t="s">
        <v>78</v>
      </c>
      <c r="B12" s="10">
        <f>COUNTIF(Tarefas!$T$5:$T$405,1)</f>
        <v>2</v>
      </c>
      <c r="C12" s="18">
        <f>IF($B$5=0,0,B12/$B$5)</f>
        <v>0.16666666666666666</v>
      </c>
      <c r="D12" s="10" t="s">
        <v>68</v>
      </c>
      <c r="E12" s="10" t="s">
        <v>68</v>
      </c>
    </row>
    <row r="13" spans="1:7" ht="66" x14ac:dyDescent="0.3">
      <c r="A13" s="2" t="s">
        <v>152</v>
      </c>
    </row>
    <row r="15" spans="1:7" x14ac:dyDescent="0.3">
      <c r="A15" s="5" t="s">
        <v>115</v>
      </c>
      <c r="B15" s="5" t="s">
        <v>153</v>
      </c>
      <c r="C15" s="5" t="s">
        <v>154</v>
      </c>
      <c r="D15" s="5" t="s">
        <v>155</v>
      </c>
      <c r="E15" s="5" t="s">
        <v>156</v>
      </c>
      <c r="F15" s="5" t="s">
        <v>157</v>
      </c>
      <c r="G15" s="5" t="s">
        <v>158</v>
      </c>
    </row>
    <row r="16" spans="1:7" x14ac:dyDescent="0.3">
      <c r="A16" s="3" t="s">
        <v>122</v>
      </c>
      <c r="B16" s="10">
        <f>COUNTIF(Tarefas!$C$5:$C$405,A16)</f>
        <v>16</v>
      </c>
      <c r="C16" s="10">
        <f>COUNTIFS(Tarefas!$C$5:$C$405,A16,Tarefas!$R$5:$R$405,"&gt;0")</f>
        <v>0</v>
      </c>
      <c r="D16" s="10">
        <f>COUNTIFS(Tarefas!$C$5:$C$405,$A16,Tarefas!$T$5:$T$405,4)</f>
        <v>0</v>
      </c>
      <c r="E16" s="10">
        <f>COUNTIFS(Tarefas!$C$5:$C$405,$A16,Tarefas!$T$5:$T$405,3)</f>
        <v>0</v>
      </c>
      <c r="F16" s="10">
        <f>COUNTIFS(Tarefas!$C$5:$C$405,$A16,Tarefas!$T$5:$T$405,2)</f>
        <v>0</v>
      </c>
      <c r="G16" s="10">
        <f>COUNTIFS(Tarefas!$C$5:$C$405,$A16,Tarefas!$T$5:$T$405,1)</f>
        <v>0</v>
      </c>
    </row>
    <row r="17" spans="1:7" x14ac:dyDescent="0.3">
      <c r="A17" s="3" t="s">
        <v>124</v>
      </c>
      <c r="B17" s="10">
        <f>COUNTIF(Tarefas!$C$5:$C$405,A17)</f>
        <v>12</v>
      </c>
      <c r="C17" s="10">
        <f>COUNTIFS(Tarefas!$C$5:$C$405,A17,Tarefas!$R$5:$R$405,"&gt;0")</f>
        <v>0</v>
      </c>
      <c r="D17" s="10">
        <f>COUNTIFS(Tarefas!$C$5:$C$405,$A17,Tarefas!$T$5:$T$405,4)</f>
        <v>0</v>
      </c>
      <c r="E17" s="10">
        <f>COUNTIFS(Tarefas!$C$5:$C$405,$A17,Tarefas!$T$5:$T$405,3)</f>
        <v>0</v>
      </c>
      <c r="F17" s="10">
        <f>COUNTIFS(Tarefas!$C$5:$C$405,$A17,Tarefas!$T$5:$T$405,2)</f>
        <v>0</v>
      </c>
      <c r="G17" s="10">
        <f>COUNTIFS(Tarefas!$C$5:$C$405,$A17,Tarefas!$T$5:$T$405,1)</f>
        <v>0</v>
      </c>
    </row>
    <row r="18" spans="1:7" x14ac:dyDescent="0.3">
      <c r="A18" s="3" t="s">
        <v>126</v>
      </c>
      <c r="B18" s="10">
        <f>COUNTIF(Tarefas!$C$5:$C$405,A18)</f>
        <v>81</v>
      </c>
      <c r="C18" s="10">
        <f>COUNTIFS(Tarefas!$C$5:$C$405,A18,Tarefas!$R$5:$R$405,"&gt;0")</f>
        <v>2</v>
      </c>
      <c r="D18" s="10">
        <f>COUNTIFS(Tarefas!$C$5:$C$405,$A18,Tarefas!$T$5:$T$405,4)</f>
        <v>1</v>
      </c>
      <c r="E18" s="10">
        <f>COUNTIFS(Tarefas!$C$5:$C$405,$A18,Tarefas!$T$5:$T$405,3)</f>
        <v>1</v>
      </c>
      <c r="F18" s="10">
        <f>COUNTIFS(Tarefas!$C$5:$C$405,$A18,Tarefas!$T$5:$T$405,2)</f>
        <v>0</v>
      </c>
      <c r="G18" s="10">
        <f>COUNTIFS(Tarefas!$C$5:$C$405,$A18,Tarefas!$T$5:$T$405,1)</f>
        <v>0</v>
      </c>
    </row>
    <row r="19" spans="1:7" x14ac:dyDescent="0.3">
      <c r="A19" s="3" t="s">
        <v>128</v>
      </c>
      <c r="B19" s="10">
        <f>COUNTIF(Tarefas!$C$5:$C$405,A19)</f>
        <v>30</v>
      </c>
      <c r="C19" s="10">
        <f>COUNTIFS(Tarefas!$C$5:$C$405,A19,Tarefas!$R$5:$R$405,"&gt;0")</f>
        <v>1</v>
      </c>
      <c r="D19" s="10">
        <f>COUNTIFS(Tarefas!$C$5:$C$405,$A19,Tarefas!$T$5:$T$405,4)</f>
        <v>1</v>
      </c>
      <c r="E19" s="10">
        <f>COUNTIFS(Tarefas!$C$5:$C$405,$A19,Tarefas!$T$5:$T$405,3)</f>
        <v>0</v>
      </c>
      <c r="F19" s="10">
        <f>COUNTIFS(Tarefas!$C$5:$C$405,$A19,Tarefas!$T$5:$T$405,2)</f>
        <v>0</v>
      </c>
      <c r="G19" s="10">
        <f>COUNTIFS(Tarefas!$C$5:$C$405,$A19,Tarefas!$T$5:$T$405,1)</f>
        <v>0</v>
      </c>
    </row>
    <row r="20" spans="1:7" x14ac:dyDescent="0.3">
      <c r="A20" s="3" t="s">
        <v>130</v>
      </c>
      <c r="B20" s="10">
        <f>COUNTIF(Tarefas!$C$5:$C$405,A20)</f>
        <v>35</v>
      </c>
      <c r="C20" s="10">
        <f>COUNTIFS(Tarefas!$C$5:$C$405,A20,Tarefas!$R$5:$R$405,"&gt;0")</f>
        <v>2</v>
      </c>
      <c r="D20" s="10">
        <f>COUNTIFS(Tarefas!$C$5:$C$405,$A20,Tarefas!$T$5:$T$405,4)</f>
        <v>0</v>
      </c>
      <c r="E20" s="10">
        <f>COUNTIFS(Tarefas!$C$5:$C$405,$A20,Tarefas!$T$5:$T$405,3)</f>
        <v>1</v>
      </c>
      <c r="F20" s="10">
        <f>COUNTIFS(Tarefas!$C$5:$C$405,$A20,Tarefas!$T$5:$T$405,2)</f>
        <v>1</v>
      </c>
      <c r="G20" s="10">
        <f>COUNTIFS(Tarefas!$C$5:$C$405,$A20,Tarefas!$T$5:$T$405,1)</f>
        <v>0</v>
      </c>
    </row>
    <row r="21" spans="1:7" x14ac:dyDescent="0.3">
      <c r="A21" s="3" t="s">
        <v>132</v>
      </c>
      <c r="B21" s="10">
        <f>COUNTIF(Tarefas!$C$5:$C$405,A21)</f>
        <v>44</v>
      </c>
      <c r="C21" s="10">
        <f>COUNTIFS(Tarefas!$C$5:$C$405,A21,Tarefas!$R$5:$R$405,"&gt;0")</f>
        <v>4</v>
      </c>
      <c r="D21" s="10">
        <f>COUNTIFS(Tarefas!$C$5:$C$405,$A21,Tarefas!$T$5:$T$405,4)</f>
        <v>0</v>
      </c>
      <c r="E21" s="10">
        <f>COUNTIFS(Tarefas!$C$5:$C$405,$A21,Tarefas!$T$5:$T$405,3)</f>
        <v>3</v>
      </c>
      <c r="F21" s="10">
        <f>COUNTIFS(Tarefas!$C$5:$C$405,$A21,Tarefas!$T$5:$T$405,2)</f>
        <v>0</v>
      </c>
      <c r="G21" s="10">
        <f>COUNTIFS(Tarefas!$C$5:$C$405,$A21,Tarefas!$T$5:$T$405,1)</f>
        <v>1</v>
      </c>
    </row>
    <row r="22" spans="1:7" x14ac:dyDescent="0.3">
      <c r="A22" s="3" t="s">
        <v>134</v>
      </c>
      <c r="B22" s="10">
        <f>COUNTIF(Tarefas!$C$5:$C$405,A22)</f>
        <v>75</v>
      </c>
      <c r="C22" s="10">
        <f>COUNTIFS(Tarefas!$C$5:$C$405,A22,Tarefas!$R$5:$R$405,"&gt;0")</f>
        <v>0</v>
      </c>
      <c r="D22" s="10">
        <f>COUNTIFS(Tarefas!$C$5:$C$405,$A22,Tarefas!$T$5:$T$405,4)</f>
        <v>0</v>
      </c>
      <c r="E22" s="10">
        <f>COUNTIFS(Tarefas!$C$5:$C$405,$A22,Tarefas!$T$5:$T$405,3)</f>
        <v>0</v>
      </c>
      <c r="F22" s="10">
        <f>COUNTIFS(Tarefas!$C$5:$C$405,$A22,Tarefas!$T$5:$T$405,2)</f>
        <v>0</v>
      </c>
      <c r="G22" s="10">
        <f>COUNTIFS(Tarefas!$C$5:$C$405,$A22,Tarefas!$T$5:$T$405,1)</f>
        <v>0</v>
      </c>
    </row>
    <row r="23" spans="1:7" x14ac:dyDescent="0.3">
      <c r="A23" s="3" t="s">
        <v>136</v>
      </c>
      <c r="B23" s="10">
        <f>COUNTIF(Tarefas!$C$5:$C$405,A23)</f>
        <v>47</v>
      </c>
      <c r="C23" s="10">
        <f>COUNTIFS(Tarefas!$C$5:$C$405,A23,Tarefas!$R$5:$R$405,"&gt;0")</f>
        <v>0</v>
      </c>
      <c r="D23" s="10">
        <f>COUNTIFS(Tarefas!$C$5:$C$405,$A23,Tarefas!$T$5:$T$405,4)</f>
        <v>0</v>
      </c>
      <c r="E23" s="10">
        <f>COUNTIFS(Tarefas!$C$5:$C$405,$A23,Tarefas!$T$5:$T$405,3)</f>
        <v>0</v>
      </c>
      <c r="F23" s="10">
        <f>COUNTIFS(Tarefas!$C$5:$C$405,$A23,Tarefas!$T$5:$T$405,2)</f>
        <v>0</v>
      </c>
      <c r="G23" s="10">
        <f>COUNTIFS(Tarefas!$C$5:$C$405,$A23,Tarefas!$T$5:$T$405,1)</f>
        <v>0</v>
      </c>
    </row>
    <row r="24" spans="1:7" x14ac:dyDescent="0.3">
      <c r="A24" s="3" t="s">
        <v>138</v>
      </c>
      <c r="B24" s="10">
        <f>COUNTIF(Tarefas!$C$5:$C$405,A24)</f>
        <v>60</v>
      </c>
      <c r="C24" s="10">
        <f>COUNTIFS(Tarefas!$C$5:$C$405,A24,Tarefas!$R$5:$R$405,"&gt;0")</f>
        <v>3</v>
      </c>
      <c r="D24" s="10">
        <f>COUNTIFS(Tarefas!$C$5:$C$405,$A24,Tarefas!$T$5:$T$405,4)</f>
        <v>0</v>
      </c>
      <c r="E24" s="10">
        <f>COUNTIFS(Tarefas!$C$5:$C$405,$A24,Tarefas!$T$5:$T$405,3)</f>
        <v>1</v>
      </c>
      <c r="F24" s="10">
        <f>COUNTIFS(Tarefas!$C$5:$C$405,$A24,Tarefas!$T$5:$T$405,2)</f>
        <v>1</v>
      </c>
      <c r="G24" s="10">
        <f>COUNTIFS(Tarefas!$C$5:$C$405,$A24,Tarefas!$T$5:$T$405,1)</f>
        <v>1</v>
      </c>
    </row>
    <row r="25" spans="1:7" x14ac:dyDescent="0.3">
      <c r="A25" s="3" t="s">
        <v>140</v>
      </c>
      <c r="B25" s="10">
        <f>COUNTIF(Tarefas!$C$5:$C$405,A25)</f>
        <v>1</v>
      </c>
      <c r="C25" s="10">
        <f>COUNTIFS(Tarefas!$C$5:$C$405,A25,Tarefas!$R$5:$R$405,"&gt;0")</f>
        <v>0</v>
      </c>
      <c r="D25" s="10">
        <f>COUNTIFS(Tarefas!$C$5:$C$405,$A25,Tarefas!$T$5:$T$405,4)</f>
        <v>0</v>
      </c>
      <c r="E25" s="10">
        <f>COUNTIFS(Tarefas!$C$5:$C$405,$A25,Tarefas!$T$5:$T$405,3)</f>
        <v>0</v>
      </c>
      <c r="F25" s="10">
        <f>COUNTIFS(Tarefas!$C$5:$C$405,$A25,Tarefas!$T$5:$T$405,2)</f>
        <v>0</v>
      </c>
      <c r="G25" s="10">
        <f>COUNTIFS(Tarefas!$C$5:$C$405,$A25,Tarefas!$T$5:$T$405,1)</f>
        <v>0</v>
      </c>
    </row>
    <row r="26" spans="1:7" x14ac:dyDescent="0.3">
      <c r="A26" s="3" t="s">
        <v>159</v>
      </c>
      <c r="B26" s="9">
        <f t="shared" ref="B26:G26" si="0">SUM(B16:B25)</f>
        <v>401</v>
      </c>
      <c r="C26" s="9">
        <f t="shared" si="0"/>
        <v>12</v>
      </c>
      <c r="D26" s="9">
        <f t="shared" si="0"/>
        <v>2</v>
      </c>
      <c r="E26" s="9">
        <f t="shared" si="0"/>
        <v>6</v>
      </c>
      <c r="F26" s="9">
        <f t="shared" si="0"/>
        <v>2</v>
      </c>
      <c r="G26" s="9">
        <f t="shared" si="0"/>
        <v>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Z405"/>
  <sheetViews>
    <sheetView showGridLines="0" tabSelected="1" workbookViewId="0">
      <pane xSplit="2" ySplit="4" topLeftCell="T312" activePane="bottomRight" state="frozen"/>
      <selection pane="topRight"/>
      <selection pane="bottomLeft"/>
      <selection pane="bottomRight" activeCell="Z4" sqref="Z4"/>
    </sheetView>
  </sheetViews>
  <sheetFormatPr defaultRowHeight="14.4" x14ac:dyDescent="0.3"/>
  <cols>
    <col min="1" max="1" width="11" customWidth="1"/>
    <col min="2" max="2" width="60" customWidth="1"/>
    <col min="3" max="3" width="20" customWidth="1"/>
    <col min="4" max="4" width="22" customWidth="1"/>
    <col min="5" max="5" width="14" customWidth="1"/>
    <col min="6" max="6" width="11" customWidth="1"/>
    <col min="7" max="7" width="20" customWidth="1"/>
    <col min="8" max="8" width="8" customWidth="1"/>
    <col min="9" max="9" width="11" customWidth="1"/>
    <col min="10" max="10" width="10" customWidth="1"/>
    <col min="11" max="11" width="9" customWidth="1"/>
    <col min="12" max="13" width="12" customWidth="1"/>
    <col min="14" max="14" width="13" customWidth="1"/>
    <col min="15" max="15" width="10" customWidth="1"/>
    <col min="16" max="17" width="9" customWidth="1"/>
    <col min="18" max="18" width="8" customWidth="1"/>
    <col min="19" max="19" width="10" customWidth="1"/>
    <col min="20" max="20" width="9" customWidth="1"/>
    <col min="21" max="21" width="11" customWidth="1"/>
    <col min="22" max="22" width="8" hidden="1" customWidth="1"/>
    <col min="23" max="23" width="8" customWidth="1"/>
    <col min="24" max="24" width="20" customWidth="1"/>
    <col min="25" max="25" width="55" customWidth="1"/>
  </cols>
  <sheetData>
    <row r="1" spans="1:26" ht="17.399999999999999" x14ac:dyDescent="0.3">
      <c r="A1" s="1" t="s">
        <v>160</v>
      </c>
    </row>
    <row r="2" spans="1:26" ht="62.4" customHeight="1" x14ac:dyDescent="0.3">
      <c r="A2" s="2" t="s">
        <v>161</v>
      </c>
    </row>
    <row r="4" spans="1:26" ht="42" customHeight="1" x14ac:dyDescent="0.3">
      <c r="A4" s="5" t="s">
        <v>162</v>
      </c>
      <c r="B4" s="5" t="s">
        <v>163</v>
      </c>
      <c r="C4" s="5" t="s">
        <v>115</v>
      </c>
      <c r="D4" s="5" t="s">
        <v>164</v>
      </c>
      <c r="E4" s="5" t="s">
        <v>165</v>
      </c>
      <c r="F4" s="5" t="s">
        <v>166</v>
      </c>
      <c r="G4" s="5" t="s">
        <v>95</v>
      </c>
      <c r="H4" s="5" t="s">
        <v>167</v>
      </c>
      <c r="I4" s="5" t="s">
        <v>168</v>
      </c>
      <c r="J4" s="5" t="s">
        <v>169</v>
      </c>
      <c r="K4" s="5" t="s">
        <v>170</v>
      </c>
      <c r="L4" s="5" t="s">
        <v>171</v>
      </c>
      <c r="M4" s="5" t="s">
        <v>58</v>
      </c>
      <c r="N4" s="5" t="s">
        <v>172</v>
      </c>
      <c r="O4" s="5" t="s">
        <v>173</v>
      </c>
      <c r="P4" s="5" t="s">
        <v>174</v>
      </c>
      <c r="Q4" s="5" t="s">
        <v>175</v>
      </c>
      <c r="R4" s="5" t="s">
        <v>176</v>
      </c>
      <c r="S4" s="5" t="s">
        <v>177</v>
      </c>
      <c r="T4" s="5" t="s">
        <v>178</v>
      </c>
      <c r="U4" s="5" t="s">
        <v>147</v>
      </c>
      <c r="V4" s="5" t="s">
        <v>179</v>
      </c>
      <c r="W4" s="5" t="s">
        <v>180</v>
      </c>
      <c r="X4" s="5" t="s">
        <v>181</v>
      </c>
      <c r="Y4" s="5" t="s">
        <v>182</v>
      </c>
      <c r="Z4" s="27" t="s">
        <v>1002</v>
      </c>
    </row>
    <row r="5" spans="1:26" ht="28.05" hidden="1" customHeight="1" x14ac:dyDescent="0.3">
      <c r="A5" s="20" t="s">
        <v>183</v>
      </c>
      <c r="B5" s="21" t="s">
        <v>184</v>
      </c>
      <c r="C5" s="4" t="s">
        <v>138</v>
      </c>
      <c r="D5" s="4" t="s">
        <v>185</v>
      </c>
      <c r="E5" s="4" t="s">
        <v>186</v>
      </c>
      <c r="F5" s="22">
        <v>46387</v>
      </c>
      <c r="G5" s="23" t="s">
        <v>104</v>
      </c>
      <c r="H5" s="6"/>
      <c r="I5" s="6"/>
      <c r="J5" s="6"/>
      <c r="K5" s="6"/>
      <c r="L5" s="6"/>
      <c r="M5" s="6"/>
      <c r="N5" s="6"/>
      <c r="O5" s="16" t="str">
        <f>IF(COUNT(I5:M5)&lt;5,"",ROUND((I5*Matriz!$C$5+J5*Matriz!$C$6+K5*Matriz!$C$7+L5*Matriz!$C$8+M5*Matriz!$C$9)/SUM(Matriz!$C$5:$C$9),2))</f>
        <v/>
      </c>
      <c r="P5" s="17">
        <f>IFERROR(INDEX(Processos!$F$8:$F$17,MATCH(C5,Processos!$A$8:$A$17,0)),1)</f>
        <v>1.0169999999999999</v>
      </c>
      <c r="Q5" s="24">
        <f>IFERROR(INDEX(Matriz!$C$28:$C$33,MATCH(G5,Matriz!$A$28:$A$33,0)),0)</f>
        <v>0</v>
      </c>
      <c r="R5" s="25" t="str">
        <f t="shared" ref="R5:R68" si="0">IF(O5="","",ROUND(O5*P5+Q5,2))</f>
        <v/>
      </c>
      <c r="S5" s="10" t="str">
        <f>IF(R5="","",IF(R5&gt;=Matriz!$C$19,4,IF(R5&gt;=Matriz!$C$18,3,IF(R5&gt;=Matriz!$C$17,2,1))))</f>
        <v/>
      </c>
      <c r="T5" s="9" t="str">
        <f>IF(S5="","",MAX(S5,IF(I5=5,Matriz!$C$23,0),IF(N5="Sim",Matriz!$C$24,0)))</f>
        <v/>
      </c>
      <c r="U5" s="9" t="str">
        <f t="shared" ref="U5:U68" si="1">IF(T5="","",CHOOSE(T5,"Baixa","Normal","Alta","Urgente"))</f>
        <v/>
      </c>
      <c r="V5" s="26" t="str">
        <f t="shared" ref="V5:V68" si="2">IF(T5="","",T5*1000+R5*10-IF(H5="",3,H5)/10-ROW()/1000000)</f>
        <v/>
      </c>
      <c r="W5" s="10" t="str">
        <f t="shared" ref="W5:W68" si="3">IF(V5="","",COUNTIF($V$5:$V$405,"&gt;"&amp;V5)+1)</f>
        <v/>
      </c>
      <c r="X5" s="4"/>
      <c r="Y5" s="4"/>
    </row>
    <row r="6" spans="1:26" ht="28.05" hidden="1" customHeight="1" x14ac:dyDescent="0.3">
      <c r="A6" s="20" t="s">
        <v>187</v>
      </c>
      <c r="B6" s="21" t="s">
        <v>188</v>
      </c>
      <c r="C6" s="4" t="s">
        <v>138</v>
      </c>
      <c r="D6" s="4" t="s">
        <v>185</v>
      </c>
      <c r="E6" s="4" t="s">
        <v>186</v>
      </c>
      <c r="F6" s="22">
        <v>46387</v>
      </c>
      <c r="G6" s="23" t="s">
        <v>104</v>
      </c>
      <c r="H6" s="6"/>
      <c r="I6" s="6"/>
      <c r="J6" s="6"/>
      <c r="K6" s="6"/>
      <c r="L6" s="6"/>
      <c r="M6" s="6"/>
      <c r="N6" s="6"/>
      <c r="O6" s="16" t="str">
        <f>IF(COUNT(I6:M6)&lt;5,"",ROUND((I6*Matriz!$C$5+J6*Matriz!$C$6+K6*Matriz!$C$7+L6*Matriz!$C$8+M6*Matriz!$C$9)/SUM(Matriz!$C$5:$C$9),2))</f>
        <v/>
      </c>
      <c r="P6" s="17">
        <f>IFERROR(INDEX(Processos!$F$8:$F$17,MATCH(C6,Processos!$A$8:$A$17,0)),1)</f>
        <v>1.0169999999999999</v>
      </c>
      <c r="Q6" s="24">
        <f>IFERROR(INDEX(Matriz!$C$28:$C$33,MATCH(G6,Matriz!$A$28:$A$33,0)),0)</f>
        <v>0</v>
      </c>
      <c r="R6" s="25" t="str">
        <f t="shared" si="0"/>
        <v/>
      </c>
      <c r="S6" s="10" t="str">
        <f>IF(R6="","",IF(R6&gt;=Matriz!$C$19,4,IF(R6&gt;=Matriz!$C$18,3,IF(R6&gt;=Matriz!$C$17,2,1))))</f>
        <v/>
      </c>
      <c r="T6" s="9" t="str">
        <f>IF(S6="","",MAX(S6,IF(I6=5,Matriz!$C$23,0),IF(N6="Sim",Matriz!$C$24,0)))</f>
        <v/>
      </c>
      <c r="U6" s="9" t="str">
        <f t="shared" si="1"/>
        <v/>
      </c>
      <c r="V6" s="26" t="str">
        <f t="shared" si="2"/>
        <v/>
      </c>
      <c r="W6" s="10" t="str">
        <f t="shared" si="3"/>
        <v/>
      </c>
      <c r="X6" s="4"/>
      <c r="Y6" s="4"/>
    </row>
    <row r="7" spans="1:26" ht="28.05" hidden="1" customHeight="1" x14ac:dyDescent="0.3">
      <c r="A7" s="20" t="s">
        <v>189</v>
      </c>
      <c r="B7" s="21" t="s">
        <v>190</v>
      </c>
      <c r="C7" s="4" t="s">
        <v>138</v>
      </c>
      <c r="D7" s="4" t="s">
        <v>191</v>
      </c>
      <c r="E7" s="4" t="s">
        <v>186</v>
      </c>
      <c r="F7" s="22">
        <v>46326</v>
      </c>
      <c r="G7" s="23" t="s">
        <v>98</v>
      </c>
      <c r="H7" s="6"/>
      <c r="I7" s="6"/>
      <c r="J7" s="6"/>
      <c r="K7" s="6"/>
      <c r="L7" s="6"/>
      <c r="M7" s="6"/>
      <c r="N7" s="6"/>
      <c r="O7" s="16" t="str">
        <f>IF(COUNT(I7:M7)&lt;5,"",ROUND((I7*Matriz!$C$5+J7*Matriz!$C$6+K7*Matriz!$C$7+L7*Matriz!$C$8+M7*Matriz!$C$9)/SUM(Matriz!$C$5:$C$9),2))</f>
        <v/>
      </c>
      <c r="P7" s="17">
        <f>IFERROR(INDEX(Processos!$F$8:$F$17,MATCH(C7,Processos!$A$8:$A$17,0)),1)</f>
        <v>1.0169999999999999</v>
      </c>
      <c r="Q7" s="24">
        <f>IFERROR(INDEX(Matriz!$C$28:$C$33,MATCH(G7,Matriz!$A$28:$A$33,0)),0)</f>
        <v>0.3</v>
      </c>
      <c r="R7" s="25" t="str">
        <f t="shared" si="0"/>
        <v/>
      </c>
      <c r="S7" s="10" t="str">
        <f>IF(R7="","",IF(R7&gt;=Matriz!$C$19,4,IF(R7&gt;=Matriz!$C$18,3,IF(R7&gt;=Matriz!$C$17,2,1))))</f>
        <v/>
      </c>
      <c r="T7" s="9" t="str">
        <f>IF(S7="","",MAX(S7,IF(I7=5,Matriz!$C$23,0),IF(N7="Sim",Matriz!$C$24,0)))</f>
        <v/>
      </c>
      <c r="U7" s="9" t="str">
        <f t="shared" si="1"/>
        <v/>
      </c>
      <c r="V7" s="26" t="str">
        <f t="shared" si="2"/>
        <v/>
      </c>
      <c r="W7" s="10" t="str">
        <f t="shared" si="3"/>
        <v/>
      </c>
      <c r="X7" s="4"/>
      <c r="Y7" s="4"/>
    </row>
    <row r="8" spans="1:26" ht="28.05" hidden="1" customHeight="1" x14ac:dyDescent="0.3">
      <c r="A8" s="20" t="s">
        <v>192</v>
      </c>
      <c r="B8" s="21" t="s">
        <v>193</v>
      </c>
      <c r="C8" s="4" t="s">
        <v>138</v>
      </c>
      <c r="D8" s="4" t="s">
        <v>194</v>
      </c>
      <c r="E8" s="4" t="s">
        <v>186</v>
      </c>
      <c r="F8" s="22">
        <v>46326</v>
      </c>
      <c r="G8" s="23" t="s">
        <v>104</v>
      </c>
      <c r="H8" s="6"/>
      <c r="I8" s="6"/>
      <c r="J8" s="6"/>
      <c r="K8" s="6"/>
      <c r="L8" s="6"/>
      <c r="M8" s="6"/>
      <c r="N8" s="6"/>
      <c r="O8" s="16" t="str">
        <f>IF(COUNT(I8:M8)&lt;5,"",ROUND((I8*Matriz!$C$5+J8*Matriz!$C$6+K8*Matriz!$C$7+L8*Matriz!$C$8+M8*Matriz!$C$9)/SUM(Matriz!$C$5:$C$9),2))</f>
        <v/>
      </c>
      <c r="P8" s="17">
        <f>IFERROR(INDEX(Processos!$F$8:$F$17,MATCH(C8,Processos!$A$8:$A$17,0)),1)</f>
        <v>1.0169999999999999</v>
      </c>
      <c r="Q8" s="24">
        <f>IFERROR(INDEX(Matriz!$C$28:$C$33,MATCH(G8,Matriz!$A$28:$A$33,0)),0)</f>
        <v>0</v>
      </c>
      <c r="R8" s="25" t="str">
        <f t="shared" si="0"/>
        <v/>
      </c>
      <c r="S8" s="10" t="str">
        <f>IF(R8="","",IF(R8&gt;=Matriz!$C$19,4,IF(R8&gt;=Matriz!$C$18,3,IF(R8&gt;=Matriz!$C$17,2,1))))</f>
        <v/>
      </c>
      <c r="T8" s="9" t="str">
        <f>IF(S8="","",MAX(S8,IF(I8=5,Matriz!$C$23,0),IF(N8="Sim",Matriz!$C$24,0)))</f>
        <v/>
      </c>
      <c r="U8" s="9" t="str">
        <f t="shared" si="1"/>
        <v/>
      </c>
      <c r="V8" s="26" t="str">
        <f t="shared" si="2"/>
        <v/>
      </c>
      <c r="W8" s="10" t="str">
        <f t="shared" si="3"/>
        <v/>
      </c>
      <c r="X8" s="4"/>
      <c r="Y8" s="4"/>
    </row>
    <row r="9" spans="1:26" ht="28.05" hidden="1" customHeight="1" x14ac:dyDescent="0.3">
      <c r="A9" s="20" t="s">
        <v>195</v>
      </c>
      <c r="B9" s="21" t="s">
        <v>196</v>
      </c>
      <c r="C9" s="4" t="s">
        <v>138</v>
      </c>
      <c r="D9" s="4" t="s">
        <v>194</v>
      </c>
      <c r="E9" s="4" t="s">
        <v>186</v>
      </c>
      <c r="F9" s="22">
        <v>46356</v>
      </c>
      <c r="G9" s="23" t="s">
        <v>98</v>
      </c>
      <c r="H9" s="6"/>
      <c r="I9" s="6"/>
      <c r="J9" s="6"/>
      <c r="K9" s="6"/>
      <c r="L9" s="6"/>
      <c r="M9" s="6"/>
      <c r="N9" s="6"/>
      <c r="O9" s="16" t="str">
        <f>IF(COUNT(I9:M9)&lt;5,"",ROUND((I9*Matriz!$C$5+J9*Matriz!$C$6+K9*Matriz!$C$7+L9*Matriz!$C$8+M9*Matriz!$C$9)/SUM(Matriz!$C$5:$C$9),2))</f>
        <v/>
      </c>
      <c r="P9" s="17">
        <f>IFERROR(INDEX(Processos!$F$8:$F$17,MATCH(C9,Processos!$A$8:$A$17,0)),1)</f>
        <v>1.0169999999999999</v>
      </c>
      <c r="Q9" s="24">
        <f>IFERROR(INDEX(Matriz!$C$28:$C$33,MATCH(G9,Matriz!$A$28:$A$33,0)),0)</f>
        <v>0.3</v>
      </c>
      <c r="R9" s="25" t="str">
        <f t="shared" si="0"/>
        <v/>
      </c>
      <c r="S9" s="10" t="str">
        <f>IF(R9="","",IF(R9&gt;=Matriz!$C$19,4,IF(R9&gt;=Matriz!$C$18,3,IF(R9&gt;=Matriz!$C$17,2,1))))</f>
        <v/>
      </c>
      <c r="T9" s="9" t="str">
        <f>IF(S9="","",MAX(S9,IF(I9=5,Matriz!$C$23,0),IF(N9="Sim",Matriz!$C$24,0)))</f>
        <v/>
      </c>
      <c r="U9" s="9" t="str">
        <f t="shared" si="1"/>
        <v/>
      </c>
      <c r="V9" s="26" t="str">
        <f t="shared" si="2"/>
        <v/>
      </c>
      <c r="W9" s="10" t="str">
        <f t="shared" si="3"/>
        <v/>
      </c>
      <c r="X9" s="4"/>
      <c r="Y9" s="4"/>
    </row>
    <row r="10" spans="1:26" ht="28.05" hidden="1" customHeight="1" x14ac:dyDescent="0.3">
      <c r="A10" s="20" t="s">
        <v>197</v>
      </c>
      <c r="B10" s="21" t="s">
        <v>198</v>
      </c>
      <c r="C10" s="4" t="s">
        <v>138</v>
      </c>
      <c r="D10" s="4" t="s">
        <v>199</v>
      </c>
      <c r="E10" s="4" t="s">
        <v>186</v>
      </c>
      <c r="F10" s="22">
        <v>46387</v>
      </c>
      <c r="G10" s="23" t="s">
        <v>104</v>
      </c>
      <c r="H10" s="6"/>
      <c r="I10" s="6"/>
      <c r="J10" s="6"/>
      <c r="K10" s="6"/>
      <c r="L10" s="6"/>
      <c r="M10" s="6"/>
      <c r="N10" s="6"/>
      <c r="O10" s="16" t="str">
        <f>IF(COUNT(I10:M10)&lt;5,"",ROUND((I10*Matriz!$C$5+J10*Matriz!$C$6+K10*Matriz!$C$7+L10*Matriz!$C$8+M10*Matriz!$C$9)/SUM(Matriz!$C$5:$C$9),2))</f>
        <v/>
      </c>
      <c r="P10" s="17">
        <f>IFERROR(INDEX(Processos!$F$8:$F$17,MATCH(C10,Processos!$A$8:$A$17,0)),1)</f>
        <v>1.0169999999999999</v>
      </c>
      <c r="Q10" s="24">
        <f>IFERROR(INDEX(Matriz!$C$28:$C$33,MATCH(G10,Matriz!$A$28:$A$33,0)),0)</f>
        <v>0</v>
      </c>
      <c r="R10" s="25" t="str">
        <f t="shared" si="0"/>
        <v/>
      </c>
      <c r="S10" s="10" t="str">
        <f>IF(R10="","",IF(R10&gt;=Matriz!$C$19,4,IF(R10&gt;=Matriz!$C$18,3,IF(R10&gt;=Matriz!$C$17,2,1))))</f>
        <v/>
      </c>
      <c r="T10" s="9" t="str">
        <f>IF(S10="","",MAX(S10,IF(I10=5,Matriz!$C$23,0),IF(N10="Sim",Matriz!$C$24,0)))</f>
        <v/>
      </c>
      <c r="U10" s="9" t="str">
        <f t="shared" si="1"/>
        <v/>
      </c>
      <c r="V10" s="26" t="str">
        <f t="shared" si="2"/>
        <v/>
      </c>
      <c r="W10" s="10" t="str">
        <f t="shared" si="3"/>
        <v/>
      </c>
      <c r="X10" s="4"/>
      <c r="Y10" s="4"/>
    </row>
    <row r="11" spans="1:26" ht="28.05" hidden="1" customHeight="1" x14ac:dyDescent="0.3">
      <c r="A11" s="20" t="s">
        <v>200</v>
      </c>
      <c r="B11" s="21" t="s">
        <v>201</v>
      </c>
      <c r="C11" s="4" t="s">
        <v>138</v>
      </c>
      <c r="D11" s="4" t="s">
        <v>202</v>
      </c>
      <c r="E11" s="4" t="s">
        <v>186</v>
      </c>
      <c r="F11" s="22">
        <v>46356</v>
      </c>
      <c r="G11" s="23" t="s">
        <v>100</v>
      </c>
      <c r="H11" s="6"/>
      <c r="I11" s="6"/>
      <c r="J11" s="6"/>
      <c r="K11" s="6"/>
      <c r="L11" s="6"/>
      <c r="M11" s="6"/>
      <c r="N11" s="6"/>
      <c r="O11" s="16" t="str">
        <f>IF(COUNT(I11:M11)&lt;5,"",ROUND((I11*Matriz!$C$5+J11*Matriz!$C$6+K11*Matriz!$C$7+L11*Matriz!$C$8+M11*Matriz!$C$9)/SUM(Matriz!$C$5:$C$9),2))</f>
        <v/>
      </c>
      <c r="P11" s="17">
        <f>IFERROR(INDEX(Processos!$F$8:$F$17,MATCH(C11,Processos!$A$8:$A$17,0)),1)</f>
        <v>1.0169999999999999</v>
      </c>
      <c r="Q11" s="24">
        <f>IFERROR(INDEX(Matriz!$C$28:$C$33,MATCH(G11,Matriz!$A$28:$A$33,0)),0)</f>
        <v>0</v>
      </c>
      <c r="R11" s="25" t="str">
        <f t="shared" si="0"/>
        <v/>
      </c>
      <c r="S11" s="10" t="str">
        <f>IF(R11="","",IF(R11&gt;=Matriz!$C$19,4,IF(R11&gt;=Matriz!$C$18,3,IF(R11&gt;=Matriz!$C$17,2,1))))</f>
        <v/>
      </c>
      <c r="T11" s="9" t="str">
        <f>IF(S11="","",MAX(S11,IF(I11=5,Matriz!$C$23,0),IF(N11="Sim",Matriz!$C$24,0)))</f>
        <v/>
      </c>
      <c r="U11" s="9" t="str">
        <f t="shared" si="1"/>
        <v/>
      </c>
      <c r="V11" s="26" t="str">
        <f t="shared" si="2"/>
        <v/>
      </c>
      <c r="W11" s="10" t="str">
        <f t="shared" si="3"/>
        <v/>
      </c>
      <c r="X11" s="4"/>
      <c r="Y11" s="4"/>
    </row>
    <row r="12" spans="1:26" ht="28.05" hidden="1" customHeight="1" x14ac:dyDescent="0.3">
      <c r="A12" s="20" t="s">
        <v>203</v>
      </c>
      <c r="B12" s="21" t="s">
        <v>204</v>
      </c>
      <c r="C12" s="4" t="s">
        <v>138</v>
      </c>
      <c r="D12" s="4" t="s">
        <v>194</v>
      </c>
      <c r="E12" s="4" t="s">
        <v>186</v>
      </c>
      <c r="F12" s="22">
        <v>46356</v>
      </c>
      <c r="G12" s="23" t="s">
        <v>100</v>
      </c>
      <c r="H12" s="6"/>
      <c r="I12" s="6"/>
      <c r="J12" s="6"/>
      <c r="K12" s="6"/>
      <c r="L12" s="6"/>
      <c r="M12" s="6"/>
      <c r="N12" s="6"/>
      <c r="O12" s="16" t="str">
        <f>IF(COUNT(I12:M12)&lt;5,"",ROUND((I12*Matriz!$C$5+J12*Matriz!$C$6+K12*Matriz!$C$7+L12*Matriz!$C$8+M12*Matriz!$C$9)/SUM(Matriz!$C$5:$C$9),2))</f>
        <v/>
      </c>
      <c r="P12" s="17">
        <f>IFERROR(INDEX(Processos!$F$8:$F$17,MATCH(C12,Processos!$A$8:$A$17,0)),1)</f>
        <v>1.0169999999999999</v>
      </c>
      <c r="Q12" s="24">
        <f>IFERROR(INDEX(Matriz!$C$28:$C$33,MATCH(G12,Matriz!$A$28:$A$33,0)),0)</f>
        <v>0</v>
      </c>
      <c r="R12" s="25" t="str">
        <f t="shared" si="0"/>
        <v/>
      </c>
      <c r="S12" s="10" t="str">
        <f>IF(R12="","",IF(R12&gt;=Matriz!$C$19,4,IF(R12&gt;=Matriz!$C$18,3,IF(R12&gt;=Matriz!$C$17,2,1))))</f>
        <v/>
      </c>
      <c r="T12" s="9" t="str">
        <f>IF(S12="","",MAX(S12,IF(I12=5,Matriz!$C$23,0),IF(N12="Sim",Matriz!$C$24,0)))</f>
        <v/>
      </c>
      <c r="U12" s="9" t="str">
        <f t="shared" si="1"/>
        <v/>
      </c>
      <c r="V12" s="26" t="str">
        <f t="shared" si="2"/>
        <v/>
      </c>
      <c r="W12" s="10" t="str">
        <f t="shared" si="3"/>
        <v/>
      </c>
      <c r="X12" s="4"/>
      <c r="Y12" s="4"/>
    </row>
    <row r="13" spans="1:26" ht="28.05" hidden="1" customHeight="1" x14ac:dyDescent="0.3">
      <c r="A13" s="20" t="s">
        <v>205</v>
      </c>
      <c r="B13" s="21" t="s">
        <v>206</v>
      </c>
      <c r="C13" s="4" t="s">
        <v>138</v>
      </c>
      <c r="D13" s="4" t="s">
        <v>194</v>
      </c>
      <c r="E13" s="4" t="s">
        <v>186</v>
      </c>
      <c r="F13" s="22">
        <v>46356</v>
      </c>
      <c r="G13" s="23" t="s">
        <v>100</v>
      </c>
      <c r="H13" s="6"/>
      <c r="I13" s="6"/>
      <c r="J13" s="6"/>
      <c r="K13" s="6"/>
      <c r="L13" s="6"/>
      <c r="M13" s="6"/>
      <c r="N13" s="6"/>
      <c r="O13" s="16" t="str">
        <f>IF(COUNT(I13:M13)&lt;5,"",ROUND((I13*Matriz!$C$5+J13*Matriz!$C$6+K13*Matriz!$C$7+L13*Matriz!$C$8+M13*Matriz!$C$9)/SUM(Matriz!$C$5:$C$9),2))</f>
        <v/>
      </c>
      <c r="P13" s="17">
        <f>IFERROR(INDEX(Processos!$F$8:$F$17,MATCH(C13,Processos!$A$8:$A$17,0)),1)</f>
        <v>1.0169999999999999</v>
      </c>
      <c r="Q13" s="24">
        <f>IFERROR(INDEX(Matriz!$C$28:$C$33,MATCH(G13,Matriz!$A$28:$A$33,0)),0)</f>
        <v>0</v>
      </c>
      <c r="R13" s="25" t="str">
        <f t="shared" si="0"/>
        <v/>
      </c>
      <c r="S13" s="10" t="str">
        <f>IF(R13="","",IF(R13&gt;=Matriz!$C$19,4,IF(R13&gt;=Matriz!$C$18,3,IF(R13&gt;=Matriz!$C$17,2,1))))</f>
        <v/>
      </c>
      <c r="T13" s="9" t="str">
        <f>IF(S13="","",MAX(S13,IF(I13=5,Matriz!$C$23,0),IF(N13="Sim",Matriz!$C$24,0)))</f>
        <v/>
      </c>
      <c r="U13" s="9" t="str">
        <f t="shared" si="1"/>
        <v/>
      </c>
      <c r="V13" s="26" t="str">
        <f t="shared" si="2"/>
        <v/>
      </c>
      <c r="W13" s="10" t="str">
        <f t="shared" si="3"/>
        <v/>
      </c>
      <c r="X13" s="4"/>
      <c r="Y13" s="4"/>
    </row>
    <row r="14" spans="1:26" ht="28.05" hidden="1" customHeight="1" x14ac:dyDescent="0.3">
      <c r="A14" s="20" t="s">
        <v>207</v>
      </c>
      <c r="B14" s="21" t="s">
        <v>208</v>
      </c>
      <c r="C14" s="4" t="s">
        <v>138</v>
      </c>
      <c r="D14" s="4" t="s">
        <v>191</v>
      </c>
      <c r="E14" s="4" t="s">
        <v>186</v>
      </c>
      <c r="F14" s="22">
        <v>46387</v>
      </c>
      <c r="G14" s="23" t="s">
        <v>100</v>
      </c>
      <c r="H14" s="6"/>
      <c r="I14" s="6"/>
      <c r="J14" s="6"/>
      <c r="K14" s="6"/>
      <c r="L14" s="6"/>
      <c r="M14" s="6"/>
      <c r="N14" s="6"/>
      <c r="O14" s="16" t="str">
        <f>IF(COUNT(I14:M14)&lt;5,"",ROUND((I14*Matriz!$C$5+J14*Matriz!$C$6+K14*Matriz!$C$7+L14*Matriz!$C$8+M14*Matriz!$C$9)/SUM(Matriz!$C$5:$C$9),2))</f>
        <v/>
      </c>
      <c r="P14" s="17">
        <f>IFERROR(INDEX(Processos!$F$8:$F$17,MATCH(C14,Processos!$A$8:$A$17,0)),1)</f>
        <v>1.0169999999999999</v>
      </c>
      <c r="Q14" s="24">
        <f>IFERROR(INDEX(Matriz!$C$28:$C$33,MATCH(G14,Matriz!$A$28:$A$33,0)),0)</f>
        <v>0</v>
      </c>
      <c r="R14" s="25" t="str">
        <f t="shared" si="0"/>
        <v/>
      </c>
      <c r="S14" s="10" t="str">
        <f>IF(R14="","",IF(R14&gt;=Matriz!$C$19,4,IF(R14&gt;=Matriz!$C$18,3,IF(R14&gt;=Matriz!$C$17,2,1))))</f>
        <v/>
      </c>
      <c r="T14" s="9" t="str">
        <f>IF(S14="","",MAX(S14,IF(I14=5,Matriz!$C$23,0),IF(N14="Sim",Matriz!$C$24,0)))</f>
        <v/>
      </c>
      <c r="U14" s="9" t="str">
        <f t="shared" si="1"/>
        <v/>
      </c>
      <c r="V14" s="26" t="str">
        <f t="shared" si="2"/>
        <v/>
      </c>
      <c r="W14" s="10" t="str">
        <f t="shared" si="3"/>
        <v/>
      </c>
      <c r="X14" s="4"/>
      <c r="Y14" s="4"/>
    </row>
    <row r="15" spans="1:26" ht="28.05" hidden="1" customHeight="1" x14ac:dyDescent="0.3">
      <c r="A15" s="20" t="s">
        <v>209</v>
      </c>
      <c r="B15" s="21" t="s">
        <v>210</v>
      </c>
      <c r="C15" s="4" t="s">
        <v>138</v>
      </c>
      <c r="D15" s="4" t="s">
        <v>194</v>
      </c>
      <c r="E15" s="4" t="s">
        <v>186</v>
      </c>
      <c r="F15" s="22">
        <v>46446</v>
      </c>
      <c r="G15" s="23" t="s">
        <v>100</v>
      </c>
      <c r="H15" s="6"/>
      <c r="I15" s="6"/>
      <c r="J15" s="6"/>
      <c r="K15" s="6"/>
      <c r="L15" s="6"/>
      <c r="M15" s="6"/>
      <c r="N15" s="6"/>
      <c r="O15" s="16" t="str">
        <f>IF(COUNT(I15:M15)&lt;5,"",ROUND((I15*Matriz!$C$5+J15*Matriz!$C$6+K15*Matriz!$C$7+L15*Matriz!$C$8+M15*Matriz!$C$9)/SUM(Matriz!$C$5:$C$9),2))</f>
        <v/>
      </c>
      <c r="P15" s="17">
        <f>IFERROR(INDEX(Processos!$F$8:$F$17,MATCH(C15,Processos!$A$8:$A$17,0)),1)</f>
        <v>1.0169999999999999</v>
      </c>
      <c r="Q15" s="24">
        <f>IFERROR(INDEX(Matriz!$C$28:$C$33,MATCH(G15,Matriz!$A$28:$A$33,0)),0)</f>
        <v>0</v>
      </c>
      <c r="R15" s="25" t="str">
        <f t="shared" si="0"/>
        <v/>
      </c>
      <c r="S15" s="10" t="str">
        <f>IF(R15="","",IF(R15&gt;=Matriz!$C$19,4,IF(R15&gt;=Matriz!$C$18,3,IF(R15&gt;=Matriz!$C$17,2,1))))</f>
        <v/>
      </c>
      <c r="T15" s="9" t="str">
        <f>IF(S15="","",MAX(S15,IF(I15=5,Matriz!$C$23,0),IF(N15="Sim",Matriz!$C$24,0)))</f>
        <v/>
      </c>
      <c r="U15" s="9" t="str">
        <f t="shared" si="1"/>
        <v/>
      </c>
      <c r="V15" s="26" t="str">
        <f t="shared" si="2"/>
        <v/>
      </c>
      <c r="W15" s="10" t="str">
        <f t="shared" si="3"/>
        <v/>
      </c>
      <c r="X15" s="4"/>
      <c r="Y15" s="4"/>
    </row>
    <row r="16" spans="1:26" ht="28.05" hidden="1" customHeight="1" x14ac:dyDescent="0.3">
      <c r="A16" s="20" t="s">
        <v>211</v>
      </c>
      <c r="B16" s="21" t="s">
        <v>212</v>
      </c>
      <c r="C16" s="4" t="s">
        <v>138</v>
      </c>
      <c r="D16" s="4" t="s">
        <v>213</v>
      </c>
      <c r="E16" s="4" t="s">
        <v>186</v>
      </c>
      <c r="F16" s="22">
        <v>46387</v>
      </c>
      <c r="G16" s="23" t="s">
        <v>104</v>
      </c>
      <c r="H16" s="6"/>
      <c r="I16" s="6"/>
      <c r="J16" s="6"/>
      <c r="K16" s="6"/>
      <c r="L16" s="6"/>
      <c r="M16" s="6"/>
      <c r="N16" s="6"/>
      <c r="O16" s="16" t="str">
        <f>IF(COUNT(I16:M16)&lt;5,"",ROUND((I16*Matriz!$C$5+J16*Matriz!$C$6+K16*Matriz!$C$7+L16*Matriz!$C$8+M16*Matriz!$C$9)/SUM(Matriz!$C$5:$C$9),2))</f>
        <v/>
      </c>
      <c r="P16" s="17">
        <f>IFERROR(INDEX(Processos!$F$8:$F$17,MATCH(C16,Processos!$A$8:$A$17,0)),1)</f>
        <v>1.0169999999999999</v>
      </c>
      <c r="Q16" s="24">
        <f>IFERROR(INDEX(Matriz!$C$28:$C$33,MATCH(G16,Matriz!$A$28:$A$33,0)),0)</f>
        <v>0</v>
      </c>
      <c r="R16" s="25" t="str">
        <f t="shared" si="0"/>
        <v/>
      </c>
      <c r="S16" s="10" t="str">
        <f>IF(R16="","",IF(R16&gt;=Matriz!$C$19,4,IF(R16&gt;=Matriz!$C$18,3,IF(R16&gt;=Matriz!$C$17,2,1))))</f>
        <v/>
      </c>
      <c r="T16" s="9" t="str">
        <f>IF(S16="","",MAX(S16,IF(I16=5,Matriz!$C$23,0),IF(N16="Sim",Matriz!$C$24,0)))</f>
        <v/>
      </c>
      <c r="U16" s="9" t="str">
        <f t="shared" si="1"/>
        <v/>
      </c>
      <c r="V16" s="26" t="str">
        <f t="shared" si="2"/>
        <v/>
      </c>
      <c r="W16" s="10" t="str">
        <f t="shared" si="3"/>
        <v/>
      </c>
      <c r="X16" s="4"/>
      <c r="Y16" s="4"/>
    </row>
    <row r="17" spans="1:25" ht="28.05" hidden="1" customHeight="1" x14ac:dyDescent="0.3">
      <c r="A17" s="20" t="s">
        <v>214</v>
      </c>
      <c r="B17" s="21" t="s">
        <v>215</v>
      </c>
      <c r="C17" s="4" t="s">
        <v>138</v>
      </c>
      <c r="D17" s="4" t="s">
        <v>194</v>
      </c>
      <c r="E17" s="4" t="s">
        <v>186</v>
      </c>
      <c r="F17" s="22">
        <v>46387</v>
      </c>
      <c r="G17" s="23" t="s">
        <v>106</v>
      </c>
      <c r="H17" s="6"/>
      <c r="I17" s="6"/>
      <c r="J17" s="6"/>
      <c r="K17" s="6"/>
      <c r="L17" s="6"/>
      <c r="M17" s="6"/>
      <c r="N17" s="6"/>
      <c r="O17" s="16" t="str">
        <f>IF(COUNT(I17:M17)&lt;5,"",ROUND((I17*Matriz!$C$5+J17*Matriz!$C$6+K17*Matriz!$C$7+L17*Matriz!$C$8+M17*Matriz!$C$9)/SUM(Matriz!$C$5:$C$9),2))</f>
        <v/>
      </c>
      <c r="P17" s="17">
        <f>IFERROR(INDEX(Processos!$F$8:$F$17,MATCH(C17,Processos!$A$8:$A$17,0)),1)</f>
        <v>1.0169999999999999</v>
      </c>
      <c r="Q17" s="24">
        <f>IFERROR(INDEX(Matriz!$C$28:$C$33,MATCH(G17,Matriz!$A$28:$A$33,0)),0)</f>
        <v>-0.2</v>
      </c>
      <c r="R17" s="25" t="str">
        <f t="shared" si="0"/>
        <v/>
      </c>
      <c r="S17" s="10" t="str">
        <f>IF(R17="","",IF(R17&gt;=Matriz!$C$19,4,IF(R17&gt;=Matriz!$C$18,3,IF(R17&gt;=Matriz!$C$17,2,1))))</f>
        <v/>
      </c>
      <c r="T17" s="9" t="str">
        <f>IF(S17="","",MAX(S17,IF(I17=5,Matriz!$C$23,0),IF(N17="Sim",Matriz!$C$24,0)))</f>
        <v/>
      </c>
      <c r="U17" s="9" t="str">
        <f t="shared" si="1"/>
        <v/>
      </c>
      <c r="V17" s="26" t="str">
        <f t="shared" si="2"/>
        <v/>
      </c>
      <c r="W17" s="10" t="str">
        <f t="shared" si="3"/>
        <v/>
      </c>
      <c r="X17" s="4"/>
      <c r="Y17" s="4"/>
    </row>
    <row r="18" spans="1:25" ht="28.05" hidden="1" customHeight="1" x14ac:dyDescent="0.3">
      <c r="A18" s="20" t="s">
        <v>216</v>
      </c>
      <c r="B18" s="21" t="s">
        <v>217</v>
      </c>
      <c r="C18" s="4" t="s">
        <v>138</v>
      </c>
      <c r="D18" s="4" t="s">
        <v>218</v>
      </c>
      <c r="E18" s="4" t="s">
        <v>186</v>
      </c>
      <c r="F18" s="22">
        <v>46418</v>
      </c>
      <c r="G18" s="23" t="s">
        <v>104</v>
      </c>
      <c r="H18" s="6"/>
      <c r="I18" s="6"/>
      <c r="J18" s="6"/>
      <c r="K18" s="6"/>
      <c r="L18" s="6"/>
      <c r="M18" s="6"/>
      <c r="N18" s="6"/>
      <c r="O18" s="16" t="str">
        <f>IF(COUNT(I18:M18)&lt;5,"",ROUND((I18*Matriz!$C$5+J18*Matriz!$C$6+K18*Matriz!$C$7+L18*Matriz!$C$8+M18*Matriz!$C$9)/SUM(Matriz!$C$5:$C$9),2))</f>
        <v/>
      </c>
      <c r="P18" s="17">
        <f>IFERROR(INDEX(Processos!$F$8:$F$17,MATCH(C18,Processos!$A$8:$A$17,0)),1)</f>
        <v>1.0169999999999999</v>
      </c>
      <c r="Q18" s="24">
        <f>IFERROR(INDEX(Matriz!$C$28:$C$33,MATCH(G18,Matriz!$A$28:$A$33,0)),0)</f>
        <v>0</v>
      </c>
      <c r="R18" s="25" t="str">
        <f t="shared" si="0"/>
        <v/>
      </c>
      <c r="S18" s="10" t="str">
        <f>IF(R18="","",IF(R18&gt;=Matriz!$C$19,4,IF(R18&gt;=Matriz!$C$18,3,IF(R18&gt;=Matriz!$C$17,2,1))))</f>
        <v/>
      </c>
      <c r="T18" s="9" t="str">
        <f>IF(S18="","",MAX(S18,IF(I18=5,Matriz!$C$23,0),IF(N18="Sim",Matriz!$C$24,0)))</f>
        <v/>
      </c>
      <c r="U18" s="9" t="str">
        <f t="shared" si="1"/>
        <v/>
      </c>
      <c r="V18" s="26" t="str">
        <f t="shared" si="2"/>
        <v/>
      </c>
      <c r="W18" s="10" t="str">
        <f t="shared" si="3"/>
        <v/>
      </c>
      <c r="X18" s="4"/>
      <c r="Y18" s="4"/>
    </row>
    <row r="19" spans="1:25" ht="28.05" hidden="1" customHeight="1" x14ac:dyDescent="0.3">
      <c r="A19" s="20" t="s">
        <v>219</v>
      </c>
      <c r="B19" s="21" t="s">
        <v>220</v>
      </c>
      <c r="C19" s="4" t="s">
        <v>138</v>
      </c>
      <c r="D19" s="4" t="s">
        <v>213</v>
      </c>
      <c r="E19" s="4" t="s">
        <v>186</v>
      </c>
      <c r="F19" s="22">
        <v>46387</v>
      </c>
      <c r="G19" s="23" t="s">
        <v>104</v>
      </c>
      <c r="H19" s="6"/>
      <c r="I19" s="6"/>
      <c r="J19" s="6"/>
      <c r="K19" s="6"/>
      <c r="L19" s="6"/>
      <c r="M19" s="6"/>
      <c r="N19" s="6"/>
      <c r="O19" s="16" t="str">
        <f>IF(COUNT(I19:M19)&lt;5,"",ROUND((I19*Matriz!$C$5+J19*Matriz!$C$6+K19*Matriz!$C$7+L19*Matriz!$C$8+M19*Matriz!$C$9)/SUM(Matriz!$C$5:$C$9),2))</f>
        <v/>
      </c>
      <c r="P19" s="17">
        <f>IFERROR(INDEX(Processos!$F$8:$F$17,MATCH(C19,Processos!$A$8:$A$17,0)),1)</f>
        <v>1.0169999999999999</v>
      </c>
      <c r="Q19" s="24">
        <f>IFERROR(INDEX(Matriz!$C$28:$C$33,MATCH(G19,Matriz!$A$28:$A$33,0)),0)</f>
        <v>0</v>
      </c>
      <c r="R19" s="25" t="str">
        <f t="shared" si="0"/>
        <v/>
      </c>
      <c r="S19" s="10" t="str">
        <f>IF(R19="","",IF(R19&gt;=Matriz!$C$19,4,IF(R19&gt;=Matriz!$C$18,3,IF(R19&gt;=Matriz!$C$17,2,1))))</f>
        <v/>
      </c>
      <c r="T19" s="9" t="str">
        <f>IF(S19="","",MAX(S19,IF(I19=5,Matriz!$C$23,0),IF(N19="Sim",Matriz!$C$24,0)))</f>
        <v/>
      </c>
      <c r="U19" s="9" t="str">
        <f t="shared" si="1"/>
        <v/>
      </c>
      <c r="V19" s="26" t="str">
        <f t="shared" si="2"/>
        <v/>
      </c>
      <c r="W19" s="10" t="str">
        <f t="shared" si="3"/>
        <v/>
      </c>
      <c r="X19" s="4"/>
      <c r="Y19" s="4"/>
    </row>
    <row r="20" spans="1:25" ht="28.05" hidden="1" customHeight="1" x14ac:dyDescent="0.3">
      <c r="A20" s="20" t="s">
        <v>221</v>
      </c>
      <c r="B20" s="21" t="s">
        <v>222</v>
      </c>
      <c r="C20" s="4" t="s">
        <v>138</v>
      </c>
      <c r="D20" s="4" t="s">
        <v>223</v>
      </c>
      <c r="E20" s="4" t="s">
        <v>186</v>
      </c>
      <c r="F20" s="22">
        <v>46356</v>
      </c>
      <c r="G20" s="23" t="s">
        <v>104</v>
      </c>
      <c r="H20" s="6"/>
      <c r="I20" s="6"/>
      <c r="J20" s="6"/>
      <c r="K20" s="6"/>
      <c r="L20" s="6"/>
      <c r="M20" s="6"/>
      <c r="N20" s="6"/>
      <c r="O20" s="16" t="str">
        <f>IF(COUNT(I20:M20)&lt;5,"",ROUND((I20*Matriz!$C$5+J20*Matriz!$C$6+K20*Matriz!$C$7+L20*Matriz!$C$8+M20*Matriz!$C$9)/SUM(Matriz!$C$5:$C$9),2))</f>
        <v/>
      </c>
      <c r="P20" s="17">
        <f>IFERROR(INDEX(Processos!$F$8:$F$17,MATCH(C20,Processos!$A$8:$A$17,0)),1)</f>
        <v>1.0169999999999999</v>
      </c>
      <c r="Q20" s="24">
        <f>IFERROR(INDEX(Matriz!$C$28:$C$33,MATCH(G20,Matriz!$A$28:$A$33,0)),0)</f>
        <v>0</v>
      </c>
      <c r="R20" s="25" t="str">
        <f t="shared" si="0"/>
        <v/>
      </c>
      <c r="S20" s="10" t="str">
        <f>IF(R20="","",IF(R20&gt;=Matriz!$C$19,4,IF(R20&gt;=Matriz!$C$18,3,IF(R20&gt;=Matriz!$C$17,2,1))))</f>
        <v/>
      </c>
      <c r="T20" s="9" t="str">
        <f>IF(S20="","",MAX(S20,IF(I20=5,Matriz!$C$23,0),IF(N20="Sim",Matriz!$C$24,0)))</f>
        <v/>
      </c>
      <c r="U20" s="9" t="str">
        <f t="shared" si="1"/>
        <v/>
      </c>
      <c r="V20" s="26" t="str">
        <f t="shared" si="2"/>
        <v/>
      </c>
      <c r="W20" s="10" t="str">
        <f t="shared" si="3"/>
        <v/>
      </c>
      <c r="X20" s="4"/>
      <c r="Y20" s="4"/>
    </row>
    <row r="21" spans="1:25" ht="28.05" hidden="1" customHeight="1" x14ac:dyDescent="0.3">
      <c r="A21" s="20" t="s">
        <v>224</v>
      </c>
      <c r="B21" s="21" t="s">
        <v>225</v>
      </c>
      <c r="C21" s="4" t="s">
        <v>138</v>
      </c>
      <c r="D21" s="4" t="s">
        <v>213</v>
      </c>
      <c r="E21" s="4" t="s">
        <v>226</v>
      </c>
      <c r="F21" s="22"/>
      <c r="G21" s="23" t="s">
        <v>104</v>
      </c>
      <c r="H21" s="6"/>
      <c r="I21" s="6"/>
      <c r="J21" s="6"/>
      <c r="K21" s="6"/>
      <c r="L21" s="6"/>
      <c r="M21" s="6"/>
      <c r="N21" s="6"/>
      <c r="O21" s="16" t="str">
        <f>IF(COUNT(I21:M21)&lt;5,"",ROUND((I21*Matriz!$C$5+J21*Matriz!$C$6+K21*Matriz!$C$7+L21*Matriz!$C$8+M21*Matriz!$C$9)/SUM(Matriz!$C$5:$C$9),2))</f>
        <v/>
      </c>
      <c r="P21" s="17">
        <f>IFERROR(INDEX(Processos!$F$8:$F$17,MATCH(C21,Processos!$A$8:$A$17,0)),1)</f>
        <v>1.0169999999999999</v>
      </c>
      <c r="Q21" s="24">
        <f>IFERROR(INDEX(Matriz!$C$28:$C$33,MATCH(G21,Matriz!$A$28:$A$33,0)),0)</f>
        <v>0</v>
      </c>
      <c r="R21" s="25" t="str">
        <f t="shared" si="0"/>
        <v/>
      </c>
      <c r="S21" s="10" t="str">
        <f>IF(R21="","",IF(R21&gt;=Matriz!$C$19,4,IF(R21&gt;=Matriz!$C$18,3,IF(R21&gt;=Matriz!$C$17,2,1))))</f>
        <v/>
      </c>
      <c r="T21" s="9" t="str">
        <f>IF(S21="","",MAX(S21,IF(I21=5,Matriz!$C$23,0),IF(N21="Sim",Matriz!$C$24,0)))</f>
        <v/>
      </c>
      <c r="U21" s="9" t="str">
        <f t="shared" si="1"/>
        <v/>
      </c>
      <c r="V21" s="26" t="str">
        <f t="shared" si="2"/>
        <v/>
      </c>
      <c r="W21" s="10" t="str">
        <f t="shared" si="3"/>
        <v/>
      </c>
      <c r="X21" s="4"/>
      <c r="Y21" s="4"/>
    </row>
    <row r="22" spans="1:25" ht="28.05" hidden="1" customHeight="1" x14ac:dyDescent="0.3">
      <c r="A22" s="20" t="s">
        <v>227</v>
      </c>
      <c r="B22" s="21" t="s">
        <v>228</v>
      </c>
      <c r="C22" s="4" t="s">
        <v>138</v>
      </c>
      <c r="D22" s="4" t="s">
        <v>229</v>
      </c>
      <c r="E22" s="4" t="s">
        <v>226</v>
      </c>
      <c r="F22" s="22"/>
      <c r="G22" s="23" t="s">
        <v>102</v>
      </c>
      <c r="H22" s="6"/>
      <c r="I22" s="6"/>
      <c r="J22" s="6"/>
      <c r="K22" s="6"/>
      <c r="L22" s="6"/>
      <c r="M22" s="6"/>
      <c r="N22" s="6"/>
      <c r="O22" s="16" t="str">
        <f>IF(COUNT(I22:M22)&lt;5,"",ROUND((I22*Matriz!$C$5+J22*Matriz!$C$6+K22*Matriz!$C$7+L22*Matriz!$C$8+M22*Matriz!$C$9)/SUM(Matriz!$C$5:$C$9),2))</f>
        <v/>
      </c>
      <c r="P22" s="17">
        <f>IFERROR(INDEX(Processos!$F$8:$F$17,MATCH(C22,Processos!$A$8:$A$17,0)),1)</f>
        <v>1.0169999999999999</v>
      </c>
      <c r="Q22" s="24">
        <f>IFERROR(INDEX(Matriz!$C$28:$C$33,MATCH(G22,Matriz!$A$28:$A$33,0)),0)</f>
        <v>0</v>
      </c>
      <c r="R22" s="25" t="str">
        <f t="shared" si="0"/>
        <v/>
      </c>
      <c r="S22" s="10" t="str">
        <f>IF(R22="","",IF(R22&gt;=Matriz!$C$19,4,IF(R22&gt;=Matriz!$C$18,3,IF(R22&gt;=Matriz!$C$17,2,1))))</f>
        <v/>
      </c>
      <c r="T22" s="9" t="str">
        <f>IF(S22="","",MAX(S22,IF(I22=5,Matriz!$C$23,0),IF(N22="Sim",Matriz!$C$24,0)))</f>
        <v/>
      </c>
      <c r="U22" s="9" t="str">
        <f t="shared" si="1"/>
        <v/>
      </c>
      <c r="V22" s="26" t="str">
        <f t="shared" si="2"/>
        <v/>
      </c>
      <c r="W22" s="10" t="str">
        <f t="shared" si="3"/>
        <v/>
      </c>
      <c r="X22" s="4"/>
      <c r="Y22" s="4"/>
    </row>
    <row r="23" spans="1:25" ht="28.05" hidden="1" customHeight="1" x14ac:dyDescent="0.3">
      <c r="A23" s="20" t="s">
        <v>230</v>
      </c>
      <c r="B23" s="21" t="s">
        <v>231</v>
      </c>
      <c r="C23" s="4" t="s">
        <v>138</v>
      </c>
      <c r="D23" s="4" t="s">
        <v>229</v>
      </c>
      <c r="E23" s="4" t="s">
        <v>226</v>
      </c>
      <c r="F23" s="22"/>
      <c r="G23" s="23" t="s">
        <v>102</v>
      </c>
      <c r="H23" s="6"/>
      <c r="I23" s="6"/>
      <c r="J23" s="6"/>
      <c r="K23" s="6"/>
      <c r="L23" s="6"/>
      <c r="M23" s="6"/>
      <c r="N23" s="6"/>
      <c r="O23" s="16" t="str">
        <f>IF(COUNT(I23:M23)&lt;5,"",ROUND((I23*Matriz!$C$5+J23*Matriz!$C$6+K23*Matriz!$C$7+L23*Matriz!$C$8+M23*Matriz!$C$9)/SUM(Matriz!$C$5:$C$9),2))</f>
        <v/>
      </c>
      <c r="P23" s="17">
        <f>IFERROR(INDEX(Processos!$F$8:$F$17,MATCH(C23,Processos!$A$8:$A$17,0)),1)</f>
        <v>1.0169999999999999</v>
      </c>
      <c r="Q23" s="24">
        <f>IFERROR(INDEX(Matriz!$C$28:$C$33,MATCH(G23,Matriz!$A$28:$A$33,0)),0)</f>
        <v>0</v>
      </c>
      <c r="R23" s="25" t="str">
        <f t="shared" si="0"/>
        <v/>
      </c>
      <c r="S23" s="10" t="str">
        <f>IF(R23="","",IF(R23&gt;=Matriz!$C$19,4,IF(R23&gt;=Matriz!$C$18,3,IF(R23&gt;=Matriz!$C$17,2,1))))</f>
        <v/>
      </c>
      <c r="T23" s="9" t="str">
        <f>IF(S23="","",MAX(S23,IF(I23=5,Matriz!$C$23,0),IF(N23="Sim",Matriz!$C$24,0)))</f>
        <v/>
      </c>
      <c r="U23" s="9" t="str">
        <f t="shared" si="1"/>
        <v/>
      </c>
      <c r="V23" s="26" t="str">
        <f t="shared" si="2"/>
        <v/>
      </c>
      <c r="W23" s="10" t="str">
        <f t="shared" si="3"/>
        <v/>
      </c>
      <c r="X23" s="4"/>
      <c r="Y23" s="4"/>
    </row>
    <row r="24" spans="1:25" ht="28.05" hidden="1" customHeight="1" x14ac:dyDescent="0.3">
      <c r="A24" s="20" t="s">
        <v>232</v>
      </c>
      <c r="B24" s="21" t="s">
        <v>233</v>
      </c>
      <c r="C24" s="4" t="s">
        <v>138</v>
      </c>
      <c r="D24" s="4" t="s">
        <v>229</v>
      </c>
      <c r="E24" s="4" t="s">
        <v>226</v>
      </c>
      <c r="F24" s="22"/>
      <c r="G24" s="23" t="s">
        <v>102</v>
      </c>
      <c r="H24" s="6"/>
      <c r="I24" s="6"/>
      <c r="J24" s="6"/>
      <c r="K24" s="6"/>
      <c r="L24" s="6"/>
      <c r="M24" s="6"/>
      <c r="N24" s="6"/>
      <c r="O24" s="16" t="str">
        <f>IF(COUNT(I24:M24)&lt;5,"",ROUND((I24*Matriz!$C$5+J24*Matriz!$C$6+K24*Matriz!$C$7+L24*Matriz!$C$8+M24*Matriz!$C$9)/SUM(Matriz!$C$5:$C$9),2))</f>
        <v/>
      </c>
      <c r="P24" s="17">
        <f>IFERROR(INDEX(Processos!$F$8:$F$17,MATCH(C24,Processos!$A$8:$A$17,0)),1)</f>
        <v>1.0169999999999999</v>
      </c>
      <c r="Q24" s="24">
        <f>IFERROR(INDEX(Matriz!$C$28:$C$33,MATCH(G24,Matriz!$A$28:$A$33,0)),0)</f>
        <v>0</v>
      </c>
      <c r="R24" s="25" t="str">
        <f t="shared" si="0"/>
        <v/>
      </c>
      <c r="S24" s="10" t="str">
        <f>IF(R24="","",IF(R24&gt;=Matriz!$C$19,4,IF(R24&gt;=Matriz!$C$18,3,IF(R24&gt;=Matriz!$C$17,2,1))))</f>
        <v/>
      </c>
      <c r="T24" s="9" t="str">
        <f>IF(S24="","",MAX(S24,IF(I24=5,Matriz!$C$23,0),IF(N24="Sim",Matriz!$C$24,0)))</f>
        <v/>
      </c>
      <c r="U24" s="9" t="str">
        <f t="shared" si="1"/>
        <v/>
      </c>
      <c r="V24" s="26" t="str">
        <f t="shared" si="2"/>
        <v/>
      </c>
      <c r="W24" s="10" t="str">
        <f t="shared" si="3"/>
        <v/>
      </c>
      <c r="X24" s="4"/>
      <c r="Y24" s="4"/>
    </row>
    <row r="25" spans="1:25" ht="28.05" hidden="1" customHeight="1" x14ac:dyDescent="0.3">
      <c r="A25" s="20" t="s">
        <v>234</v>
      </c>
      <c r="B25" s="21" t="s">
        <v>235</v>
      </c>
      <c r="C25" s="4" t="s">
        <v>138</v>
      </c>
      <c r="D25" s="4" t="s">
        <v>229</v>
      </c>
      <c r="E25" s="4" t="s">
        <v>226</v>
      </c>
      <c r="F25" s="22"/>
      <c r="G25" s="23" t="s">
        <v>102</v>
      </c>
      <c r="H25" s="6"/>
      <c r="I25" s="6"/>
      <c r="J25" s="6"/>
      <c r="K25" s="6"/>
      <c r="L25" s="6"/>
      <c r="M25" s="6"/>
      <c r="N25" s="6"/>
      <c r="O25" s="16" t="str">
        <f>IF(COUNT(I25:M25)&lt;5,"",ROUND((I25*Matriz!$C$5+J25*Matriz!$C$6+K25*Matriz!$C$7+L25*Matriz!$C$8+M25*Matriz!$C$9)/SUM(Matriz!$C$5:$C$9),2))</f>
        <v/>
      </c>
      <c r="P25" s="17">
        <f>IFERROR(INDEX(Processos!$F$8:$F$17,MATCH(C25,Processos!$A$8:$A$17,0)),1)</f>
        <v>1.0169999999999999</v>
      </c>
      <c r="Q25" s="24">
        <f>IFERROR(INDEX(Matriz!$C$28:$C$33,MATCH(G25,Matriz!$A$28:$A$33,0)),0)</f>
        <v>0</v>
      </c>
      <c r="R25" s="25" t="str">
        <f t="shared" si="0"/>
        <v/>
      </c>
      <c r="S25" s="10" t="str">
        <f>IF(R25="","",IF(R25&gt;=Matriz!$C$19,4,IF(R25&gt;=Matriz!$C$18,3,IF(R25&gt;=Matriz!$C$17,2,1))))</f>
        <v/>
      </c>
      <c r="T25" s="9" t="str">
        <f>IF(S25="","",MAX(S25,IF(I25=5,Matriz!$C$23,0),IF(N25="Sim",Matriz!$C$24,0)))</f>
        <v/>
      </c>
      <c r="U25" s="9" t="str">
        <f t="shared" si="1"/>
        <v/>
      </c>
      <c r="V25" s="26" t="str">
        <f t="shared" si="2"/>
        <v/>
      </c>
      <c r="W25" s="10" t="str">
        <f t="shared" si="3"/>
        <v/>
      </c>
      <c r="X25" s="4"/>
      <c r="Y25" s="4"/>
    </row>
    <row r="26" spans="1:25" ht="28.05" hidden="1" customHeight="1" x14ac:dyDescent="0.3">
      <c r="A26" s="20" t="s">
        <v>236</v>
      </c>
      <c r="B26" s="21" t="s">
        <v>237</v>
      </c>
      <c r="C26" s="4" t="s">
        <v>138</v>
      </c>
      <c r="D26" s="4" t="s">
        <v>229</v>
      </c>
      <c r="E26" s="4" t="s">
        <v>226</v>
      </c>
      <c r="F26" s="22"/>
      <c r="G26" s="23" t="s">
        <v>102</v>
      </c>
      <c r="H26" s="6"/>
      <c r="I26" s="6"/>
      <c r="J26" s="6"/>
      <c r="K26" s="6"/>
      <c r="L26" s="6"/>
      <c r="M26" s="6"/>
      <c r="N26" s="6"/>
      <c r="O26" s="16" t="str">
        <f>IF(COUNT(I26:M26)&lt;5,"",ROUND((I26*Matriz!$C$5+J26*Matriz!$C$6+K26*Matriz!$C$7+L26*Matriz!$C$8+M26*Matriz!$C$9)/SUM(Matriz!$C$5:$C$9),2))</f>
        <v/>
      </c>
      <c r="P26" s="17">
        <f>IFERROR(INDEX(Processos!$F$8:$F$17,MATCH(C26,Processos!$A$8:$A$17,0)),1)</f>
        <v>1.0169999999999999</v>
      </c>
      <c r="Q26" s="24">
        <f>IFERROR(INDEX(Matriz!$C$28:$C$33,MATCH(G26,Matriz!$A$28:$A$33,0)),0)</f>
        <v>0</v>
      </c>
      <c r="R26" s="25" t="str">
        <f t="shared" si="0"/>
        <v/>
      </c>
      <c r="S26" s="10" t="str">
        <f>IF(R26="","",IF(R26&gt;=Matriz!$C$19,4,IF(R26&gt;=Matriz!$C$18,3,IF(R26&gt;=Matriz!$C$17,2,1))))</f>
        <v/>
      </c>
      <c r="T26" s="9" t="str">
        <f>IF(S26="","",MAX(S26,IF(I26=5,Matriz!$C$23,0),IF(N26="Sim",Matriz!$C$24,0)))</f>
        <v/>
      </c>
      <c r="U26" s="9" t="str">
        <f t="shared" si="1"/>
        <v/>
      </c>
      <c r="V26" s="26" t="str">
        <f t="shared" si="2"/>
        <v/>
      </c>
      <c r="W26" s="10" t="str">
        <f t="shared" si="3"/>
        <v/>
      </c>
      <c r="X26" s="4"/>
      <c r="Y26" s="4"/>
    </row>
    <row r="27" spans="1:25" ht="28.05" hidden="1" customHeight="1" x14ac:dyDescent="0.3">
      <c r="A27" s="20" t="s">
        <v>238</v>
      </c>
      <c r="B27" s="21" t="s">
        <v>239</v>
      </c>
      <c r="C27" s="4" t="s">
        <v>138</v>
      </c>
      <c r="D27" s="4" t="s">
        <v>229</v>
      </c>
      <c r="E27" s="4" t="s">
        <v>226</v>
      </c>
      <c r="F27" s="22"/>
      <c r="G27" s="23" t="s">
        <v>98</v>
      </c>
      <c r="H27" s="6"/>
      <c r="I27" s="6"/>
      <c r="J27" s="6"/>
      <c r="K27" s="6"/>
      <c r="L27" s="6"/>
      <c r="M27" s="6"/>
      <c r="N27" s="6"/>
      <c r="O27" s="16" t="str">
        <f>IF(COUNT(I27:M27)&lt;5,"",ROUND((I27*Matriz!$C$5+J27*Matriz!$C$6+K27*Matriz!$C$7+L27*Matriz!$C$8+M27*Matriz!$C$9)/SUM(Matriz!$C$5:$C$9),2))</f>
        <v/>
      </c>
      <c r="P27" s="17">
        <f>IFERROR(INDEX(Processos!$F$8:$F$17,MATCH(C27,Processos!$A$8:$A$17,0)),1)</f>
        <v>1.0169999999999999</v>
      </c>
      <c r="Q27" s="24">
        <f>IFERROR(INDEX(Matriz!$C$28:$C$33,MATCH(G27,Matriz!$A$28:$A$33,0)),0)</f>
        <v>0.3</v>
      </c>
      <c r="R27" s="25" t="str">
        <f t="shared" si="0"/>
        <v/>
      </c>
      <c r="S27" s="10" t="str">
        <f>IF(R27="","",IF(R27&gt;=Matriz!$C$19,4,IF(R27&gt;=Matriz!$C$18,3,IF(R27&gt;=Matriz!$C$17,2,1))))</f>
        <v/>
      </c>
      <c r="T27" s="9" t="str">
        <f>IF(S27="","",MAX(S27,IF(I27=5,Matriz!$C$23,0),IF(N27="Sim",Matriz!$C$24,0)))</f>
        <v/>
      </c>
      <c r="U27" s="9" t="str">
        <f t="shared" si="1"/>
        <v/>
      </c>
      <c r="V27" s="26" t="str">
        <f t="shared" si="2"/>
        <v/>
      </c>
      <c r="W27" s="10" t="str">
        <f t="shared" si="3"/>
        <v/>
      </c>
      <c r="X27" s="4"/>
      <c r="Y27" s="4"/>
    </row>
    <row r="28" spans="1:25" ht="28.05" hidden="1" customHeight="1" x14ac:dyDescent="0.3">
      <c r="A28" s="20" t="s">
        <v>240</v>
      </c>
      <c r="B28" s="21" t="s">
        <v>241</v>
      </c>
      <c r="C28" s="4" t="s">
        <v>138</v>
      </c>
      <c r="D28" s="4" t="s">
        <v>242</v>
      </c>
      <c r="E28" s="4" t="s">
        <v>226</v>
      </c>
      <c r="F28" s="22"/>
      <c r="G28" s="23" t="s">
        <v>104</v>
      </c>
      <c r="H28" s="6"/>
      <c r="I28" s="6"/>
      <c r="J28" s="6"/>
      <c r="K28" s="6"/>
      <c r="L28" s="6"/>
      <c r="M28" s="6"/>
      <c r="N28" s="6"/>
      <c r="O28" s="16" t="str">
        <f>IF(COUNT(I28:M28)&lt;5,"",ROUND((I28*Matriz!$C$5+J28*Matriz!$C$6+K28*Matriz!$C$7+L28*Matriz!$C$8+M28*Matriz!$C$9)/SUM(Matriz!$C$5:$C$9),2))</f>
        <v/>
      </c>
      <c r="P28" s="17">
        <f>IFERROR(INDEX(Processos!$F$8:$F$17,MATCH(C28,Processos!$A$8:$A$17,0)),1)</f>
        <v>1.0169999999999999</v>
      </c>
      <c r="Q28" s="24">
        <f>IFERROR(INDEX(Matriz!$C$28:$C$33,MATCH(G28,Matriz!$A$28:$A$33,0)),0)</f>
        <v>0</v>
      </c>
      <c r="R28" s="25" t="str">
        <f t="shared" si="0"/>
        <v/>
      </c>
      <c r="S28" s="10" t="str">
        <f>IF(R28="","",IF(R28&gt;=Matriz!$C$19,4,IF(R28&gt;=Matriz!$C$18,3,IF(R28&gt;=Matriz!$C$17,2,1))))</f>
        <v/>
      </c>
      <c r="T28" s="9" t="str">
        <f>IF(S28="","",MAX(S28,IF(I28=5,Matriz!$C$23,0),IF(N28="Sim",Matriz!$C$24,0)))</f>
        <v/>
      </c>
      <c r="U28" s="9" t="str">
        <f t="shared" si="1"/>
        <v/>
      </c>
      <c r="V28" s="26" t="str">
        <f t="shared" si="2"/>
        <v/>
      </c>
      <c r="W28" s="10" t="str">
        <f t="shared" si="3"/>
        <v/>
      </c>
      <c r="X28" s="4"/>
      <c r="Y28" s="4"/>
    </row>
    <row r="29" spans="1:25" ht="28.05" hidden="1" customHeight="1" x14ac:dyDescent="0.3">
      <c r="A29" s="20" t="s">
        <v>243</v>
      </c>
      <c r="B29" s="21" t="s">
        <v>244</v>
      </c>
      <c r="C29" s="4" t="s">
        <v>138</v>
      </c>
      <c r="D29" s="4" t="s">
        <v>245</v>
      </c>
      <c r="E29" s="4" t="s">
        <v>226</v>
      </c>
      <c r="F29" s="22"/>
      <c r="G29" s="23" t="s">
        <v>104</v>
      </c>
      <c r="H29" s="6"/>
      <c r="I29" s="6"/>
      <c r="J29" s="6"/>
      <c r="K29" s="6"/>
      <c r="L29" s="6"/>
      <c r="M29" s="6"/>
      <c r="N29" s="6"/>
      <c r="O29" s="16" t="str">
        <f>IF(COUNT(I29:M29)&lt;5,"",ROUND((I29*Matriz!$C$5+J29*Matriz!$C$6+K29*Matriz!$C$7+L29*Matriz!$C$8+M29*Matriz!$C$9)/SUM(Matriz!$C$5:$C$9),2))</f>
        <v/>
      </c>
      <c r="P29" s="17">
        <f>IFERROR(INDEX(Processos!$F$8:$F$17,MATCH(C29,Processos!$A$8:$A$17,0)),1)</f>
        <v>1.0169999999999999</v>
      </c>
      <c r="Q29" s="24">
        <f>IFERROR(INDEX(Matriz!$C$28:$C$33,MATCH(G29,Matriz!$A$28:$A$33,0)),0)</f>
        <v>0</v>
      </c>
      <c r="R29" s="25" t="str">
        <f t="shared" si="0"/>
        <v/>
      </c>
      <c r="S29" s="10" t="str">
        <f>IF(R29="","",IF(R29&gt;=Matriz!$C$19,4,IF(R29&gt;=Matriz!$C$18,3,IF(R29&gt;=Matriz!$C$17,2,1))))</f>
        <v/>
      </c>
      <c r="T29" s="9" t="str">
        <f>IF(S29="","",MAX(S29,IF(I29=5,Matriz!$C$23,0),IF(N29="Sim",Matriz!$C$24,0)))</f>
        <v/>
      </c>
      <c r="U29" s="9" t="str">
        <f t="shared" si="1"/>
        <v/>
      </c>
      <c r="V29" s="26" t="str">
        <f t="shared" si="2"/>
        <v/>
      </c>
      <c r="W29" s="10" t="str">
        <f t="shared" si="3"/>
        <v/>
      </c>
      <c r="X29" s="4"/>
      <c r="Y29" s="4"/>
    </row>
    <row r="30" spans="1:25" ht="28.05" hidden="1" customHeight="1" x14ac:dyDescent="0.3">
      <c r="A30" s="20" t="s">
        <v>246</v>
      </c>
      <c r="B30" s="21" t="s">
        <v>247</v>
      </c>
      <c r="C30" s="4" t="s">
        <v>138</v>
      </c>
      <c r="D30" s="4" t="s">
        <v>229</v>
      </c>
      <c r="E30" s="4" t="s">
        <v>226</v>
      </c>
      <c r="F30" s="22"/>
      <c r="G30" s="23" t="s">
        <v>102</v>
      </c>
      <c r="H30" s="6"/>
      <c r="I30" s="6"/>
      <c r="J30" s="6"/>
      <c r="K30" s="6"/>
      <c r="L30" s="6"/>
      <c r="M30" s="6"/>
      <c r="N30" s="6"/>
      <c r="O30" s="16" t="str">
        <f>IF(COUNT(I30:M30)&lt;5,"",ROUND((I30*Matriz!$C$5+J30*Matriz!$C$6+K30*Matriz!$C$7+L30*Matriz!$C$8+M30*Matriz!$C$9)/SUM(Matriz!$C$5:$C$9),2))</f>
        <v/>
      </c>
      <c r="P30" s="17">
        <f>IFERROR(INDEX(Processos!$F$8:$F$17,MATCH(C30,Processos!$A$8:$A$17,0)),1)</f>
        <v>1.0169999999999999</v>
      </c>
      <c r="Q30" s="24">
        <f>IFERROR(INDEX(Matriz!$C$28:$C$33,MATCH(G30,Matriz!$A$28:$A$33,0)),0)</f>
        <v>0</v>
      </c>
      <c r="R30" s="25" t="str">
        <f t="shared" si="0"/>
        <v/>
      </c>
      <c r="S30" s="10" t="str">
        <f>IF(R30="","",IF(R30&gt;=Matriz!$C$19,4,IF(R30&gt;=Matriz!$C$18,3,IF(R30&gt;=Matriz!$C$17,2,1))))</f>
        <v/>
      </c>
      <c r="T30" s="9" t="str">
        <f>IF(S30="","",MAX(S30,IF(I30=5,Matriz!$C$23,0),IF(N30="Sim",Matriz!$C$24,0)))</f>
        <v/>
      </c>
      <c r="U30" s="9" t="str">
        <f t="shared" si="1"/>
        <v/>
      </c>
      <c r="V30" s="26" t="str">
        <f t="shared" si="2"/>
        <v/>
      </c>
      <c r="W30" s="10" t="str">
        <f t="shared" si="3"/>
        <v/>
      </c>
      <c r="X30" s="4"/>
      <c r="Y30" s="4"/>
    </row>
    <row r="31" spans="1:25" ht="28.05" hidden="1" customHeight="1" x14ac:dyDescent="0.3">
      <c r="A31" s="20" t="s">
        <v>248</v>
      </c>
      <c r="B31" s="21" t="s">
        <v>249</v>
      </c>
      <c r="C31" s="4" t="s">
        <v>138</v>
      </c>
      <c r="D31" s="4" t="s">
        <v>250</v>
      </c>
      <c r="E31" s="4" t="s">
        <v>226</v>
      </c>
      <c r="F31" s="22"/>
      <c r="G31" s="23" t="s">
        <v>98</v>
      </c>
      <c r="H31" s="6"/>
      <c r="I31" s="6"/>
      <c r="J31" s="6"/>
      <c r="K31" s="6"/>
      <c r="L31" s="6"/>
      <c r="M31" s="6"/>
      <c r="N31" s="6"/>
      <c r="O31" s="16" t="str">
        <f>IF(COUNT(I31:M31)&lt;5,"",ROUND((I31*Matriz!$C$5+J31*Matriz!$C$6+K31*Matriz!$C$7+L31*Matriz!$C$8+M31*Matriz!$C$9)/SUM(Matriz!$C$5:$C$9),2))</f>
        <v/>
      </c>
      <c r="P31" s="17">
        <f>IFERROR(INDEX(Processos!$F$8:$F$17,MATCH(C31,Processos!$A$8:$A$17,0)),1)</f>
        <v>1.0169999999999999</v>
      </c>
      <c r="Q31" s="24">
        <f>IFERROR(INDEX(Matriz!$C$28:$C$33,MATCH(G31,Matriz!$A$28:$A$33,0)),0)</f>
        <v>0.3</v>
      </c>
      <c r="R31" s="25" t="str">
        <f t="shared" si="0"/>
        <v/>
      </c>
      <c r="S31" s="10" t="str">
        <f>IF(R31="","",IF(R31&gt;=Matriz!$C$19,4,IF(R31&gt;=Matriz!$C$18,3,IF(R31&gt;=Matriz!$C$17,2,1))))</f>
        <v/>
      </c>
      <c r="T31" s="9" t="str">
        <f>IF(S31="","",MAX(S31,IF(I31=5,Matriz!$C$23,0),IF(N31="Sim",Matriz!$C$24,0)))</f>
        <v/>
      </c>
      <c r="U31" s="9" t="str">
        <f t="shared" si="1"/>
        <v/>
      </c>
      <c r="V31" s="26" t="str">
        <f t="shared" si="2"/>
        <v/>
      </c>
      <c r="W31" s="10" t="str">
        <f t="shared" si="3"/>
        <v/>
      </c>
      <c r="X31" s="4"/>
      <c r="Y31" s="4"/>
    </row>
    <row r="32" spans="1:25" ht="28.05" hidden="1" customHeight="1" x14ac:dyDescent="0.3">
      <c r="A32" s="20" t="s">
        <v>251</v>
      </c>
      <c r="B32" s="21" t="s">
        <v>252</v>
      </c>
      <c r="C32" s="4" t="s">
        <v>138</v>
      </c>
      <c r="D32" s="4" t="s">
        <v>229</v>
      </c>
      <c r="E32" s="4" t="s">
        <v>226</v>
      </c>
      <c r="F32" s="22"/>
      <c r="G32" s="23" t="s">
        <v>102</v>
      </c>
      <c r="H32" s="6"/>
      <c r="I32" s="6"/>
      <c r="J32" s="6"/>
      <c r="K32" s="6"/>
      <c r="L32" s="6"/>
      <c r="M32" s="6"/>
      <c r="N32" s="6"/>
      <c r="O32" s="16" t="str">
        <f>IF(COUNT(I32:M32)&lt;5,"",ROUND((I32*Matriz!$C$5+J32*Matriz!$C$6+K32*Matriz!$C$7+L32*Matriz!$C$8+M32*Matriz!$C$9)/SUM(Matriz!$C$5:$C$9),2))</f>
        <v/>
      </c>
      <c r="P32" s="17">
        <f>IFERROR(INDEX(Processos!$F$8:$F$17,MATCH(C32,Processos!$A$8:$A$17,0)),1)</f>
        <v>1.0169999999999999</v>
      </c>
      <c r="Q32" s="24">
        <f>IFERROR(INDEX(Matriz!$C$28:$C$33,MATCH(G32,Matriz!$A$28:$A$33,0)),0)</f>
        <v>0</v>
      </c>
      <c r="R32" s="25" t="str">
        <f t="shared" si="0"/>
        <v/>
      </c>
      <c r="S32" s="10" t="str">
        <f>IF(R32="","",IF(R32&gt;=Matriz!$C$19,4,IF(R32&gt;=Matriz!$C$18,3,IF(R32&gt;=Matriz!$C$17,2,1))))</f>
        <v/>
      </c>
      <c r="T32" s="9" t="str">
        <f>IF(S32="","",MAX(S32,IF(I32=5,Matriz!$C$23,0),IF(N32="Sim",Matriz!$C$24,0)))</f>
        <v/>
      </c>
      <c r="U32" s="9" t="str">
        <f t="shared" si="1"/>
        <v/>
      </c>
      <c r="V32" s="26" t="str">
        <f t="shared" si="2"/>
        <v/>
      </c>
      <c r="W32" s="10" t="str">
        <f t="shared" si="3"/>
        <v/>
      </c>
      <c r="X32" s="4"/>
      <c r="Y32" s="4"/>
    </row>
    <row r="33" spans="1:25" ht="28.05" hidden="1" customHeight="1" x14ac:dyDescent="0.3">
      <c r="A33" s="20" t="s">
        <v>253</v>
      </c>
      <c r="B33" s="21" t="s">
        <v>254</v>
      </c>
      <c r="C33" s="4" t="s">
        <v>138</v>
      </c>
      <c r="D33" s="4" t="s">
        <v>255</v>
      </c>
      <c r="E33" s="4" t="s">
        <v>226</v>
      </c>
      <c r="F33" s="22"/>
      <c r="G33" s="23" t="s">
        <v>102</v>
      </c>
      <c r="H33" s="6"/>
      <c r="I33" s="6"/>
      <c r="J33" s="6"/>
      <c r="K33" s="6"/>
      <c r="L33" s="6"/>
      <c r="M33" s="6"/>
      <c r="N33" s="6"/>
      <c r="O33" s="16" t="str">
        <f>IF(COUNT(I33:M33)&lt;5,"",ROUND((I33*Matriz!$C$5+J33*Matriz!$C$6+K33*Matriz!$C$7+L33*Matriz!$C$8+M33*Matriz!$C$9)/SUM(Matriz!$C$5:$C$9),2))</f>
        <v/>
      </c>
      <c r="P33" s="17">
        <f>IFERROR(INDEX(Processos!$F$8:$F$17,MATCH(C33,Processos!$A$8:$A$17,0)),1)</f>
        <v>1.0169999999999999</v>
      </c>
      <c r="Q33" s="24">
        <f>IFERROR(INDEX(Matriz!$C$28:$C$33,MATCH(G33,Matriz!$A$28:$A$33,0)),0)</f>
        <v>0</v>
      </c>
      <c r="R33" s="25" t="str">
        <f t="shared" si="0"/>
        <v/>
      </c>
      <c r="S33" s="10" t="str">
        <f>IF(R33="","",IF(R33&gt;=Matriz!$C$19,4,IF(R33&gt;=Matriz!$C$18,3,IF(R33&gt;=Matriz!$C$17,2,1))))</f>
        <v/>
      </c>
      <c r="T33" s="9" t="str">
        <f>IF(S33="","",MAX(S33,IF(I33=5,Matriz!$C$23,0),IF(N33="Sim",Matriz!$C$24,0)))</f>
        <v/>
      </c>
      <c r="U33" s="9" t="str">
        <f t="shared" si="1"/>
        <v/>
      </c>
      <c r="V33" s="26" t="str">
        <f t="shared" si="2"/>
        <v/>
      </c>
      <c r="W33" s="10" t="str">
        <f t="shared" si="3"/>
        <v/>
      </c>
      <c r="X33" s="4"/>
      <c r="Y33" s="4"/>
    </row>
    <row r="34" spans="1:25" ht="28.05" hidden="1" customHeight="1" x14ac:dyDescent="0.3">
      <c r="A34" s="20" t="s">
        <v>256</v>
      </c>
      <c r="B34" s="21" t="s">
        <v>257</v>
      </c>
      <c r="C34" s="4" t="s">
        <v>138</v>
      </c>
      <c r="D34" s="4" t="s">
        <v>229</v>
      </c>
      <c r="E34" s="4" t="s">
        <v>226</v>
      </c>
      <c r="F34" s="22"/>
      <c r="G34" s="23" t="s">
        <v>98</v>
      </c>
      <c r="H34" s="6"/>
      <c r="I34" s="6"/>
      <c r="J34" s="6"/>
      <c r="K34" s="6"/>
      <c r="L34" s="6"/>
      <c r="M34" s="6"/>
      <c r="N34" s="6"/>
      <c r="O34" s="16" t="str">
        <f>IF(COUNT(I34:M34)&lt;5,"",ROUND((I34*Matriz!$C$5+J34*Matriz!$C$6+K34*Matriz!$C$7+L34*Matriz!$C$8+M34*Matriz!$C$9)/SUM(Matriz!$C$5:$C$9),2))</f>
        <v/>
      </c>
      <c r="P34" s="17">
        <f>IFERROR(INDEX(Processos!$F$8:$F$17,MATCH(C34,Processos!$A$8:$A$17,0)),1)</f>
        <v>1.0169999999999999</v>
      </c>
      <c r="Q34" s="24">
        <f>IFERROR(INDEX(Matriz!$C$28:$C$33,MATCH(G34,Matriz!$A$28:$A$33,0)),0)</f>
        <v>0.3</v>
      </c>
      <c r="R34" s="25" t="str">
        <f t="shared" si="0"/>
        <v/>
      </c>
      <c r="S34" s="10" t="str">
        <f>IF(R34="","",IF(R34&gt;=Matriz!$C$19,4,IF(R34&gt;=Matriz!$C$18,3,IF(R34&gt;=Matriz!$C$17,2,1))))</f>
        <v/>
      </c>
      <c r="T34" s="9" t="str">
        <f>IF(S34="","",MAX(S34,IF(I34=5,Matriz!$C$23,0),IF(N34="Sim",Matriz!$C$24,0)))</f>
        <v/>
      </c>
      <c r="U34" s="9" t="str">
        <f t="shared" si="1"/>
        <v/>
      </c>
      <c r="V34" s="26" t="str">
        <f t="shared" si="2"/>
        <v/>
      </c>
      <c r="W34" s="10" t="str">
        <f t="shared" si="3"/>
        <v/>
      </c>
      <c r="X34" s="4"/>
      <c r="Y34" s="4"/>
    </row>
    <row r="35" spans="1:25" ht="40.049999999999997" hidden="1" customHeight="1" x14ac:dyDescent="0.3">
      <c r="A35" s="20" t="s">
        <v>258</v>
      </c>
      <c r="B35" s="21" t="s">
        <v>259</v>
      </c>
      <c r="C35" s="4" t="s">
        <v>138</v>
      </c>
      <c r="D35" s="4" t="s">
        <v>260</v>
      </c>
      <c r="E35" s="4" t="s">
        <v>226</v>
      </c>
      <c r="F35" s="22"/>
      <c r="G35" s="23" t="s">
        <v>104</v>
      </c>
      <c r="H35" s="6">
        <v>3</v>
      </c>
      <c r="I35" s="6">
        <v>2</v>
      </c>
      <c r="J35" s="6">
        <v>3</v>
      </c>
      <c r="K35" s="6">
        <v>1</v>
      </c>
      <c r="L35" s="6">
        <v>3</v>
      </c>
      <c r="M35" s="6">
        <v>1</v>
      </c>
      <c r="N35" s="6" t="s">
        <v>261</v>
      </c>
      <c r="O35" s="16">
        <f>IF(COUNT(I35:M35)&lt;5,"",ROUND((I35*Matriz!$C$5+J35*Matriz!$C$6+K35*Matriz!$C$7+L35*Matriz!$C$8+M35*Matriz!$C$9)/SUM(Matriz!$C$5:$C$9),2))</f>
        <v>2</v>
      </c>
      <c r="P35" s="17">
        <f>IFERROR(INDEX(Processos!$F$8:$F$17,MATCH(C35,Processos!$A$8:$A$17,0)),1)</f>
        <v>1.0169999999999999</v>
      </c>
      <c r="Q35" s="24">
        <f>IFERROR(INDEX(Matriz!$C$28:$C$33,MATCH(G35,Matriz!$A$28:$A$33,0)),0)</f>
        <v>0</v>
      </c>
      <c r="R35" s="25">
        <f t="shared" si="0"/>
        <v>2.0299999999999998</v>
      </c>
      <c r="S35" s="10">
        <f>IF(R35="","",IF(R35&gt;=Matriz!$C$19,4,IF(R35&gt;=Matriz!$C$18,3,IF(R35&gt;=Matriz!$C$17,2,1))))</f>
        <v>1</v>
      </c>
      <c r="T35" s="9">
        <f>IF(S35="","",MAX(S35,IF(I35=5,Matriz!$C$23,0),IF(N35="Sim",Matriz!$C$24,0)))</f>
        <v>1</v>
      </c>
      <c r="U35" s="9" t="str">
        <f t="shared" si="1"/>
        <v>Baixa</v>
      </c>
      <c r="V35" s="26">
        <f t="shared" si="2"/>
        <v>1019.999965</v>
      </c>
      <c r="W35" s="10">
        <f t="shared" si="3"/>
        <v>11</v>
      </c>
      <c r="X35" s="4" t="s">
        <v>262</v>
      </c>
      <c r="Y35" s="4" t="s">
        <v>263</v>
      </c>
    </row>
    <row r="36" spans="1:25" ht="28.05" hidden="1" customHeight="1" x14ac:dyDescent="0.3">
      <c r="A36" s="20" t="s">
        <v>264</v>
      </c>
      <c r="B36" s="21" t="s">
        <v>265</v>
      </c>
      <c r="C36" s="4" t="s">
        <v>138</v>
      </c>
      <c r="D36" s="4" t="s">
        <v>255</v>
      </c>
      <c r="E36" s="4" t="s">
        <v>226</v>
      </c>
      <c r="F36" s="22"/>
      <c r="G36" s="23" t="s">
        <v>104</v>
      </c>
      <c r="H36" s="6"/>
      <c r="I36" s="6"/>
      <c r="J36" s="6"/>
      <c r="K36" s="6"/>
      <c r="L36" s="6"/>
      <c r="M36" s="6"/>
      <c r="N36" s="6"/>
      <c r="O36" s="16" t="str">
        <f>IF(COUNT(I36:M36)&lt;5,"",ROUND((I36*Matriz!$C$5+J36*Matriz!$C$6+K36*Matriz!$C$7+L36*Matriz!$C$8+M36*Matriz!$C$9)/SUM(Matriz!$C$5:$C$9),2))</f>
        <v/>
      </c>
      <c r="P36" s="17">
        <f>IFERROR(INDEX(Processos!$F$8:$F$17,MATCH(C36,Processos!$A$8:$A$17,0)),1)</f>
        <v>1.0169999999999999</v>
      </c>
      <c r="Q36" s="24">
        <f>IFERROR(INDEX(Matriz!$C$28:$C$33,MATCH(G36,Matriz!$A$28:$A$33,0)),0)</f>
        <v>0</v>
      </c>
      <c r="R36" s="25" t="str">
        <f t="shared" si="0"/>
        <v/>
      </c>
      <c r="S36" s="10" t="str">
        <f>IF(R36="","",IF(R36&gt;=Matriz!$C$19,4,IF(R36&gt;=Matriz!$C$18,3,IF(R36&gt;=Matriz!$C$17,2,1))))</f>
        <v/>
      </c>
      <c r="T36" s="9" t="str">
        <f>IF(S36="","",MAX(S36,IF(I36=5,Matriz!$C$23,0),IF(N36="Sim",Matriz!$C$24,0)))</f>
        <v/>
      </c>
      <c r="U36" s="9" t="str">
        <f t="shared" si="1"/>
        <v/>
      </c>
      <c r="V36" s="26" t="str">
        <f t="shared" si="2"/>
        <v/>
      </c>
      <c r="W36" s="10" t="str">
        <f t="shared" si="3"/>
        <v/>
      </c>
      <c r="X36" s="4"/>
      <c r="Y36" s="4"/>
    </row>
    <row r="37" spans="1:25" ht="40.049999999999997" hidden="1" customHeight="1" x14ac:dyDescent="0.3">
      <c r="A37" s="20" t="s">
        <v>266</v>
      </c>
      <c r="B37" s="21" t="s">
        <v>267</v>
      </c>
      <c r="C37" s="4" t="s">
        <v>138</v>
      </c>
      <c r="D37" s="4" t="s">
        <v>229</v>
      </c>
      <c r="E37" s="4" t="s">
        <v>226</v>
      </c>
      <c r="F37" s="22"/>
      <c r="G37" s="23" t="s">
        <v>102</v>
      </c>
      <c r="H37" s="6">
        <v>2</v>
      </c>
      <c r="I37" s="6">
        <v>3</v>
      </c>
      <c r="J37" s="6">
        <v>3</v>
      </c>
      <c r="K37" s="6">
        <v>1</v>
      </c>
      <c r="L37" s="6">
        <v>2</v>
      </c>
      <c r="M37" s="6">
        <v>4</v>
      </c>
      <c r="N37" s="6" t="s">
        <v>261</v>
      </c>
      <c r="O37" s="16">
        <f>IF(COUNT(I37:M37)&lt;5,"",ROUND((I37*Matriz!$C$5+J37*Matriz!$C$6+K37*Matriz!$C$7+L37*Matriz!$C$8+M37*Matriz!$C$9)/SUM(Matriz!$C$5:$C$9),2))</f>
        <v>2.6</v>
      </c>
      <c r="P37" s="17">
        <f>IFERROR(INDEX(Processos!$F$8:$F$17,MATCH(C37,Processos!$A$8:$A$17,0)),1)</f>
        <v>1.0169999999999999</v>
      </c>
      <c r="Q37" s="24">
        <f>IFERROR(INDEX(Matriz!$C$28:$C$33,MATCH(G37,Matriz!$A$28:$A$33,0)),0)</f>
        <v>0</v>
      </c>
      <c r="R37" s="25">
        <f t="shared" si="0"/>
        <v>2.64</v>
      </c>
      <c r="S37" s="10">
        <f>IF(R37="","",IF(R37&gt;=Matriz!$C$19,4,IF(R37&gt;=Matriz!$C$18,3,IF(R37&gt;=Matriz!$C$17,2,1))))</f>
        <v>2</v>
      </c>
      <c r="T37" s="9">
        <f>IF(S37="","",MAX(S37,IF(I37=5,Matriz!$C$23,0),IF(N37="Sim",Matriz!$C$24,0)))</f>
        <v>2</v>
      </c>
      <c r="U37" s="9" t="str">
        <f t="shared" si="1"/>
        <v>Normal</v>
      </c>
      <c r="V37" s="26">
        <f t="shared" si="2"/>
        <v>2026.199963</v>
      </c>
      <c r="W37" s="10">
        <f t="shared" si="3"/>
        <v>10</v>
      </c>
      <c r="X37" s="4" t="s">
        <v>262</v>
      </c>
      <c r="Y37" s="4" t="s">
        <v>268</v>
      </c>
    </row>
    <row r="38" spans="1:25" ht="28.05" hidden="1" customHeight="1" x14ac:dyDescent="0.3">
      <c r="A38" s="20" t="s">
        <v>269</v>
      </c>
      <c r="B38" s="21" t="s">
        <v>270</v>
      </c>
      <c r="C38" s="4" t="s">
        <v>138</v>
      </c>
      <c r="D38" s="4" t="s">
        <v>271</v>
      </c>
      <c r="E38" s="4" t="s">
        <v>226</v>
      </c>
      <c r="F38" s="22"/>
      <c r="G38" s="23" t="s">
        <v>104</v>
      </c>
      <c r="H38" s="6"/>
      <c r="I38" s="6"/>
      <c r="J38" s="6"/>
      <c r="K38" s="6"/>
      <c r="L38" s="6"/>
      <c r="M38" s="6"/>
      <c r="N38" s="6"/>
      <c r="O38" s="16" t="str">
        <f>IF(COUNT(I38:M38)&lt;5,"",ROUND((I38*Matriz!$C$5+J38*Matriz!$C$6+K38*Matriz!$C$7+L38*Matriz!$C$8+M38*Matriz!$C$9)/SUM(Matriz!$C$5:$C$9),2))</f>
        <v/>
      </c>
      <c r="P38" s="17">
        <f>IFERROR(INDEX(Processos!$F$8:$F$17,MATCH(C38,Processos!$A$8:$A$17,0)),1)</f>
        <v>1.0169999999999999</v>
      </c>
      <c r="Q38" s="24">
        <f>IFERROR(INDEX(Matriz!$C$28:$C$33,MATCH(G38,Matriz!$A$28:$A$33,0)),0)</f>
        <v>0</v>
      </c>
      <c r="R38" s="25" t="str">
        <f t="shared" si="0"/>
        <v/>
      </c>
      <c r="S38" s="10" t="str">
        <f>IF(R38="","",IF(R38&gt;=Matriz!$C$19,4,IF(R38&gt;=Matriz!$C$18,3,IF(R38&gt;=Matriz!$C$17,2,1))))</f>
        <v/>
      </c>
      <c r="T38" s="9" t="str">
        <f>IF(S38="","",MAX(S38,IF(I38=5,Matriz!$C$23,0),IF(N38="Sim",Matriz!$C$24,0)))</f>
        <v/>
      </c>
      <c r="U38" s="9" t="str">
        <f t="shared" si="1"/>
        <v/>
      </c>
      <c r="V38" s="26" t="str">
        <f t="shared" si="2"/>
        <v/>
      </c>
      <c r="W38" s="10" t="str">
        <f t="shared" si="3"/>
        <v/>
      </c>
      <c r="X38" s="4"/>
      <c r="Y38" s="4"/>
    </row>
    <row r="39" spans="1:25" ht="28.05" hidden="1" customHeight="1" x14ac:dyDescent="0.3">
      <c r="A39" s="20" t="s">
        <v>272</v>
      </c>
      <c r="B39" s="21" t="s">
        <v>273</v>
      </c>
      <c r="C39" s="4" t="s">
        <v>138</v>
      </c>
      <c r="D39" s="4" t="s">
        <v>194</v>
      </c>
      <c r="E39" s="4" t="s">
        <v>226</v>
      </c>
      <c r="F39" s="22"/>
      <c r="G39" s="23" t="s">
        <v>104</v>
      </c>
      <c r="H39" s="6"/>
      <c r="I39" s="6"/>
      <c r="J39" s="6"/>
      <c r="K39" s="6"/>
      <c r="L39" s="6"/>
      <c r="M39" s="6"/>
      <c r="N39" s="6"/>
      <c r="O39" s="16" t="str">
        <f>IF(COUNT(I39:M39)&lt;5,"",ROUND((I39*Matriz!$C$5+J39*Matriz!$C$6+K39*Matriz!$C$7+L39*Matriz!$C$8+M39*Matriz!$C$9)/SUM(Matriz!$C$5:$C$9),2))</f>
        <v/>
      </c>
      <c r="P39" s="17">
        <f>IFERROR(INDEX(Processos!$F$8:$F$17,MATCH(C39,Processos!$A$8:$A$17,0)),1)</f>
        <v>1.0169999999999999</v>
      </c>
      <c r="Q39" s="24">
        <f>IFERROR(INDEX(Matriz!$C$28:$C$33,MATCH(G39,Matriz!$A$28:$A$33,0)),0)</f>
        <v>0</v>
      </c>
      <c r="R39" s="25" t="str">
        <f t="shared" si="0"/>
        <v/>
      </c>
      <c r="S39" s="10" t="str">
        <f>IF(R39="","",IF(R39&gt;=Matriz!$C$19,4,IF(R39&gt;=Matriz!$C$18,3,IF(R39&gt;=Matriz!$C$17,2,1))))</f>
        <v/>
      </c>
      <c r="T39" s="9" t="str">
        <f>IF(S39="","",MAX(S39,IF(I39=5,Matriz!$C$23,0),IF(N39="Sim",Matriz!$C$24,0)))</f>
        <v/>
      </c>
      <c r="U39" s="9" t="str">
        <f t="shared" si="1"/>
        <v/>
      </c>
      <c r="V39" s="26" t="str">
        <f t="shared" si="2"/>
        <v/>
      </c>
      <c r="W39" s="10" t="str">
        <f t="shared" si="3"/>
        <v/>
      </c>
      <c r="X39" s="4"/>
      <c r="Y39" s="4"/>
    </row>
    <row r="40" spans="1:25" ht="28.05" hidden="1" customHeight="1" x14ac:dyDescent="0.3">
      <c r="A40" s="20" t="s">
        <v>274</v>
      </c>
      <c r="B40" s="21" t="s">
        <v>275</v>
      </c>
      <c r="C40" s="4" t="s">
        <v>138</v>
      </c>
      <c r="D40" s="4" t="s">
        <v>276</v>
      </c>
      <c r="E40" s="4" t="s">
        <v>226</v>
      </c>
      <c r="F40" s="22"/>
      <c r="G40" s="23" t="s">
        <v>104</v>
      </c>
      <c r="H40" s="6"/>
      <c r="I40" s="6"/>
      <c r="J40" s="6"/>
      <c r="K40" s="6"/>
      <c r="L40" s="6"/>
      <c r="M40" s="6"/>
      <c r="N40" s="6"/>
      <c r="O40" s="16" t="str">
        <f>IF(COUNT(I40:M40)&lt;5,"",ROUND((I40*Matriz!$C$5+J40*Matriz!$C$6+K40*Matriz!$C$7+L40*Matriz!$C$8+M40*Matriz!$C$9)/SUM(Matriz!$C$5:$C$9),2))</f>
        <v/>
      </c>
      <c r="P40" s="17">
        <f>IFERROR(INDEX(Processos!$F$8:$F$17,MATCH(C40,Processos!$A$8:$A$17,0)),1)</f>
        <v>1.0169999999999999</v>
      </c>
      <c r="Q40" s="24">
        <f>IFERROR(INDEX(Matriz!$C$28:$C$33,MATCH(G40,Matriz!$A$28:$A$33,0)),0)</f>
        <v>0</v>
      </c>
      <c r="R40" s="25" t="str">
        <f t="shared" si="0"/>
        <v/>
      </c>
      <c r="S40" s="10" t="str">
        <f>IF(R40="","",IF(R40&gt;=Matriz!$C$19,4,IF(R40&gt;=Matriz!$C$18,3,IF(R40&gt;=Matriz!$C$17,2,1))))</f>
        <v/>
      </c>
      <c r="T40" s="9" t="str">
        <f>IF(S40="","",MAX(S40,IF(I40=5,Matriz!$C$23,0),IF(N40="Sim",Matriz!$C$24,0)))</f>
        <v/>
      </c>
      <c r="U40" s="9" t="str">
        <f t="shared" si="1"/>
        <v/>
      </c>
      <c r="V40" s="26" t="str">
        <f t="shared" si="2"/>
        <v/>
      </c>
      <c r="W40" s="10" t="str">
        <f t="shared" si="3"/>
        <v/>
      </c>
      <c r="X40" s="4"/>
      <c r="Y40" s="4"/>
    </row>
    <row r="41" spans="1:25" ht="28.05" hidden="1" customHeight="1" x14ac:dyDescent="0.3">
      <c r="A41" s="20" t="s">
        <v>277</v>
      </c>
      <c r="B41" s="21" t="s">
        <v>278</v>
      </c>
      <c r="C41" s="4" t="s">
        <v>138</v>
      </c>
      <c r="D41" s="4" t="s">
        <v>229</v>
      </c>
      <c r="E41" s="4" t="s">
        <v>226</v>
      </c>
      <c r="F41" s="22"/>
      <c r="G41" s="23" t="s">
        <v>106</v>
      </c>
      <c r="H41" s="6"/>
      <c r="I41" s="6"/>
      <c r="J41" s="6"/>
      <c r="K41" s="6"/>
      <c r="L41" s="6"/>
      <c r="M41" s="6"/>
      <c r="N41" s="6"/>
      <c r="O41" s="16" t="str">
        <f>IF(COUNT(I41:M41)&lt;5,"",ROUND((I41*Matriz!$C$5+J41*Matriz!$C$6+K41*Matriz!$C$7+L41*Matriz!$C$8+M41*Matriz!$C$9)/SUM(Matriz!$C$5:$C$9),2))</f>
        <v/>
      </c>
      <c r="P41" s="17">
        <f>IFERROR(INDEX(Processos!$F$8:$F$17,MATCH(C41,Processos!$A$8:$A$17,0)),1)</f>
        <v>1.0169999999999999</v>
      </c>
      <c r="Q41" s="24">
        <f>IFERROR(INDEX(Matriz!$C$28:$C$33,MATCH(G41,Matriz!$A$28:$A$33,0)),0)</f>
        <v>-0.2</v>
      </c>
      <c r="R41" s="25" t="str">
        <f t="shared" si="0"/>
        <v/>
      </c>
      <c r="S41" s="10" t="str">
        <f>IF(R41="","",IF(R41&gt;=Matriz!$C$19,4,IF(R41&gt;=Matriz!$C$18,3,IF(R41&gt;=Matriz!$C$17,2,1))))</f>
        <v/>
      </c>
      <c r="T41" s="9" t="str">
        <f>IF(S41="","",MAX(S41,IF(I41=5,Matriz!$C$23,0),IF(N41="Sim",Matriz!$C$24,0)))</f>
        <v/>
      </c>
      <c r="U41" s="9" t="str">
        <f t="shared" si="1"/>
        <v/>
      </c>
      <c r="V41" s="26" t="str">
        <f t="shared" si="2"/>
        <v/>
      </c>
      <c r="W41" s="10" t="str">
        <f t="shared" si="3"/>
        <v/>
      </c>
      <c r="X41" s="4"/>
      <c r="Y41" s="4"/>
    </row>
    <row r="42" spans="1:25" ht="28.05" hidden="1" customHeight="1" x14ac:dyDescent="0.3">
      <c r="A42" s="20" t="s">
        <v>279</v>
      </c>
      <c r="B42" s="21" t="s">
        <v>280</v>
      </c>
      <c r="C42" s="4" t="s">
        <v>138</v>
      </c>
      <c r="D42" s="4" t="s">
        <v>250</v>
      </c>
      <c r="E42" s="4" t="s">
        <v>226</v>
      </c>
      <c r="F42" s="22"/>
      <c r="G42" s="23" t="s">
        <v>104</v>
      </c>
      <c r="H42" s="6"/>
      <c r="I42" s="6"/>
      <c r="J42" s="6"/>
      <c r="K42" s="6"/>
      <c r="L42" s="6"/>
      <c r="M42" s="6"/>
      <c r="N42" s="6"/>
      <c r="O42" s="16" t="str">
        <f>IF(COUNT(I42:M42)&lt;5,"",ROUND((I42*Matriz!$C$5+J42*Matriz!$C$6+K42*Matriz!$C$7+L42*Matriz!$C$8+M42*Matriz!$C$9)/SUM(Matriz!$C$5:$C$9),2))</f>
        <v/>
      </c>
      <c r="P42" s="17">
        <f>IFERROR(INDEX(Processos!$F$8:$F$17,MATCH(C42,Processos!$A$8:$A$17,0)),1)</f>
        <v>1.0169999999999999</v>
      </c>
      <c r="Q42" s="24">
        <f>IFERROR(INDEX(Matriz!$C$28:$C$33,MATCH(G42,Matriz!$A$28:$A$33,0)),0)</f>
        <v>0</v>
      </c>
      <c r="R42" s="25" t="str">
        <f t="shared" si="0"/>
        <v/>
      </c>
      <c r="S42" s="10" t="str">
        <f>IF(R42="","",IF(R42&gt;=Matriz!$C$19,4,IF(R42&gt;=Matriz!$C$18,3,IF(R42&gt;=Matriz!$C$17,2,1))))</f>
        <v/>
      </c>
      <c r="T42" s="9" t="str">
        <f>IF(S42="","",MAX(S42,IF(I42=5,Matriz!$C$23,0),IF(N42="Sim",Matriz!$C$24,0)))</f>
        <v/>
      </c>
      <c r="U42" s="9" t="str">
        <f t="shared" si="1"/>
        <v/>
      </c>
      <c r="V42" s="26" t="str">
        <f t="shared" si="2"/>
        <v/>
      </c>
      <c r="W42" s="10" t="str">
        <f t="shared" si="3"/>
        <v/>
      </c>
      <c r="X42" s="4"/>
      <c r="Y42" s="4"/>
    </row>
    <row r="43" spans="1:25" ht="28.05" hidden="1" customHeight="1" x14ac:dyDescent="0.3">
      <c r="A43" s="20" t="s">
        <v>281</v>
      </c>
      <c r="B43" s="21" t="s">
        <v>282</v>
      </c>
      <c r="C43" s="4" t="s">
        <v>138</v>
      </c>
      <c r="D43" s="4" t="s">
        <v>194</v>
      </c>
      <c r="E43" s="4" t="s">
        <v>226</v>
      </c>
      <c r="F43" s="22"/>
      <c r="G43" s="23" t="s">
        <v>100</v>
      </c>
      <c r="H43" s="6"/>
      <c r="I43" s="6"/>
      <c r="J43" s="6"/>
      <c r="K43" s="6"/>
      <c r="L43" s="6"/>
      <c r="M43" s="6"/>
      <c r="N43" s="6"/>
      <c r="O43" s="16" t="str">
        <f>IF(COUNT(I43:M43)&lt;5,"",ROUND((I43*Matriz!$C$5+J43*Matriz!$C$6+K43*Matriz!$C$7+L43*Matriz!$C$8+M43*Matriz!$C$9)/SUM(Matriz!$C$5:$C$9),2))</f>
        <v/>
      </c>
      <c r="P43" s="17">
        <f>IFERROR(INDEX(Processos!$F$8:$F$17,MATCH(C43,Processos!$A$8:$A$17,0)),1)</f>
        <v>1.0169999999999999</v>
      </c>
      <c r="Q43" s="24">
        <f>IFERROR(INDEX(Matriz!$C$28:$C$33,MATCH(G43,Matriz!$A$28:$A$33,0)),0)</f>
        <v>0</v>
      </c>
      <c r="R43" s="25" t="str">
        <f t="shared" si="0"/>
        <v/>
      </c>
      <c r="S43" s="10" t="str">
        <f>IF(R43="","",IF(R43&gt;=Matriz!$C$19,4,IF(R43&gt;=Matriz!$C$18,3,IF(R43&gt;=Matriz!$C$17,2,1))))</f>
        <v/>
      </c>
      <c r="T43" s="9" t="str">
        <f>IF(S43="","",MAX(S43,IF(I43=5,Matriz!$C$23,0),IF(N43="Sim",Matriz!$C$24,0)))</f>
        <v/>
      </c>
      <c r="U43" s="9" t="str">
        <f t="shared" si="1"/>
        <v/>
      </c>
      <c r="V43" s="26" t="str">
        <f t="shared" si="2"/>
        <v/>
      </c>
      <c r="W43" s="10" t="str">
        <f t="shared" si="3"/>
        <v/>
      </c>
      <c r="X43" s="4"/>
      <c r="Y43" s="4"/>
    </row>
    <row r="44" spans="1:25" ht="28.05" hidden="1" customHeight="1" x14ac:dyDescent="0.3">
      <c r="A44" s="20" t="s">
        <v>283</v>
      </c>
      <c r="B44" s="21" t="s">
        <v>284</v>
      </c>
      <c r="C44" s="4" t="s">
        <v>138</v>
      </c>
      <c r="D44" s="4" t="s">
        <v>229</v>
      </c>
      <c r="E44" s="4" t="s">
        <v>226</v>
      </c>
      <c r="F44" s="22"/>
      <c r="G44" s="23" t="s">
        <v>104</v>
      </c>
      <c r="H44" s="6"/>
      <c r="I44" s="6"/>
      <c r="J44" s="6"/>
      <c r="K44" s="6"/>
      <c r="L44" s="6"/>
      <c r="M44" s="6"/>
      <c r="N44" s="6"/>
      <c r="O44" s="16" t="str">
        <f>IF(COUNT(I44:M44)&lt;5,"",ROUND((I44*Matriz!$C$5+J44*Matriz!$C$6+K44*Matriz!$C$7+L44*Matriz!$C$8+M44*Matriz!$C$9)/SUM(Matriz!$C$5:$C$9),2))</f>
        <v/>
      </c>
      <c r="P44" s="17">
        <f>IFERROR(INDEX(Processos!$F$8:$F$17,MATCH(C44,Processos!$A$8:$A$17,0)),1)</f>
        <v>1.0169999999999999</v>
      </c>
      <c r="Q44" s="24">
        <f>IFERROR(INDEX(Matriz!$C$28:$C$33,MATCH(G44,Matriz!$A$28:$A$33,0)),0)</f>
        <v>0</v>
      </c>
      <c r="R44" s="25" t="str">
        <f t="shared" si="0"/>
        <v/>
      </c>
      <c r="S44" s="10" t="str">
        <f>IF(R44="","",IF(R44&gt;=Matriz!$C$19,4,IF(R44&gt;=Matriz!$C$18,3,IF(R44&gt;=Matriz!$C$17,2,1))))</f>
        <v/>
      </c>
      <c r="T44" s="9" t="str">
        <f>IF(S44="","",MAX(S44,IF(I44=5,Matriz!$C$23,0),IF(N44="Sim",Matriz!$C$24,0)))</f>
        <v/>
      </c>
      <c r="U44" s="9" t="str">
        <f t="shared" si="1"/>
        <v/>
      </c>
      <c r="V44" s="26" t="str">
        <f t="shared" si="2"/>
        <v/>
      </c>
      <c r="W44" s="10" t="str">
        <f t="shared" si="3"/>
        <v/>
      </c>
      <c r="X44" s="4"/>
      <c r="Y44" s="4"/>
    </row>
    <row r="45" spans="1:25" ht="28.05" hidden="1" customHeight="1" x14ac:dyDescent="0.3">
      <c r="A45" s="20" t="s">
        <v>285</v>
      </c>
      <c r="B45" s="21" t="s">
        <v>286</v>
      </c>
      <c r="C45" s="4" t="s">
        <v>138</v>
      </c>
      <c r="D45" s="4" t="s">
        <v>229</v>
      </c>
      <c r="E45" s="4" t="s">
        <v>226</v>
      </c>
      <c r="F45" s="22"/>
      <c r="G45" s="23" t="s">
        <v>102</v>
      </c>
      <c r="H45" s="6"/>
      <c r="I45" s="6"/>
      <c r="J45" s="6"/>
      <c r="K45" s="6"/>
      <c r="L45" s="6"/>
      <c r="M45" s="6"/>
      <c r="N45" s="6"/>
      <c r="O45" s="16" t="str">
        <f>IF(COUNT(I45:M45)&lt;5,"",ROUND((I45*Matriz!$C$5+J45*Matriz!$C$6+K45*Matriz!$C$7+L45*Matriz!$C$8+M45*Matriz!$C$9)/SUM(Matriz!$C$5:$C$9),2))</f>
        <v/>
      </c>
      <c r="P45" s="17">
        <f>IFERROR(INDEX(Processos!$F$8:$F$17,MATCH(C45,Processos!$A$8:$A$17,0)),1)</f>
        <v>1.0169999999999999</v>
      </c>
      <c r="Q45" s="24">
        <f>IFERROR(INDEX(Matriz!$C$28:$C$33,MATCH(G45,Matriz!$A$28:$A$33,0)),0)</f>
        <v>0</v>
      </c>
      <c r="R45" s="25" t="str">
        <f t="shared" si="0"/>
        <v/>
      </c>
      <c r="S45" s="10" t="str">
        <f>IF(R45="","",IF(R45&gt;=Matriz!$C$19,4,IF(R45&gt;=Matriz!$C$18,3,IF(R45&gt;=Matriz!$C$17,2,1))))</f>
        <v/>
      </c>
      <c r="T45" s="9" t="str">
        <f>IF(S45="","",MAX(S45,IF(I45=5,Matriz!$C$23,0),IF(N45="Sim",Matriz!$C$24,0)))</f>
        <v/>
      </c>
      <c r="U45" s="9" t="str">
        <f t="shared" si="1"/>
        <v/>
      </c>
      <c r="V45" s="26" t="str">
        <f t="shared" si="2"/>
        <v/>
      </c>
      <c r="W45" s="10" t="str">
        <f t="shared" si="3"/>
        <v/>
      </c>
      <c r="X45" s="4"/>
      <c r="Y45" s="4"/>
    </row>
    <row r="46" spans="1:25" ht="28.05" hidden="1" customHeight="1" x14ac:dyDescent="0.3">
      <c r="A46" s="20" t="s">
        <v>287</v>
      </c>
      <c r="B46" s="21" t="s">
        <v>288</v>
      </c>
      <c r="C46" s="4" t="s">
        <v>138</v>
      </c>
      <c r="D46" s="4" t="s">
        <v>202</v>
      </c>
      <c r="E46" s="4" t="s">
        <v>226</v>
      </c>
      <c r="F46" s="22"/>
      <c r="G46" s="23" t="s">
        <v>104</v>
      </c>
      <c r="H46" s="6"/>
      <c r="I46" s="6"/>
      <c r="J46" s="6"/>
      <c r="K46" s="6"/>
      <c r="L46" s="6"/>
      <c r="M46" s="6"/>
      <c r="N46" s="6"/>
      <c r="O46" s="16" t="str">
        <f>IF(COUNT(I46:M46)&lt;5,"",ROUND((I46*Matriz!$C$5+J46*Matriz!$C$6+K46*Matriz!$C$7+L46*Matriz!$C$8+M46*Matriz!$C$9)/SUM(Matriz!$C$5:$C$9),2))</f>
        <v/>
      </c>
      <c r="P46" s="17">
        <f>IFERROR(INDEX(Processos!$F$8:$F$17,MATCH(C46,Processos!$A$8:$A$17,0)),1)</f>
        <v>1.0169999999999999</v>
      </c>
      <c r="Q46" s="24">
        <f>IFERROR(INDEX(Matriz!$C$28:$C$33,MATCH(G46,Matriz!$A$28:$A$33,0)),0)</f>
        <v>0</v>
      </c>
      <c r="R46" s="25" t="str">
        <f t="shared" si="0"/>
        <v/>
      </c>
      <c r="S46" s="10" t="str">
        <f>IF(R46="","",IF(R46&gt;=Matriz!$C$19,4,IF(R46&gt;=Matriz!$C$18,3,IF(R46&gt;=Matriz!$C$17,2,1))))</f>
        <v/>
      </c>
      <c r="T46" s="9" t="str">
        <f>IF(S46="","",MAX(S46,IF(I46=5,Matriz!$C$23,0),IF(N46="Sim",Matriz!$C$24,0)))</f>
        <v/>
      </c>
      <c r="U46" s="9" t="str">
        <f t="shared" si="1"/>
        <v/>
      </c>
      <c r="V46" s="26" t="str">
        <f t="shared" si="2"/>
        <v/>
      </c>
      <c r="W46" s="10" t="str">
        <f t="shared" si="3"/>
        <v/>
      </c>
      <c r="X46" s="4"/>
      <c r="Y46" s="4"/>
    </row>
    <row r="47" spans="1:25" ht="28.05" hidden="1" customHeight="1" x14ac:dyDescent="0.3">
      <c r="A47" s="20" t="s">
        <v>289</v>
      </c>
      <c r="B47" s="21" t="s">
        <v>290</v>
      </c>
      <c r="C47" s="4" t="s">
        <v>138</v>
      </c>
      <c r="D47" s="4" t="s">
        <v>260</v>
      </c>
      <c r="E47" s="4" t="s">
        <v>226</v>
      </c>
      <c r="F47" s="22"/>
      <c r="G47" s="23" t="s">
        <v>104</v>
      </c>
      <c r="H47" s="6"/>
      <c r="I47" s="6"/>
      <c r="J47" s="6"/>
      <c r="K47" s="6"/>
      <c r="L47" s="6"/>
      <c r="M47" s="6"/>
      <c r="N47" s="6"/>
      <c r="O47" s="16" t="str">
        <f>IF(COUNT(I47:M47)&lt;5,"",ROUND((I47*Matriz!$C$5+J47*Matriz!$C$6+K47*Matriz!$C$7+L47*Matriz!$C$8+M47*Matriz!$C$9)/SUM(Matriz!$C$5:$C$9),2))</f>
        <v/>
      </c>
      <c r="P47" s="17">
        <f>IFERROR(INDEX(Processos!$F$8:$F$17,MATCH(C47,Processos!$A$8:$A$17,0)),1)</f>
        <v>1.0169999999999999</v>
      </c>
      <c r="Q47" s="24">
        <f>IFERROR(INDEX(Matriz!$C$28:$C$33,MATCH(G47,Matriz!$A$28:$A$33,0)),0)</f>
        <v>0</v>
      </c>
      <c r="R47" s="25" t="str">
        <f t="shared" si="0"/>
        <v/>
      </c>
      <c r="S47" s="10" t="str">
        <f>IF(R47="","",IF(R47&gt;=Matriz!$C$19,4,IF(R47&gt;=Matriz!$C$18,3,IF(R47&gt;=Matriz!$C$17,2,1))))</f>
        <v/>
      </c>
      <c r="T47" s="9" t="str">
        <f>IF(S47="","",MAX(S47,IF(I47=5,Matriz!$C$23,0),IF(N47="Sim",Matriz!$C$24,0)))</f>
        <v/>
      </c>
      <c r="U47" s="9" t="str">
        <f t="shared" si="1"/>
        <v/>
      </c>
      <c r="V47" s="26" t="str">
        <f t="shared" si="2"/>
        <v/>
      </c>
      <c r="W47" s="10" t="str">
        <f t="shared" si="3"/>
        <v/>
      </c>
      <c r="X47" s="4"/>
      <c r="Y47" s="4"/>
    </row>
    <row r="48" spans="1:25" ht="28.05" hidden="1" customHeight="1" x14ac:dyDescent="0.3">
      <c r="A48" s="20" t="s">
        <v>291</v>
      </c>
      <c r="B48" s="21" t="s">
        <v>292</v>
      </c>
      <c r="C48" s="4" t="s">
        <v>138</v>
      </c>
      <c r="D48" s="4" t="s">
        <v>293</v>
      </c>
      <c r="E48" s="4" t="s">
        <v>226</v>
      </c>
      <c r="F48" s="22"/>
      <c r="G48" s="23" t="s">
        <v>104</v>
      </c>
      <c r="H48" s="6"/>
      <c r="I48" s="6"/>
      <c r="J48" s="6"/>
      <c r="K48" s="6"/>
      <c r="L48" s="6"/>
      <c r="M48" s="6"/>
      <c r="N48" s="6"/>
      <c r="O48" s="16" t="str">
        <f>IF(COUNT(I48:M48)&lt;5,"",ROUND((I48*Matriz!$C$5+J48*Matriz!$C$6+K48*Matriz!$C$7+L48*Matriz!$C$8+M48*Matriz!$C$9)/SUM(Matriz!$C$5:$C$9),2))</f>
        <v/>
      </c>
      <c r="P48" s="17">
        <f>IFERROR(INDEX(Processos!$F$8:$F$17,MATCH(C48,Processos!$A$8:$A$17,0)),1)</f>
        <v>1.0169999999999999</v>
      </c>
      <c r="Q48" s="24">
        <f>IFERROR(INDEX(Matriz!$C$28:$C$33,MATCH(G48,Matriz!$A$28:$A$33,0)),0)</f>
        <v>0</v>
      </c>
      <c r="R48" s="25" t="str">
        <f t="shared" si="0"/>
        <v/>
      </c>
      <c r="S48" s="10" t="str">
        <f>IF(R48="","",IF(R48&gt;=Matriz!$C$19,4,IF(R48&gt;=Matriz!$C$18,3,IF(R48&gt;=Matriz!$C$17,2,1))))</f>
        <v/>
      </c>
      <c r="T48" s="9" t="str">
        <f>IF(S48="","",MAX(S48,IF(I48=5,Matriz!$C$23,0),IF(N48="Sim",Matriz!$C$24,0)))</f>
        <v/>
      </c>
      <c r="U48" s="9" t="str">
        <f t="shared" si="1"/>
        <v/>
      </c>
      <c r="V48" s="26" t="str">
        <f t="shared" si="2"/>
        <v/>
      </c>
      <c r="W48" s="10" t="str">
        <f t="shared" si="3"/>
        <v/>
      </c>
      <c r="X48" s="4"/>
      <c r="Y48" s="4"/>
    </row>
    <row r="49" spans="1:25" ht="28.05" hidden="1" customHeight="1" x14ac:dyDescent="0.3">
      <c r="A49" s="20" t="s">
        <v>294</v>
      </c>
      <c r="B49" s="21" t="s">
        <v>295</v>
      </c>
      <c r="C49" s="4" t="s">
        <v>138</v>
      </c>
      <c r="D49" s="4" t="s">
        <v>229</v>
      </c>
      <c r="E49" s="4" t="s">
        <v>226</v>
      </c>
      <c r="F49" s="22"/>
      <c r="G49" s="23" t="s">
        <v>104</v>
      </c>
      <c r="H49" s="6"/>
      <c r="I49" s="6"/>
      <c r="J49" s="6"/>
      <c r="K49" s="6"/>
      <c r="L49" s="6"/>
      <c r="M49" s="6"/>
      <c r="N49" s="6"/>
      <c r="O49" s="16" t="str">
        <f>IF(COUNT(I49:M49)&lt;5,"",ROUND((I49*Matriz!$C$5+J49*Matriz!$C$6+K49*Matriz!$C$7+L49*Matriz!$C$8+M49*Matriz!$C$9)/SUM(Matriz!$C$5:$C$9),2))</f>
        <v/>
      </c>
      <c r="P49" s="17">
        <f>IFERROR(INDEX(Processos!$F$8:$F$17,MATCH(C49,Processos!$A$8:$A$17,0)),1)</f>
        <v>1.0169999999999999</v>
      </c>
      <c r="Q49" s="24">
        <f>IFERROR(INDEX(Matriz!$C$28:$C$33,MATCH(G49,Matriz!$A$28:$A$33,0)),0)</f>
        <v>0</v>
      </c>
      <c r="R49" s="25" t="str">
        <f t="shared" si="0"/>
        <v/>
      </c>
      <c r="S49" s="10" t="str">
        <f>IF(R49="","",IF(R49&gt;=Matriz!$C$19,4,IF(R49&gt;=Matriz!$C$18,3,IF(R49&gt;=Matriz!$C$17,2,1))))</f>
        <v/>
      </c>
      <c r="T49" s="9" t="str">
        <f>IF(S49="","",MAX(S49,IF(I49=5,Matriz!$C$23,0),IF(N49="Sim",Matriz!$C$24,0)))</f>
        <v/>
      </c>
      <c r="U49" s="9" t="str">
        <f t="shared" si="1"/>
        <v/>
      </c>
      <c r="V49" s="26" t="str">
        <f t="shared" si="2"/>
        <v/>
      </c>
      <c r="W49" s="10" t="str">
        <f t="shared" si="3"/>
        <v/>
      </c>
      <c r="X49" s="4"/>
      <c r="Y49" s="4"/>
    </row>
    <row r="50" spans="1:25" ht="28.05" hidden="1" customHeight="1" x14ac:dyDescent="0.3">
      <c r="A50" s="20" t="s">
        <v>296</v>
      </c>
      <c r="B50" s="21" t="s">
        <v>297</v>
      </c>
      <c r="C50" s="4" t="s">
        <v>138</v>
      </c>
      <c r="D50" s="4" t="s">
        <v>229</v>
      </c>
      <c r="E50" s="4" t="s">
        <v>226</v>
      </c>
      <c r="F50" s="22"/>
      <c r="G50" s="23" t="s">
        <v>102</v>
      </c>
      <c r="H50" s="6"/>
      <c r="I50" s="6"/>
      <c r="J50" s="6"/>
      <c r="K50" s="6"/>
      <c r="L50" s="6"/>
      <c r="M50" s="6"/>
      <c r="N50" s="6"/>
      <c r="O50" s="16" t="str">
        <f>IF(COUNT(I50:M50)&lt;5,"",ROUND((I50*Matriz!$C$5+J50*Matriz!$C$6+K50*Matriz!$C$7+L50*Matriz!$C$8+M50*Matriz!$C$9)/SUM(Matriz!$C$5:$C$9),2))</f>
        <v/>
      </c>
      <c r="P50" s="17">
        <f>IFERROR(INDEX(Processos!$F$8:$F$17,MATCH(C50,Processos!$A$8:$A$17,0)),1)</f>
        <v>1.0169999999999999</v>
      </c>
      <c r="Q50" s="24">
        <f>IFERROR(INDEX(Matriz!$C$28:$C$33,MATCH(G50,Matriz!$A$28:$A$33,0)),0)</f>
        <v>0</v>
      </c>
      <c r="R50" s="25" t="str">
        <f t="shared" si="0"/>
        <v/>
      </c>
      <c r="S50" s="10" t="str">
        <f>IF(R50="","",IF(R50&gt;=Matriz!$C$19,4,IF(R50&gt;=Matriz!$C$18,3,IF(R50&gt;=Matriz!$C$17,2,1))))</f>
        <v/>
      </c>
      <c r="T50" s="9" t="str">
        <f>IF(S50="","",MAX(S50,IF(I50=5,Matriz!$C$23,0),IF(N50="Sim",Matriz!$C$24,0)))</f>
        <v/>
      </c>
      <c r="U50" s="9" t="str">
        <f t="shared" si="1"/>
        <v/>
      </c>
      <c r="V50" s="26" t="str">
        <f t="shared" si="2"/>
        <v/>
      </c>
      <c r="W50" s="10" t="str">
        <f t="shared" si="3"/>
        <v/>
      </c>
      <c r="X50" s="4"/>
      <c r="Y50" s="4"/>
    </row>
    <row r="51" spans="1:25" ht="28.05" hidden="1" customHeight="1" x14ac:dyDescent="0.3">
      <c r="A51" s="20" t="s">
        <v>298</v>
      </c>
      <c r="B51" s="21" t="s">
        <v>299</v>
      </c>
      <c r="C51" s="4" t="s">
        <v>138</v>
      </c>
      <c r="D51" s="4" t="s">
        <v>300</v>
      </c>
      <c r="E51" s="4" t="s">
        <v>226</v>
      </c>
      <c r="F51" s="22"/>
      <c r="G51" s="23" t="s">
        <v>104</v>
      </c>
      <c r="H51" s="6"/>
      <c r="I51" s="6"/>
      <c r="J51" s="6"/>
      <c r="K51" s="6"/>
      <c r="L51" s="6"/>
      <c r="M51" s="6"/>
      <c r="N51" s="6"/>
      <c r="O51" s="16" t="str">
        <f>IF(COUNT(I51:M51)&lt;5,"",ROUND((I51*Matriz!$C$5+J51*Matriz!$C$6+K51*Matriz!$C$7+L51*Matriz!$C$8+M51*Matriz!$C$9)/SUM(Matriz!$C$5:$C$9),2))</f>
        <v/>
      </c>
      <c r="P51" s="17">
        <f>IFERROR(INDEX(Processos!$F$8:$F$17,MATCH(C51,Processos!$A$8:$A$17,0)),1)</f>
        <v>1.0169999999999999</v>
      </c>
      <c r="Q51" s="24">
        <f>IFERROR(INDEX(Matriz!$C$28:$C$33,MATCH(G51,Matriz!$A$28:$A$33,0)),0)</f>
        <v>0</v>
      </c>
      <c r="R51" s="25" t="str">
        <f t="shared" si="0"/>
        <v/>
      </c>
      <c r="S51" s="10" t="str">
        <f>IF(R51="","",IF(R51&gt;=Matriz!$C$19,4,IF(R51&gt;=Matriz!$C$18,3,IF(R51&gt;=Matriz!$C$17,2,1))))</f>
        <v/>
      </c>
      <c r="T51" s="9" t="str">
        <f>IF(S51="","",MAX(S51,IF(I51=5,Matriz!$C$23,0),IF(N51="Sim",Matriz!$C$24,0)))</f>
        <v/>
      </c>
      <c r="U51" s="9" t="str">
        <f t="shared" si="1"/>
        <v/>
      </c>
      <c r="V51" s="26" t="str">
        <f t="shared" si="2"/>
        <v/>
      </c>
      <c r="W51" s="10" t="str">
        <f t="shared" si="3"/>
        <v/>
      </c>
      <c r="X51" s="4"/>
      <c r="Y51" s="4"/>
    </row>
    <row r="52" spans="1:25" ht="28.05" hidden="1" customHeight="1" x14ac:dyDescent="0.3">
      <c r="A52" s="20" t="s">
        <v>301</v>
      </c>
      <c r="B52" s="21" t="s">
        <v>302</v>
      </c>
      <c r="C52" s="4" t="s">
        <v>138</v>
      </c>
      <c r="D52" s="4" t="s">
        <v>229</v>
      </c>
      <c r="E52" s="4" t="s">
        <v>226</v>
      </c>
      <c r="F52" s="22"/>
      <c r="G52" s="23" t="s">
        <v>102</v>
      </c>
      <c r="H52" s="6"/>
      <c r="I52" s="6"/>
      <c r="J52" s="6"/>
      <c r="K52" s="6"/>
      <c r="L52" s="6"/>
      <c r="M52" s="6"/>
      <c r="N52" s="6"/>
      <c r="O52" s="16" t="str">
        <f>IF(COUNT(I52:M52)&lt;5,"",ROUND((I52*Matriz!$C$5+J52*Matriz!$C$6+K52*Matriz!$C$7+L52*Matriz!$C$8+M52*Matriz!$C$9)/SUM(Matriz!$C$5:$C$9),2))</f>
        <v/>
      </c>
      <c r="P52" s="17">
        <f>IFERROR(INDEX(Processos!$F$8:$F$17,MATCH(C52,Processos!$A$8:$A$17,0)),1)</f>
        <v>1.0169999999999999</v>
      </c>
      <c r="Q52" s="24">
        <f>IFERROR(INDEX(Matriz!$C$28:$C$33,MATCH(G52,Matriz!$A$28:$A$33,0)),0)</f>
        <v>0</v>
      </c>
      <c r="R52" s="25" t="str">
        <f t="shared" si="0"/>
        <v/>
      </c>
      <c r="S52" s="10" t="str">
        <f>IF(R52="","",IF(R52&gt;=Matriz!$C$19,4,IF(R52&gt;=Matriz!$C$18,3,IF(R52&gt;=Matriz!$C$17,2,1))))</f>
        <v/>
      </c>
      <c r="T52" s="9" t="str">
        <f>IF(S52="","",MAX(S52,IF(I52=5,Matriz!$C$23,0),IF(N52="Sim",Matriz!$C$24,0)))</f>
        <v/>
      </c>
      <c r="U52" s="9" t="str">
        <f t="shared" si="1"/>
        <v/>
      </c>
      <c r="V52" s="26" t="str">
        <f t="shared" si="2"/>
        <v/>
      </c>
      <c r="W52" s="10" t="str">
        <f t="shared" si="3"/>
        <v/>
      </c>
      <c r="X52" s="4"/>
      <c r="Y52" s="4"/>
    </row>
    <row r="53" spans="1:25" ht="28.05" hidden="1" customHeight="1" x14ac:dyDescent="0.3">
      <c r="A53" s="20" t="s">
        <v>303</v>
      </c>
      <c r="B53" s="21" t="s">
        <v>304</v>
      </c>
      <c r="C53" s="4" t="s">
        <v>138</v>
      </c>
      <c r="D53" s="4" t="s">
        <v>229</v>
      </c>
      <c r="E53" s="4" t="s">
        <v>226</v>
      </c>
      <c r="F53" s="22"/>
      <c r="G53" s="23" t="s">
        <v>98</v>
      </c>
      <c r="H53" s="6"/>
      <c r="I53" s="6"/>
      <c r="J53" s="6"/>
      <c r="K53" s="6"/>
      <c r="L53" s="6"/>
      <c r="M53" s="6"/>
      <c r="N53" s="6"/>
      <c r="O53" s="16" t="str">
        <f>IF(COUNT(I53:M53)&lt;5,"",ROUND((I53*Matriz!$C$5+J53*Matriz!$C$6+K53*Matriz!$C$7+L53*Matriz!$C$8+M53*Matriz!$C$9)/SUM(Matriz!$C$5:$C$9),2))</f>
        <v/>
      </c>
      <c r="P53" s="17">
        <f>IFERROR(INDEX(Processos!$F$8:$F$17,MATCH(C53,Processos!$A$8:$A$17,0)),1)</f>
        <v>1.0169999999999999</v>
      </c>
      <c r="Q53" s="24">
        <f>IFERROR(INDEX(Matriz!$C$28:$C$33,MATCH(G53,Matriz!$A$28:$A$33,0)),0)</f>
        <v>0.3</v>
      </c>
      <c r="R53" s="25" t="str">
        <f t="shared" si="0"/>
        <v/>
      </c>
      <c r="S53" s="10" t="str">
        <f>IF(R53="","",IF(R53&gt;=Matriz!$C$19,4,IF(R53&gt;=Matriz!$C$18,3,IF(R53&gt;=Matriz!$C$17,2,1))))</f>
        <v/>
      </c>
      <c r="T53" s="9" t="str">
        <f>IF(S53="","",MAX(S53,IF(I53=5,Matriz!$C$23,0),IF(N53="Sim",Matriz!$C$24,0)))</f>
        <v/>
      </c>
      <c r="U53" s="9" t="str">
        <f t="shared" si="1"/>
        <v/>
      </c>
      <c r="V53" s="26" t="str">
        <f t="shared" si="2"/>
        <v/>
      </c>
      <c r="W53" s="10" t="str">
        <f t="shared" si="3"/>
        <v/>
      </c>
      <c r="X53" s="4"/>
      <c r="Y53" s="4"/>
    </row>
    <row r="54" spans="1:25" ht="28.05" hidden="1" customHeight="1" x14ac:dyDescent="0.3">
      <c r="A54" s="20" t="s">
        <v>305</v>
      </c>
      <c r="B54" s="21" t="s">
        <v>306</v>
      </c>
      <c r="C54" s="4" t="s">
        <v>138</v>
      </c>
      <c r="D54" s="4" t="s">
        <v>229</v>
      </c>
      <c r="E54" s="4" t="s">
        <v>226</v>
      </c>
      <c r="F54" s="22"/>
      <c r="G54" s="23" t="s">
        <v>102</v>
      </c>
      <c r="H54" s="6"/>
      <c r="I54" s="6"/>
      <c r="J54" s="6"/>
      <c r="K54" s="6"/>
      <c r="L54" s="6"/>
      <c r="M54" s="6"/>
      <c r="N54" s="6"/>
      <c r="O54" s="16" t="str">
        <f>IF(COUNT(I54:M54)&lt;5,"",ROUND((I54*Matriz!$C$5+J54*Matriz!$C$6+K54*Matriz!$C$7+L54*Matriz!$C$8+M54*Matriz!$C$9)/SUM(Matriz!$C$5:$C$9),2))</f>
        <v/>
      </c>
      <c r="P54" s="17">
        <f>IFERROR(INDEX(Processos!$F$8:$F$17,MATCH(C54,Processos!$A$8:$A$17,0)),1)</f>
        <v>1.0169999999999999</v>
      </c>
      <c r="Q54" s="24">
        <f>IFERROR(INDEX(Matriz!$C$28:$C$33,MATCH(G54,Matriz!$A$28:$A$33,0)),0)</f>
        <v>0</v>
      </c>
      <c r="R54" s="25" t="str">
        <f t="shared" si="0"/>
        <v/>
      </c>
      <c r="S54" s="10" t="str">
        <f>IF(R54="","",IF(R54&gt;=Matriz!$C$19,4,IF(R54&gt;=Matriz!$C$18,3,IF(R54&gt;=Matriz!$C$17,2,1))))</f>
        <v/>
      </c>
      <c r="T54" s="9" t="str">
        <f>IF(S54="","",MAX(S54,IF(I54=5,Matriz!$C$23,0),IF(N54="Sim",Matriz!$C$24,0)))</f>
        <v/>
      </c>
      <c r="U54" s="9" t="str">
        <f t="shared" si="1"/>
        <v/>
      </c>
      <c r="V54" s="26" t="str">
        <f t="shared" si="2"/>
        <v/>
      </c>
      <c r="W54" s="10" t="str">
        <f t="shared" si="3"/>
        <v/>
      </c>
      <c r="X54" s="4"/>
      <c r="Y54" s="4"/>
    </row>
    <row r="55" spans="1:25" ht="28.05" hidden="1" customHeight="1" x14ac:dyDescent="0.3">
      <c r="A55" s="20" t="s">
        <v>307</v>
      </c>
      <c r="B55" s="21" t="s">
        <v>308</v>
      </c>
      <c r="C55" s="4" t="s">
        <v>138</v>
      </c>
      <c r="D55" s="4" t="s">
        <v>242</v>
      </c>
      <c r="E55" s="4" t="s">
        <v>226</v>
      </c>
      <c r="F55" s="22"/>
      <c r="G55" s="23" t="s">
        <v>104</v>
      </c>
      <c r="H55" s="6"/>
      <c r="I55" s="6"/>
      <c r="J55" s="6"/>
      <c r="K55" s="6"/>
      <c r="L55" s="6"/>
      <c r="M55" s="6"/>
      <c r="N55" s="6"/>
      <c r="O55" s="16" t="str">
        <f>IF(COUNT(I55:M55)&lt;5,"",ROUND((I55*Matriz!$C$5+J55*Matriz!$C$6+K55*Matriz!$C$7+L55*Matriz!$C$8+M55*Matriz!$C$9)/SUM(Matriz!$C$5:$C$9),2))</f>
        <v/>
      </c>
      <c r="P55" s="17">
        <f>IFERROR(INDEX(Processos!$F$8:$F$17,MATCH(C55,Processos!$A$8:$A$17,0)),1)</f>
        <v>1.0169999999999999</v>
      </c>
      <c r="Q55" s="24">
        <f>IFERROR(INDEX(Matriz!$C$28:$C$33,MATCH(G55,Matriz!$A$28:$A$33,0)),0)</f>
        <v>0</v>
      </c>
      <c r="R55" s="25" t="str">
        <f t="shared" si="0"/>
        <v/>
      </c>
      <c r="S55" s="10" t="str">
        <f>IF(R55="","",IF(R55&gt;=Matriz!$C$19,4,IF(R55&gt;=Matriz!$C$18,3,IF(R55&gt;=Matriz!$C$17,2,1))))</f>
        <v/>
      </c>
      <c r="T55" s="9" t="str">
        <f>IF(S55="","",MAX(S55,IF(I55=5,Matriz!$C$23,0),IF(N55="Sim",Matriz!$C$24,0)))</f>
        <v/>
      </c>
      <c r="U55" s="9" t="str">
        <f t="shared" si="1"/>
        <v/>
      </c>
      <c r="V55" s="26" t="str">
        <f t="shared" si="2"/>
        <v/>
      </c>
      <c r="W55" s="10" t="str">
        <f t="shared" si="3"/>
        <v/>
      </c>
      <c r="X55" s="4"/>
      <c r="Y55" s="4"/>
    </row>
    <row r="56" spans="1:25" ht="28.05" hidden="1" customHeight="1" x14ac:dyDescent="0.3">
      <c r="A56" s="20" t="s">
        <v>309</v>
      </c>
      <c r="B56" s="21" t="s">
        <v>310</v>
      </c>
      <c r="C56" s="4" t="s">
        <v>138</v>
      </c>
      <c r="D56" s="4" t="s">
        <v>300</v>
      </c>
      <c r="E56" s="4" t="s">
        <v>226</v>
      </c>
      <c r="F56" s="22"/>
      <c r="G56" s="23" t="s">
        <v>106</v>
      </c>
      <c r="H56" s="6"/>
      <c r="I56" s="6"/>
      <c r="J56" s="6"/>
      <c r="K56" s="6"/>
      <c r="L56" s="6"/>
      <c r="M56" s="6"/>
      <c r="N56" s="6"/>
      <c r="O56" s="16" t="str">
        <f>IF(COUNT(I56:M56)&lt;5,"",ROUND((I56*Matriz!$C$5+J56*Matriz!$C$6+K56*Matriz!$C$7+L56*Matriz!$C$8+M56*Matriz!$C$9)/SUM(Matriz!$C$5:$C$9),2))</f>
        <v/>
      </c>
      <c r="P56" s="17">
        <f>IFERROR(INDEX(Processos!$F$8:$F$17,MATCH(C56,Processos!$A$8:$A$17,0)),1)</f>
        <v>1.0169999999999999</v>
      </c>
      <c r="Q56" s="24">
        <f>IFERROR(INDEX(Matriz!$C$28:$C$33,MATCH(G56,Matriz!$A$28:$A$33,0)),0)</f>
        <v>-0.2</v>
      </c>
      <c r="R56" s="25" t="str">
        <f t="shared" si="0"/>
        <v/>
      </c>
      <c r="S56" s="10" t="str">
        <f>IF(R56="","",IF(R56&gt;=Matriz!$C$19,4,IF(R56&gt;=Matriz!$C$18,3,IF(R56&gt;=Matriz!$C$17,2,1))))</f>
        <v/>
      </c>
      <c r="T56" s="9" t="str">
        <f>IF(S56="","",MAX(S56,IF(I56=5,Matriz!$C$23,0),IF(N56="Sim",Matriz!$C$24,0)))</f>
        <v/>
      </c>
      <c r="U56" s="9" t="str">
        <f t="shared" si="1"/>
        <v/>
      </c>
      <c r="V56" s="26" t="str">
        <f t="shared" si="2"/>
        <v/>
      </c>
      <c r="W56" s="10" t="str">
        <f t="shared" si="3"/>
        <v/>
      </c>
      <c r="X56" s="4"/>
      <c r="Y56" s="4"/>
    </row>
    <row r="57" spans="1:25" ht="28.05" hidden="1" customHeight="1" x14ac:dyDescent="0.3">
      <c r="A57" s="20" t="s">
        <v>311</v>
      </c>
      <c r="B57" s="21" t="s">
        <v>312</v>
      </c>
      <c r="C57" s="4" t="s">
        <v>138</v>
      </c>
      <c r="D57" s="4" t="s">
        <v>229</v>
      </c>
      <c r="E57" s="4" t="s">
        <v>226</v>
      </c>
      <c r="F57" s="22"/>
      <c r="G57" s="23" t="s">
        <v>106</v>
      </c>
      <c r="H57" s="6"/>
      <c r="I57" s="6"/>
      <c r="J57" s="6"/>
      <c r="K57" s="6"/>
      <c r="L57" s="6"/>
      <c r="M57" s="6"/>
      <c r="N57" s="6"/>
      <c r="O57" s="16" t="str">
        <f>IF(COUNT(I57:M57)&lt;5,"",ROUND((I57*Matriz!$C$5+J57*Matriz!$C$6+K57*Matriz!$C$7+L57*Matriz!$C$8+M57*Matriz!$C$9)/SUM(Matriz!$C$5:$C$9),2))</f>
        <v/>
      </c>
      <c r="P57" s="17">
        <f>IFERROR(INDEX(Processos!$F$8:$F$17,MATCH(C57,Processos!$A$8:$A$17,0)),1)</f>
        <v>1.0169999999999999</v>
      </c>
      <c r="Q57" s="24">
        <f>IFERROR(INDEX(Matriz!$C$28:$C$33,MATCH(G57,Matriz!$A$28:$A$33,0)),0)</f>
        <v>-0.2</v>
      </c>
      <c r="R57" s="25" t="str">
        <f t="shared" si="0"/>
        <v/>
      </c>
      <c r="S57" s="10" t="str">
        <f>IF(R57="","",IF(R57&gt;=Matriz!$C$19,4,IF(R57&gt;=Matriz!$C$18,3,IF(R57&gt;=Matriz!$C$17,2,1))))</f>
        <v/>
      </c>
      <c r="T57" s="9" t="str">
        <f>IF(S57="","",MAX(S57,IF(I57=5,Matriz!$C$23,0),IF(N57="Sim",Matriz!$C$24,0)))</f>
        <v/>
      </c>
      <c r="U57" s="9" t="str">
        <f t="shared" si="1"/>
        <v/>
      </c>
      <c r="V57" s="26" t="str">
        <f t="shared" si="2"/>
        <v/>
      </c>
      <c r="W57" s="10" t="str">
        <f t="shared" si="3"/>
        <v/>
      </c>
      <c r="X57" s="4"/>
      <c r="Y57" s="4"/>
    </row>
    <row r="58" spans="1:25" ht="28.05" hidden="1" customHeight="1" x14ac:dyDescent="0.3">
      <c r="A58" s="20" t="s">
        <v>313</v>
      </c>
      <c r="B58" s="21" t="s">
        <v>314</v>
      </c>
      <c r="C58" s="4" t="s">
        <v>138</v>
      </c>
      <c r="D58" s="4" t="s">
        <v>229</v>
      </c>
      <c r="E58" s="4" t="s">
        <v>226</v>
      </c>
      <c r="F58" s="22"/>
      <c r="G58" s="23" t="s">
        <v>106</v>
      </c>
      <c r="H58" s="6"/>
      <c r="I58" s="6"/>
      <c r="J58" s="6"/>
      <c r="K58" s="6"/>
      <c r="L58" s="6"/>
      <c r="M58" s="6"/>
      <c r="N58" s="6"/>
      <c r="O58" s="16" t="str">
        <f>IF(COUNT(I58:M58)&lt;5,"",ROUND((I58*Matriz!$C$5+J58*Matriz!$C$6+K58*Matriz!$C$7+L58*Matriz!$C$8+M58*Matriz!$C$9)/SUM(Matriz!$C$5:$C$9),2))</f>
        <v/>
      </c>
      <c r="P58" s="17">
        <f>IFERROR(INDEX(Processos!$F$8:$F$17,MATCH(C58,Processos!$A$8:$A$17,0)),1)</f>
        <v>1.0169999999999999</v>
      </c>
      <c r="Q58" s="24">
        <f>IFERROR(INDEX(Matriz!$C$28:$C$33,MATCH(G58,Matriz!$A$28:$A$33,0)),0)</f>
        <v>-0.2</v>
      </c>
      <c r="R58" s="25" t="str">
        <f t="shared" si="0"/>
        <v/>
      </c>
      <c r="S58" s="10" t="str">
        <f>IF(R58="","",IF(R58&gt;=Matriz!$C$19,4,IF(R58&gt;=Matriz!$C$18,3,IF(R58&gt;=Matriz!$C$17,2,1))))</f>
        <v/>
      </c>
      <c r="T58" s="9" t="str">
        <f>IF(S58="","",MAX(S58,IF(I58=5,Matriz!$C$23,0),IF(N58="Sim",Matriz!$C$24,0)))</f>
        <v/>
      </c>
      <c r="U58" s="9" t="str">
        <f t="shared" si="1"/>
        <v/>
      </c>
      <c r="V58" s="26" t="str">
        <f t="shared" si="2"/>
        <v/>
      </c>
      <c r="W58" s="10" t="str">
        <f t="shared" si="3"/>
        <v/>
      </c>
      <c r="X58" s="4"/>
      <c r="Y58" s="4"/>
    </row>
    <row r="59" spans="1:25" ht="28.05" hidden="1" customHeight="1" x14ac:dyDescent="0.3">
      <c r="A59" s="20" t="s">
        <v>315</v>
      </c>
      <c r="B59" s="21" t="s">
        <v>316</v>
      </c>
      <c r="C59" s="4" t="s">
        <v>138</v>
      </c>
      <c r="D59" s="4" t="s">
        <v>229</v>
      </c>
      <c r="E59" s="4" t="s">
        <v>226</v>
      </c>
      <c r="F59" s="22"/>
      <c r="G59" s="23" t="s">
        <v>102</v>
      </c>
      <c r="H59" s="6"/>
      <c r="I59" s="6"/>
      <c r="J59" s="6"/>
      <c r="K59" s="6"/>
      <c r="L59" s="6"/>
      <c r="M59" s="6"/>
      <c r="N59" s="6"/>
      <c r="O59" s="16" t="str">
        <f>IF(COUNT(I59:M59)&lt;5,"",ROUND((I59*Matriz!$C$5+J59*Matriz!$C$6+K59*Matriz!$C$7+L59*Matriz!$C$8+M59*Matriz!$C$9)/SUM(Matriz!$C$5:$C$9),2))</f>
        <v/>
      </c>
      <c r="P59" s="17">
        <f>IFERROR(INDEX(Processos!$F$8:$F$17,MATCH(C59,Processos!$A$8:$A$17,0)),1)</f>
        <v>1.0169999999999999</v>
      </c>
      <c r="Q59" s="24">
        <f>IFERROR(INDEX(Matriz!$C$28:$C$33,MATCH(G59,Matriz!$A$28:$A$33,0)),0)</f>
        <v>0</v>
      </c>
      <c r="R59" s="25" t="str">
        <f t="shared" si="0"/>
        <v/>
      </c>
      <c r="S59" s="10" t="str">
        <f>IF(R59="","",IF(R59&gt;=Matriz!$C$19,4,IF(R59&gt;=Matriz!$C$18,3,IF(R59&gt;=Matriz!$C$17,2,1))))</f>
        <v/>
      </c>
      <c r="T59" s="9" t="str">
        <f>IF(S59="","",MAX(S59,IF(I59=5,Matriz!$C$23,0),IF(N59="Sim",Matriz!$C$24,0)))</f>
        <v/>
      </c>
      <c r="U59" s="9" t="str">
        <f t="shared" si="1"/>
        <v/>
      </c>
      <c r="V59" s="26" t="str">
        <f t="shared" si="2"/>
        <v/>
      </c>
      <c r="W59" s="10" t="str">
        <f t="shared" si="3"/>
        <v/>
      </c>
      <c r="X59" s="4"/>
      <c r="Y59" s="4"/>
    </row>
    <row r="60" spans="1:25" ht="28.05" hidden="1" customHeight="1" x14ac:dyDescent="0.3">
      <c r="A60" s="20" t="s">
        <v>317</v>
      </c>
      <c r="B60" s="21" t="s">
        <v>318</v>
      </c>
      <c r="C60" s="4" t="s">
        <v>138</v>
      </c>
      <c r="D60" s="4" t="s">
        <v>199</v>
      </c>
      <c r="E60" s="4" t="s">
        <v>226</v>
      </c>
      <c r="F60" s="22"/>
      <c r="G60" s="23" t="s">
        <v>104</v>
      </c>
      <c r="H60" s="6"/>
      <c r="I60" s="6"/>
      <c r="J60" s="6"/>
      <c r="K60" s="6"/>
      <c r="L60" s="6"/>
      <c r="M60" s="6"/>
      <c r="N60" s="6"/>
      <c r="O60" s="16" t="str">
        <f>IF(COUNT(I60:M60)&lt;5,"",ROUND((I60*Matriz!$C$5+J60*Matriz!$C$6+K60*Matriz!$C$7+L60*Matriz!$C$8+M60*Matriz!$C$9)/SUM(Matriz!$C$5:$C$9),2))</f>
        <v/>
      </c>
      <c r="P60" s="17">
        <f>IFERROR(INDEX(Processos!$F$8:$F$17,MATCH(C60,Processos!$A$8:$A$17,0)),1)</f>
        <v>1.0169999999999999</v>
      </c>
      <c r="Q60" s="24">
        <f>IFERROR(INDEX(Matriz!$C$28:$C$33,MATCH(G60,Matriz!$A$28:$A$33,0)),0)</f>
        <v>0</v>
      </c>
      <c r="R60" s="25" t="str">
        <f t="shared" si="0"/>
        <v/>
      </c>
      <c r="S60" s="10" t="str">
        <f>IF(R60="","",IF(R60&gt;=Matriz!$C$19,4,IF(R60&gt;=Matriz!$C$18,3,IF(R60&gt;=Matriz!$C$17,2,1))))</f>
        <v/>
      </c>
      <c r="T60" s="9" t="str">
        <f>IF(S60="","",MAX(S60,IF(I60=5,Matriz!$C$23,0),IF(N60="Sim",Matriz!$C$24,0)))</f>
        <v/>
      </c>
      <c r="U60" s="9" t="str">
        <f t="shared" si="1"/>
        <v/>
      </c>
      <c r="V60" s="26" t="str">
        <f t="shared" si="2"/>
        <v/>
      </c>
      <c r="W60" s="10" t="str">
        <f t="shared" si="3"/>
        <v/>
      </c>
      <c r="X60" s="4"/>
      <c r="Y60" s="4"/>
    </row>
    <row r="61" spans="1:25" ht="28.05" hidden="1" customHeight="1" x14ac:dyDescent="0.3">
      <c r="A61" s="20" t="s">
        <v>319</v>
      </c>
      <c r="B61" s="21" t="s">
        <v>318</v>
      </c>
      <c r="C61" s="4" t="s">
        <v>138</v>
      </c>
      <c r="D61" s="4" t="s">
        <v>199</v>
      </c>
      <c r="E61" s="4" t="s">
        <v>226</v>
      </c>
      <c r="F61" s="22"/>
      <c r="G61" s="23" t="s">
        <v>104</v>
      </c>
      <c r="H61" s="6"/>
      <c r="I61" s="6"/>
      <c r="J61" s="6"/>
      <c r="K61" s="6"/>
      <c r="L61" s="6"/>
      <c r="M61" s="6"/>
      <c r="N61" s="6"/>
      <c r="O61" s="16" t="str">
        <f>IF(COUNT(I61:M61)&lt;5,"",ROUND((I61*Matriz!$C$5+J61*Matriz!$C$6+K61*Matriz!$C$7+L61*Matriz!$C$8+M61*Matriz!$C$9)/SUM(Matriz!$C$5:$C$9),2))</f>
        <v/>
      </c>
      <c r="P61" s="17">
        <f>IFERROR(INDEX(Processos!$F$8:$F$17,MATCH(C61,Processos!$A$8:$A$17,0)),1)</f>
        <v>1.0169999999999999</v>
      </c>
      <c r="Q61" s="24">
        <f>IFERROR(INDEX(Matriz!$C$28:$C$33,MATCH(G61,Matriz!$A$28:$A$33,0)),0)</f>
        <v>0</v>
      </c>
      <c r="R61" s="25" t="str">
        <f t="shared" si="0"/>
        <v/>
      </c>
      <c r="S61" s="10" t="str">
        <f>IF(R61="","",IF(R61&gt;=Matriz!$C$19,4,IF(R61&gt;=Matriz!$C$18,3,IF(R61&gt;=Matriz!$C$17,2,1))))</f>
        <v/>
      </c>
      <c r="T61" s="9" t="str">
        <f>IF(S61="","",MAX(S61,IF(I61=5,Matriz!$C$23,0),IF(N61="Sim",Matriz!$C$24,0)))</f>
        <v/>
      </c>
      <c r="U61" s="9" t="str">
        <f t="shared" si="1"/>
        <v/>
      </c>
      <c r="V61" s="26" t="str">
        <f t="shared" si="2"/>
        <v/>
      </c>
      <c r="W61" s="10" t="str">
        <f t="shared" si="3"/>
        <v/>
      </c>
      <c r="X61" s="4"/>
      <c r="Y61" s="4"/>
    </row>
    <row r="62" spans="1:25" ht="28.05" hidden="1" customHeight="1" x14ac:dyDescent="0.3">
      <c r="A62" s="20" t="s">
        <v>320</v>
      </c>
      <c r="B62" s="21" t="s">
        <v>321</v>
      </c>
      <c r="C62" s="4" t="s">
        <v>138</v>
      </c>
      <c r="D62" s="4" t="s">
        <v>194</v>
      </c>
      <c r="E62" s="4" t="s">
        <v>226</v>
      </c>
      <c r="F62" s="22"/>
      <c r="G62" s="23" t="s">
        <v>104</v>
      </c>
      <c r="H62" s="6"/>
      <c r="I62" s="6"/>
      <c r="J62" s="6"/>
      <c r="K62" s="6"/>
      <c r="L62" s="6"/>
      <c r="M62" s="6"/>
      <c r="N62" s="6"/>
      <c r="O62" s="16" t="str">
        <f>IF(COUNT(I62:M62)&lt;5,"",ROUND((I62*Matriz!$C$5+J62*Matriz!$C$6+K62*Matriz!$C$7+L62*Matriz!$C$8+M62*Matriz!$C$9)/SUM(Matriz!$C$5:$C$9),2))</f>
        <v/>
      </c>
      <c r="P62" s="17">
        <f>IFERROR(INDEX(Processos!$F$8:$F$17,MATCH(C62,Processos!$A$8:$A$17,0)),1)</f>
        <v>1.0169999999999999</v>
      </c>
      <c r="Q62" s="24">
        <f>IFERROR(INDEX(Matriz!$C$28:$C$33,MATCH(G62,Matriz!$A$28:$A$33,0)),0)</f>
        <v>0</v>
      </c>
      <c r="R62" s="25" t="str">
        <f t="shared" si="0"/>
        <v/>
      </c>
      <c r="S62" s="10" t="str">
        <f>IF(R62="","",IF(R62&gt;=Matriz!$C$19,4,IF(R62&gt;=Matriz!$C$18,3,IF(R62&gt;=Matriz!$C$17,2,1))))</f>
        <v/>
      </c>
      <c r="T62" s="9" t="str">
        <f>IF(S62="","",MAX(S62,IF(I62=5,Matriz!$C$23,0),IF(N62="Sim",Matriz!$C$24,0)))</f>
        <v/>
      </c>
      <c r="U62" s="9" t="str">
        <f t="shared" si="1"/>
        <v/>
      </c>
      <c r="V62" s="26" t="str">
        <f t="shared" si="2"/>
        <v/>
      </c>
      <c r="W62" s="10" t="str">
        <f t="shared" si="3"/>
        <v/>
      </c>
      <c r="X62" s="4"/>
      <c r="Y62" s="4"/>
    </row>
    <row r="63" spans="1:25" ht="28.05" hidden="1" customHeight="1" x14ac:dyDescent="0.3">
      <c r="A63" s="20" t="s">
        <v>322</v>
      </c>
      <c r="B63" s="21" t="s">
        <v>323</v>
      </c>
      <c r="C63" s="4" t="s">
        <v>138</v>
      </c>
      <c r="D63" s="4" t="s">
        <v>229</v>
      </c>
      <c r="E63" s="4" t="s">
        <v>226</v>
      </c>
      <c r="F63" s="22"/>
      <c r="G63" s="23" t="s">
        <v>102</v>
      </c>
      <c r="H63" s="6"/>
      <c r="I63" s="6"/>
      <c r="J63" s="6"/>
      <c r="K63" s="6"/>
      <c r="L63" s="6"/>
      <c r="M63" s="6"/>
      <c r="N63" s="6"/>
      <c r="O63" s="16" t="str">
        <f>IF(COUNT(I63:M63)&lt;5,"",ROUND((I63*Matriz!$C$5+J63*Matriz!$C$6+K63*Matriz!$C$7+L63*Matriz!$C$8+M63*Matriz!$C$9)/SUM(Matriz!$C$5:$C$9),2))</f>
        <v/>
      </c>
      <c r="P63" s="17">
        <f>IFERROR(INDEX(Processos!$F$8:$F$17,MATCH(C63,Processos!$A$8:$A$17,0)),1)</f>
        <v>1.0169999999999999</v>
      </c>
      <c r="Q63" s="24">
        <f>IFERROR(INDEX(Matriz!$C$28:$C$33,MATCH(G63,Matriz!$A$28:$A$33,0)),0)</f>
        <v>0</v>
      </c>
      <c r="R63" s="25" t="str">
        <f t="shared" si="0"/>
        <v/>
      </c>
      <c r="S63" s="10" t="str">
        <f>IF(R63="","",IF(R63&gt;=Matriz!$C$19,4,IF(R63&gt;=Matriz!$C$18,3,IF(R63&gt;=Matriz!$C$17,2,1))))</f>
        <v/>
      </c>
      <c r="T63" s="9" t="str">
        <f>IF(S63="","",MAX(S63,IF(I63=5,Matriz!$C$23,0),IF(N63="Sim",Matriz!$C$24,0)))</f>
        <v/>
      </c>
      <c r="U63" s="9" t="str">
        <f t="shared" si="1"/>
        <v/>
      </c>
      <c r="V63" s="26" t="str">
        <f t="shared" si="2"/>
        <v/>
      </c>
      <c r="W63" s="10" t="str">
        <f t="shared" si="3"/>
        <v/>
      </c>
      <c r="X63" s="4"/>
      <c r="Y63" s="4"/>
    </row>
    <row r="64" spans="1:25" ht="40.049999999999997" hidden="1" customHeight="1" x14ac:dyDescent="0.3">
      <c r="A64" s="20" t="s">
        <v>324</v>
      </c>
      <c r="B64" s="21" t="s">
        <v>325</v>
      </c>
      <c r="C64" s="4" t="s">
        <v>138</v>
      </c>
      <c r="D64" s="4" t="s">
        <v>194</v>
      </c>
      <c r="E64" s="4" t="s">
        <v>326</v>
      </c>
      <c r="F64" s="22"/>
      <c r="G64" s="23" t="s">
        <v>98</v>
      </c>
      <c r="H64" s="6">
        <v>4</v>
      </c>
      <c r="I64" s="6">
        <v>4</v>
      </c>
      <c r="J64" s="6">
        <v>4</v>
      </c>
      <c r="K64" s="6">
        <v>1</v>
      </c>
      <c r="L64" s="6">
        <v>2</v>
      </c>
      <c r="M64" s="6">
        <v>3</v>
      </c>
      <c r="N64" s="6" t="s">
        <v>261</v>
      </c>
      <c r="O64" s="16">
        <f>IF(COUNT(I64:M64)&lt;5,"",ROUND((I64*Matriz!$C$5+J64*Matriz!$C$6+K64*Matriz!$C$7+L64*Matriz!$C$8+M64*Matriz!$C$9)/SUM(Matriz!$C$5:$C$9),2))</f>
        <v>2.95</v>
      </c>
      <c r="P64" s="17">
        <f>IFERROR(INDEX(Processos!$F$8:$F$17,MATCH(C64,Processos!$A$8:$A$17,0)),1)</f>
        <v>1.0169999999999999</v>
      </c>
      <c r="Q64" s="24">
        <f>IFERROR(INDEX(Matriz!$C$28:$C$33,MATCH(G64,Matriz!$A$28:$A$33,0)),0)</f>
        <v>0.3</v>
      </c>
      <c r="R64" s="25">
        <f t="shared" si="0"/>
        <v>3.3</v>
      </c>
      <c r="S64" s="10">
        <f>IF(R64="","",IF(R64&gt;=Matriz!$C$19,4,IF(R64&gt;=Matriz!$C$18,3,IF(R64&gt;=Matriz!$C$17,2,1))))</f>
        <v>3</v>
      </c>
      <c r="T64" s="9">
        <f>IF(S64="","",MAX(S64,IF(I64=5,Matriz!$C$23,0),IF(N64="Sim",Matriz!$C$24,0)))</f>
        <v>3</v>
      </c>
      <c r="U64" s="9" t="str">
        <f t="shared" si="1"/>
        <v>Alta</v>
      </c>
      <c r="V64" s="26">
        <f t="shared" si="2"/>
        <v>3032.5999360000001</v>
      </c>
      <c r="W64" s="10">
        <f t="shared" si="3"/>
        <v>7</v>
      </c>
      <c r="X64" s="4" t="s">
        <v>262</v>
      </c>
      <c r="Y64" s="4" t="s">
        <v>327</v>
      </c>
    </row>
    <row r="65" spans="1:25" ht="28.05" hidden="1" customHeight="1" x14ac:dyDescent="0.3">
      <c r="A65" s="20" t="s">
        <v>328</v>
      </c>
      <c r="B65" s="21" t="s">
        <v>184</v>
      </c>
      <c r="C65" s="4" t="s">
        <v>136</v>
      </c>
      <c r="D65" s="4" t="s">
        <v>185</v>
      </c>
      <c r="E65" s="4" t="s">
        <v>186</v>
      </c>
      <c r="F65" s="22">
        <v>46387</v>
      </c>
      <c r="G65" s="23" t="s">
        <v>104</v>
      </c>
      <c r="H65" s="6"/>
      <c r="I65" s="6"/>
      <c r="J65" s="6"/>
      <c r="K65" s="6"/>
      <c r="L65" s="6"/>
      <c r="M65" s="6"/>
      <c r="N65" s="6"/>
      <c r="O65" s="16" t="str">
        <f>IF(COUNT(I65:M65)&lt;5,"",ROUND((I65*Matriz!$C$5+J65*Matriz!$C$6+K65*Matriz!$C$7+L65*Matriz!$C$8+M65*Matriz!$C$9)/SUM(Matriz!$C$5:$C$9),2))</f>
        <v/>
      </c>
      <c r="P65" s="17">
        <f>IFERROR(INDEX(Processos!$F$8:$F$17,MATCH(C65,Processos!$A$8:$A$17,0)),1)</f>
        <v>1.034</v>
      </c>
      <c r="Q65" s="24">
        <f>IFERROR(INDEX(Matriz!$C$28:$C$33,MATCH(G65,Matriz!$A$28:$A$33,0)),0)</f>
        <v>0</v>
      </c>
      <c r="R65" s="25" t="str">
        <f t="shared" si="0"/>
        <v/>
      </c>
      <c r="S65" s="10" t="str">
        <f>IF(R65="","",IF(R65&gt;=Matriz!$C$19,4,IF(R65&gt;=Matriz!$C$18,3,IF(R65&gt;=Matriz!$C$17,2,1))))</f>
        <v/>
      </c>
      <c r="T65" s="9" t="str">
        <f>IF(S65="","",MAX(S65,IF(I65=5,Matriz!$C$23,0),IF(N65="Sim",Matriz!$C$24,0)))</f>
        <v/>
      </c>
      <c r="U65" s="9" t="str">
        <f t="shared" si="1"/>
        <v/>
      </c>
      <c r="V65" s="26" t="str">
        <f t="shared" si="2"/>
        <v/>
      </c>
      <c r="W65" s="10" t="str">
        <f t="shared" si="3"/>
        <v/>
      </c>
      <c r="X65" s="4"/>
      <c r="Y65" s="4"/>
    </row>
    <row r="66" spans="1:25" ht="28.05" hidden="1" customHeight="1" x14ac:dyDescent="0.3">
      <c r="A66" s="20" t="s">
        <v>329</v>
      </c>
      <c r="B66" s="21" t="s">
        <v>188</v>
      </c>
      <c r="C66" s="4" t="s">
        <v>136</v>
      </c>
      <c r="D66" s="4" t="s">
        <v>185</v>
      </c>
      <c r="E66" s="4" t="s">
        <v>186</v>
      </c>
      <c r="F66" s="22">
        <v>46387</v>
      </c>
      <c r="G66" s="23" t="s">
        <v>104</v>
      </c>
      <c r="H66" s="6"/>
      <c r="I66" s="6"/>
      <c r="J66" s="6"/>
      <c r="K66" s="6"/>
      <c r="L66" s="6"/>
      <c r="M66" s="6"/>
      <c r="N66" s="6"/>
      <c r="O66" s="16" t="str">
        <f>IF(COUNT(I66:M66)&lt;5,"",ROUND((I66*Matriz!$C$5+J66*Matriz!$C$6+K66*Matriz!$C$7+L66*Matriz!$C$8+M66*Matriz!$C$9)/SUM(Matriz!$C$5:$C$9),2))</f>
        <v/>
      </c>
      <c r="P66" s="17">
        <f>IFERROR(INDEX(Processos!$F$8:$F$17,MATCH(C66,Processos!$A$8:$A$17,0)),1)</f>
        <v>1.034</v>
      </c>
      <c r="Q66" s="24">
        <f>IFERROR(INDEX(Matriz!$C$28:$C$33,MATCH(G66,Matriz!$A$28:$A$33,0)),0)</f>
        <v>0</v>
      </c>
      <c r="R66" s="25" t="str">
        <f t="shared" si="0"/>
        <v/>
      </c>
      <c r="S66" s="10" t="str">
        <f>IF(R66="","",IF(R66&gt;=Matriz!$C$19,4,IF(R66&gt;=Matriz!$C$18,3,IF(R66&gt;=Matriz!$C$17,2,1))))</f>
        <v/>
      </c>
      <c r="T66" s="9" t="str">
        <f>IF(S66="","",MAX(S66,IF(I66=5,Matriz!$C$23,0),IF(N66="Sim",Matriz!$C$24,0)))</f>
        <v/>
      </c>
      <c r="U66" s="9" t="str">
        <f t="shared" si="1"/>
        <v/>
      </c>
      <c r="V66" s="26" t="str">
        <f t="shared" si="2"/>
        <v/>
      </c>
      <c r="W66" s="10" t="str">
        <f t="shared" si="3"/>
        <v/>
      </c>
      <c r="X66" s="4"/>
      <c r="Y66" s="4"/>
    </row>
    <row r="67" spans="1:25" ht="28.05" hidden="1" customHeight="1" x14ac:dyDescent="0.3">
      <c r="A67" s="20" t="s">
        <v>330</v>
      </c>
      <c r="B67" s="21" t="s">
        <v>331</v>
      </c>
      <c r="C67" s="4" t="s">
        <v>136</v>
      </c>
      <c r="D67" s="4" t="s">
        <v>185</v>
      </c>
      <c r="E67" s="4" t="s">
        <v>186</v>
      </c>
      <c r="F67" s="22">
        <v>46387</v>
      </c>
      <c r="G67" s="23" t="s">
        <v>104</v>
      </c>
      <c r="H67" s="6"/>
      <c r="I67" s="6"/>
      <c r="J67" s="6"/>
      <c r="K67" s="6"/>
      <c r="L67" s="6"/>
      <c r="M67" s="6"/>
      <c r="N67" s="6"/>
      <c r="O67" s="16" t="str">
        <f>IF(COUNT(I67:M67)&lt;5,"",ROUND((I67*Matriz!$C$5+J67*Matriz!$C$6+K67*Matriz!$C$7+L67*Matriz!$C$8+M67*Matriz!$C$9)/SUM(Matriz!$C$5:$C$9),2))</f>
        <v/>
      </c>
      <c r="P67" s="17">
        <f>IFERROR(INDEX(Processos!$F$8:$F$17,MATCH(C67,Processos!$A$8:$A$17,0)),1)</f>
        <v>1.034</v>
      </c>
      <c r="Q67" s="24">
        <f>IFERROR(INDEX(Matriz!$C$28:$C$33,MATCH(G67,Matriz!$A$28:$A$33,0)),0)</f>
        <v>0</v>
      </c>
      <c r="R67" s="25" t="str">
        <f t="shared" si="0"/>
        <v/>
      </c>
      <c r="S67" s="10" t="str">
        <f>IF(R67="","",IF(R67&gt;=Matriz!$C$19,4,IF(R67&gt;=Matriz!$C$18,3,IF(R67&gt;=Matriz!$C$17,2,1))))</f>
        <v/>
      </c>
      <c r="T67" s="9" t="str">
        <f>IF(S67="","",MAX(S67,IF(I67=5,Matriz!$C$23,0),IF(N67="Sim",Matriz!$C$24,0)))</f>
        <v/>
      </c>
      <c r="U67" s="9" t="str">
        <f t="shared" si="1"/>
        <v/>
      </c>
      <c r="V67" s="26" t="str">
        <f t="shared" si="2"/>
        <v/>
      </c>
      <c r="W67" s="10" t="str">
        <f t="shared" si="3"/>
        <v/>
      </c>
      <c r="X67" s="4"/>
      <c r="Y67" s="4"/>
    </row>
    <row r="68" spans="1:25" ht="28.05" hidden="1" customHeight="1" x14ac:dyDescent="0.3">
      <c r="A68" s="20" t="s">
        <v>332</v>
      </c>
      <c r="B68" s="21" t="s">
        <v>198</v>
      </c>
      <c r="C68" s="4" t="s">
        <v>136</v>
      </c>
      <c r="D68" s="4" t="s">
        <v>199</v>
      </c>
      <c r="E68" s="4" t="s">
        <v>186</v>
      </c>
      <c r="F68" s="22">
        <v>46387</v>
      </c>
      <c r="G68" s="23" t="s">
        <v>104</v>
      </c>
      <c r="H68" s="6"/>
      <c r="I68" s="6"/>
      <c r="J68" s="6"/>
      <c r="K68" s="6"/>
      <c r="L68" s="6"/>
      <c r="M68" s="6"/>
      <c r="N68" s="6"/>
      <c r="O68" s="16" t="str">
        <f>IF(COUNT(I68:M68)&lt;5,"",ROUND((I68*Matriz!$C$5+J68*Matriz!$C$6+K68*Matriz!$C$7+L68*Matriz!$C$8+M68*Matriz!$C$9)/SUM(Matriz!$C$5:$C$9),2))</f>
        <v/>
      </c>
      <c r="P68" s="17">
        <f>IFERROR(INDEX(Processos!$F$8:$F$17,MATCH(C68,Processos!$A$8:$A$17,0)),1)</f>
        <v>1.034</v>
      </c>
      <c r="Q68" s="24">
        <f>IFERROR(INDEX(Matriz!$C$28:$C$33,MATCH(G68,Matriz!$A$28:$A$33,0)),0)</f>
        <v>0</v>
      </c>
      <c r="R68" s="25" t="str">
        <f t="shared" si="0"/>
        <v/>
      </c>
      <c r="S68" s="10" t="str">
        <f>IF(R68="","",IF(R68&gt;=Matriz!$C$19,4,IF(R68&gt;=Matriz!$C$18,3,IF(R68&gt;=Matriz!$C$17,2,1))))</f>
        <v/>
      </c>
      <c r="T68" s="9" t="str">
        <f>IF(S68="","",MAX(S68,IF(I68=5,Matriz!$C$23,0),IF(N68="Sim",Matriz!$C$24,0)))</f>
        <v/>
      </c>
      <c r="U68" s="9" t="str">
        <f t="shared" si="1"/>
        <v/>
      </c>
      <c r="V68" s="26" t="str">
        <f t="shared" si="2"/>
        <v/>
      </c>
      <c r="W68" s="10" t="str">
        <f t="shared" si="3"/>
        <v/>
      </c>
      <c r="X68" s="4"/>
      <c r="Y68" s="4"/>
    </row>
    <row r="69" spans="1:25" ht="28.05" hidden="1" customHeight="1" x14ac:dyDescent="0.3">
      <c r="A69" s="20" t="s">
        <v>333</v>
      </c>
      <c r="B69" s="21" t="s">
        <v>204</v>
      </c>
      <c r="C69" s="4" t="s">
        <v>136</v>
      </c>
      <c r="D69" s="4" t="s">
        <v>334</v>
      </c>
      <c r="E69" s="4" t="s">
        <v>186</v>
      </c>
      <c r="F69" s="22">
        <v>46356</v>
      </c>
      <c r="G69" s="23" t="s">
        <v>100</v>
      </c>
      <c r="H69" s="6"/>
      <c r="I69" s="6"/>
      <c r="J69" s="6"/>
      <c r="K69" s="6"/>
      <c r="L69" s="6"/>
      <c r="M69" s="6"/>
      <c r="N69" s="6"/>
      <c r="O69" s="16" t="str">
        <f>IF(COUNT(I69:M69)&lt;5,"",ROUND((I69*Matriz!$C$5+J69*Matriz!$C$6+K69*Matriz!$C$7+L69*Matriz!$C$8+M69*Matriz!$C$9)/SUM(Matriz!$C$5:$C$9),2))</f>
        <v/>
      </c>
      <c r="P69" s="17">
        <f>IFERROR(INDEX(Processos!$F$8:$F$17,MATCH(C69,Processos!$A$8:$A$17,0)),1)</f>
        <v>1.034</v>
      </c>
      <c r="Q69" s="24">
        <f>IFERROR(INDEX(Matriz!$C$28:$C$33,MATCH(G69,Matriz!$A$28:$A$33,0)),0)</f>
        <v>0</v>
      </c>
      <c r="R69" s="25" t="str">
        <f t="shared" ref="R69:R132" si="4">IF(O69="","",ROUND(O69*P69+Q69,2))</f>
        <v/>
      </c>
      <c r="S69" s="10" t="str">
        <f>IF(R69="","",IF(R69&gt;=Matriz!$C$19,4,IF(R69&gt;=Matriz!$C$18,3,IF(R69&gt;=Matriz!$C$17,2,1))))</f>
        <v/>
      </c>
      <c r="T69" s="9" t="str">
        <f>IF(S69="","",MAX(S69,IF(I69=5,Matriz!$C$23,0),IF(N69="Sim",Matriz!$C$24,0)))</f>
        <v/>
      </c>
      <c r="U69" s="9" t="str">
        <f t="shared" ref="U69:U132" si="5">IF(T69="","",CHOOSE(T69,"Baixa","Normal","Alta","Urgente"))</f>
        <v/>
      </c>
      <c r="V69" s="26" t="str">
        <f t="shared" ref="V69:V132" si="6">IF(T69="","",T69*1000+R69*10-IF(H69="",3,H69)/10-ROW()/1000000)</f>
        <v/>
      </c>
      <c r="W69" s="10" t="str">
        <f t="shared" ref="W69:W132" si="7">IF(V69="","",COUNTIF($V$5:$V$405,"&gt;"&amp;V69)+1)</f>
        <v/>
      </c>
      <c r="X69" s="4"/>
      <c r="Y69" s="4"/>
    </row>
    <row r="70" spans="1:25" ht="28.05" hidden="1" customHeight="1" x14ac:dyDescent="0.3">
      <c r="A70" s="20" t="s">
        <v>335</v>
      </c>
      <c r="B70" s="21" t="s">
        <v>336</v>
      </c>
      <c r="C70" s="4" t="s">
        <v>136</v>
      </c>
      <c r="D70" s="4" t="s">
        <v>334</v>
      </c>
      <c r="E70" s="4" t="s">
        <v>186</v>
      </c>
      <c r="F70" s="22">
        <v>46418</v>
      </c>
      <c r="G70" s="23" t="s">
        <v>100</v>
      </c>
      <c r="H70" s="6"/>
      <c r="I70" s="6"/>
      <c r="J70" s="6"/>
      <c r="K70" s="6"/>
      <c r="L70" s="6"/>
      <c r="M70" s="6"/>
      <c r="N70" s="6"/>
      <c r="O70" s="16" t="str">
        <f>IF(COUNT(I70:M70)&lt;5,"",ROUND((I70*Matriz!$C$5+J70*Matriz!$C$6+K70*Matriz!$C$7+L70*Matriz!$C$8+M70*Matriz!$C$9)/SUM(Matriz!$C$5:$C$9),2))</f>
        <v/>
      </c>
      <c r="P70" s="17">
        <f>IFERROR(INDEX(Processos!$F$8:$F$17,MATCH(C70,Processos!$A$8:$A$17,0)),1)</f>
        <v>1.034</v>
      </c>
      <c r="Q70" s="24">
        <f>IFERROR(INDEX(Matriz!$C$28:$C$33,MATCH(G70,Matriz!$A$28:$A$33,0)),0)</f>
        <v>0</v>
      </c>
      <c r="R70" s="25" t="str">
        <f t="shared" si="4"/>
        <v/>
      </c>
      <c r="S70" s="10" t="str">
        <f>IF(R70="","",IF(R70&gt;=Matriz!$C$19,4,IF(R70&gt;=Matriz!$C$18,3,IF(R70&gt;=Matriz!$C$17,2,1))))</f>
        <v/>
      </c>
      <c r="T70" s="9" t="str">
        <f>IF(S70="","",MAX(S70,IF(I70=5,Matriz!$C$23,0),IF(N70="Sim",Matriz!$C$24,0)))</f>
        <v/>
      </c>
      <c r="U70" s="9" t="str">
        <f t="shared" si="5"/>
        <v/>
      </c>
      <c r="V70" s="26" t="str">
        <f t="shared" si="6"/>
        <v/>
      </c>
      <c r="W70" s="10" t="str">
        <f t="shared" si="7"/>
        <v/>
      </c>
      <c r="X70" s="4"/>
      <c r="Y70" s="4"/>
    </row>
    <row r="71" spans="1:25" ht="28.05" hidden="1" customHeight="1" x14ac:dyDescent="0.3">
      <c r="A71" s="20" t="s">
        <v>337</v>
      </c>
      <c r="B71" s="21" t="s">
        <v>338</v>
      </c>
      <c r="C71" s="4" t="s">
        <v>136</v>
      </c>
      <c r="D71" s="4" t="s">
        <v>191</v>
      </c>
      <c r="E71" s="4" t="s">
        <v>186</v>
      </c>
      <c r="F71" s="22">
        <v>46387</v>
      </c>
      <c r="G71" s="23" t="s">
        <v>100</v>
      </c>
      <c r="H71" s="6"/>
      <c r="I71" s="6"/>
      <c r="J71" s="6"/>
      <c r="K71" s="6"/>
      <c r="L71" s="6"/>
      <c r="M71" s="6"/>
      <c r="N71" s="6"/>
      <c r="O71" s="16" t="str">
        <f>IF(COUNT(I71:M71)&lt;5,"",ROUND((I71*Matriz!$C$5+J71*Matriz!$C$6+K71*Matriz!$C$7+L71*Matriz!$C$8+M71*Matriz!$C$9)/SUM(Matriz!$C$5:$C$9),2))</f>
        <v/>
      </c>
      <c r="P71" s="17">
        <f>IFERROR(INDEX(Processos!$F$8:$F$17,MATCH(C71,Processos!$A$8:$A$17,0)),1)</f>
        <v>1.034</v>
      </c>
      <c r="Q71" s="24">
        <f>IFERROR(INDEX(Matriz!$C$28:$C$33,MATCH(G71,Matriz!$A$28:$A$33,0)),0)</f>
        <v>0</v>
      </c>
      <c r="R71" s="25" t="str">
        <f t="shared" si="4"/>
        <v/>
      </c>
      <c r="S71" s="10" t="str">
        <f>IF(R71="","",IF(R71&gt;=Matriz!$C$19,4,IF(R71&gt;=Matriz!$C$18,3,IF(R71&gt;=Matriz!$C$17,2,1))))</f>
        <v/>
      </c>
      <c r="T71" s="9" t="str">
        <f>IF(S71="","",MAX(S71,IF(I71=5,Matriz!$C$23,0),IF(N71="Sim",Matriz!$C$24,0)))</f>
        <v/>
      </c>
      <c r="U71" s="9" t="str">
        <f t="shared" si="5"/>
        <v/>
      </c>
      <c r="V71" s="26" t="str">
        <f t="shared" si="6"/>
        <v/>
      </c>
      <c r="W71" s="10" t="str">
        <f t="shared" si="7"/>
        <v/>
      </c>
      <c r="X71" s="4"/>
      <c r="Y71" s="4"/>
    </row>
    <row r="72" spans="1:25" ht="28.05" hidden="1" customHeight="1" x14ac:dyDescent="0.3">
      <c r="A72" s="20" t="s">
        <v>339</v>
      </c>
      <c r="B72" s="21" t="s">
        <v>212</v>
      </c>
      <c r="C72" s="4" t="s">
        <v>136</v>
      </c>
      <c r="D72" s="4" t="s">
        <v>213</v>
      </c>
      <c r="E72" s="4" t="s">
        <v>186</v>
      </c>
      <c r="F72" s="22">
        <v>46387</v>
      </c>
      <c r="G72" s="23" t="s">
        <v>104</v>
      </c>
      <c r="H72" s="6"/>
      <c r="I72" s="6"/>
      <c r="J72" s="6"/>
      <c r="K72" s="6"/>
      <c r="L72" s="6"/>
      <c r="M72" s="6"/>
      <c r="N72" s="6"/>
      <c r="O72" s="16" t="str">
        <f>IF(COUNT(I72:M72)&lt;5,"",ROUND((I72*Matriz!$C$5+J72*Matriz!$C$6+K72*Matriz!$C$7+L72*Matriz!$C$8+M72*Matriz!$C$9)/SUM(Matriz!$C$5:$C$9),2))</f>
        <v/>
      </c>
      <c r="P72" s="17">
        <f>IFERROR(INDEX(Processos!$F$8:$F$17,MATCH(C72,Processos!$A$8:$A$17,0)),1)</f>
        <v>1.034</v>
      </c>
      <c r="Q72" s="24">
        <f>IFERROR(INDEX(Matriz!$C$28:$C$33,MATCH(G72,Matriz!$A$28:$A$33,0)),0)</f>
        <v>0</v>
      </c>
      <c r="R72" s="25" t="str">
        <f t="shared" si="4"/>
        <v/>
      </c>
      <c r="S72" s="10" t="str">
        <f>IF(R72="","",IF(R72&gt;=Matriz!$C$19,4,IF(R72&gt;=Matriz!$C$18,3,IF(R72&gt;=Matriz!$C$17,2,1))))</f>
        <v/>
      </c>
      <c r="T72" s="9" t="str">
        <f>IF(S72="","",MAX(S72,IF(I72=5,Matriz!$C$23,0),IF(N72="Sim",Matriz!$C$24,0)))</f>
        <v/>
      </c>
      <c r="U72" s="9" t="str">
        <f t="shared" si="5"/>
        <v/>
      </c>
      <c r="V72" s="26" t="str">
        <f t="shared" si="6"/>
        <v/>
      </c>
      <c r="W72" s="10" t="str">
        <f t="shared" si="7"/>
        <v/>
      </c>
      <c r="X72" s="4"/>
      <c r="Y72" s="4"/>
    </row>
    <row r="73" spans="1:25" ht="28.05" hidden="1" customHeight="1" x14ac:dyDescent="0.3">
      <c r="A73" s="20" t="s">
        <v>340</v>
      </c>
      <c r="B73" s="21" t="s">
        <v>217</v>
      </c>
      <c r="C73" s="4" t="s">
        <v>136</v>
      </c>
      <c r="D73" s="4" t="s">
        <v>218</v>
      </c>
      <c r="E73" s="4" t="s">
        <v>186</v>
      </c>
      <c r="F73" s="22">
        <v>46418</v>
      </c>
      <c r="G73" s="23" t="s">
        <v>104</v>
      </c>
      <c r="H73" s="6"/>
      <c r="I73" s="6"/>
      <c r="J73" s="6"/>
      <c r="K73" s="6"/>
      <c r="L73" s="6"/>
      <c r="M73" s="6"/>
      <c r="N73" s="6"/>
      <c r="O73" s="16" t="str">
        <f>IF(COUNT(I73:M73)&lt;5,"",ROUND((I73*Matriz!$C$5+J73*Matriz!$C$6+K73*Matriz!$C$7+L73*Matriz!$C$8+M73*Matriz!$C$9)/SUM(Matriz!$C$5:$C$9),2))</f>
        <v/>
      </c>
      <c r="P73" s="17">
        <f>IFERROR(INDEX(Processos!$F$8:$F$17,MATCH(C73,Processos!$A$8:$A$17,0)),1)</f>
        <v>1.034</v>
      </c>
      <c r="Q73" s="24">
        <f>IFERROR(INDEX(Matriz!$C$28:$C$33,MATCH(G73,Matriz!$A$28:$A$33,0)),0)</f>
        <v>0</v>
      </c>
      <c r="R73" s="25" t="str">
        <f t="shared" si="4"/>
        <v/>
      </c>
      <c r="S73" s="10" t="str">
        <f>IF(R73="","",IF(R73&gt;=Matriz!$C$19,4,IF(R73&gt;=Matriz!$C$18,3,IF(R73&gt;=Matriz!$C$17,2,1))))</f>
        <v/>
      </c>
      <c r="T73" s="9" t="str">
        <f>IF(S73="","",MAX(S73,IF(I73=5,Matriz!$C$23,0),IF(N73="Sim",Matriz!$C$24,0)))</f>
        <v/>
      </c>
      <c r="U73" s="9" t="str">
        <f t="shared" si="5"/>
        <v/>
      </c>
      <c r="V73" s="26" t="str">
        <f t="shared" si="6"/>
        <v/>
      </c>
      <c r="W73" s="10" t="str">
        <f t="shared" si="7"/>
        <v/>
      </c>
      <c r="X73" s="4"/>
      <c r="Y73" s="4"/>
    </row>
    <row r="74" spans="1:25" ht="28.05" hidden="1" customHeight="1" x14ac:dyDescent="0.3">
      <c r="A74" s="20" t="s">
        <v>341</v>
      </c>
      <c r="B74" s="21" t="s">
        <v>220</v>
      </c>
      <c r="C74" s="4" t="s">
        <v>136</v>
      </c>
      <c r="D74" s="4" t="s">
        <v>213</v>
      </c>
      <c r="E74" s="4" t="s">
        <v>186</v>
      </c>
      <c r="F74" s="22">
        <v>46387</v>
      </c>
      <c r="G74" s="23" t="s">
        <v>104</v>
      </c>
      <c r="H74" s="6"/>
      <c r="I74" s="6"/>
      <c r="J74" s="6"/>
      <c r="K74" s="6"/>
      <c r="L74" s="6"/>
      <c r="M74" s="6"/>
      <c r="N74" s="6"/>
      <c r="O74" s="16" t="str">
        <f>IF(COUNT(I74:M74)&lt;5,"",ROUND((I74*Matriz!$C$5+J74*Matriz!$C$6+K74*Matriz!$C$7+L74*Matriz!$C$8+M74*Matriz!$C$9)/SUM(Matriz!$C$5:$C$9),2))</f>
        <v/>
      </c>
      <c r="P74" s="17">
        <f>IFERROR(INDEX(Processos!$F$8:$F$17,MATCH(C74,Processos!$A$8:$A$17,0)),1)</f>
        <v>1.034</v>
      </c>
      <c r="Q74" s="24">
        <f>IFERROR(INDEX(Matriz!$C$28:$C$33,MATCH(G74,Matriz!$A$28:$A$33,0)),0)</f>
        <v>0</v>
      </c>
      <c r="R74" s="25" t="str">
        <f t="shared" si="4"/>
        <v/>
      </c>
      <c r="S74" s="10" t="str">
        <f>IF(R74="","",IF(R74&gt;=Matriz!$C$19,4,IF(R74&gt;=Matriz!$C$18,3,IF(R74&gt;=Matriz!$C$17,2,1))))</f>
        <v/>
      </c>
      <c r="T74" s="9" t="str">
        <f>IF(S74="","",MAX(S74,IF(I74=5,Matriz!$C$23,0),IF(N74="Sim",Matriz!$C$24,0)))</f>
        <v/>
      </c>
      <c r="U74" s="9" t="str">
        <f t="shared" si="5"/>
        <v/>
      </c>
      <c r="V74" s="26" t="str">
        <f t="shared" si="6"/>
        <v/>
      </c>
      <c r="W74" s="10" t="str">
        <f t="shared" si="7"/>
        <v/>
      </c>
      <c r="X74" s="4"/>
      <c r="Y74" s="4"/>
    </row>
    <row r="75" spans="1:25" ht="28.05" hidden="1" customHeight="1" x14ac:dyDescent="0.3">
      <c r="A75" s="20" t="s">
        <v>342</v>
      </c>
      <c r="B75" s="21" t="s">
        <v>225</v>
      </c>
      <c r="C75" s="4" t="s">
        <v>136</v>
      </c>
      <c r="D75" s="4" t="s">
        <v>213</v>
      </c>
      <c r="E75" s="4" t="s">
        <v>226</v>
      </c>
      <c r="F75" s="22"/>
      <c r="G75" s="23" t="s">
        <v>104</v>
      </c>
      <c r="H75" s="6"/>
      <c r="I75" s="6"/>
      <c r="J75" s="6"/>
      <c r="K75" s="6"/>
      <c r="L75" s="6"/>
      <c r="M75" s="6"/>
      <c r="N75" s="6"/>
      <c r="O75" s="16" t="str">
        <f>IF(COUNT(I75:M75)&lt;5,"",ROUND((I75*Matriz!$C$5+J75*Matriz!$C$6+K75*Matriz!$C$7+L75*Matriz!$C$8+M75*Matriz!$C$9)/SUM(Matriz!$C$5:$C$9),2))</f>
        <v/>
      </c>
      <c r="P75" s="17">
        <f>IFERROR(INDEX(Processos!$F$8:$F$17,MATCH(C75,Processos!$A$8:$A$17,0)),1)</f>
        <v>1.034</v>
      </c>
      <c r="Q75" s="24">
        <f>IFERROR(INDEX(Matriz!$C$28:$C$33,MATCH(G75,Matriz!$A$28:$A$33,0)),0)</f>
        <v>0</v>
      </c>
      <c r="R75" s="25" t="str">
        <f t="shared" si="4"/>
        <v/>
      </c>
      <c r="S75" s="10" t="str">
        <f>IF(R75="","",IF(R75&gt;=Matriz!$C$19,4,IF(R75&gt;=Matriz!$C$18,3,IF(R75&gt;=Matriz!$C$17,2,1))))</f>
        <v/>
      </c>
      <c r="T75" s="9" t="str">
        <f>IF(S75="","",MAX(S75,IF(I75=5,Matriz!$C$23,0),IF(N75="Sim",Matriz!$C$24,0)))</f>
        <v/>
      </c>
      <c r="U75" s="9" t="str">
        <f t="shared" si="5"/>
        <v/>
      </c>
      <c r="V75" s="26" t="str">
        <f t="shared" si="6"/>
        <v/>
      </c>
      <c r="W75" s="10" t="str">
        <f t="shared" si="7"/>
        <v/>
      </c>
      <c r="X75" s="4"/>
      <c r="Y75" s="4"/>
    </row>
    <row r="76" spans="1:25" ht="28.05" hidden="1" customHeight="1" x14ac:dyDescent="0.3">
      <c r="A76" s="20" t="s">
        <v>343</v>
      </c>
      <c r="B76" s="21" t="s">
        <v>228</v>
      </c>
      <c r="C76" s="4" t="s">
        <v>136</v>
      </c>
      <c r="D76" s="4" t="s">
        <v>229</v>
      </c>
      <c r="E76" s="4" t="s">
        <v>226</v>
      </c>
      <c r="F76" s="22"/>
      <c r="G76" s="23" t="s">
        <v>102</v>
      </c>
      <c r="H76" s="6"/>
      <c r="I76" s="6"/>
      <c r="J76" s="6"/>
      <c r="K76" s="6"/>
      <c r="L76" s="6"/>
      <c r="M76" s="6"/>
      <c r="N76" s="6"/>
      <c r="O76" s="16" t="str">
        <f>IF(COUNT(I76:M76)&lt;5,"",ROUND((I76*Matriz!$C$5+J76*Matriz!$C$6+K76*Matriz!$C$7+L76*Matriz!$C$8+M76*Matriz!$C$9)/SUM(Matriz!$C$5:$C$9),2))</f>
        <v/>
      </c>
      <c r="P76" s="17">
        <f>IFERROR(INDEX(Processos!$F$8:$F$17,MATCH(C76,Processos!$A$8:$A$17,0)),1)</f>
        <v>1.034</v>
      </c>
      <c r="Q76" s="24">
        <f>IFERROR(INDEX(Matriz!$C$28:$C$33,MATCH(G76,Matriz!$A$28:$A$33,0)),0)</f>
        <v>0</v>
      </c>
      <c r="R76" s="25" t="str">
        <f t="shared" si="4"/>
        <v/>
      </c>
      <c r="S76" s="10" t="str">
        <f>IF(R76="","",IF(R76&gt;=Matriz!$C$19,4,IF(R76&gt;=Matriz!$C$18,3,IF(R76&gt;=Matriz!$C$17,2,1))))</f>
        <v/>
      </c>
      <c r="T76" s="9" t="str">
        <f>IF(S76="","",MAX(S76,IF(I76=5,Matriz!$C$23,0),IF(N76="Sim",Matriz!$C$24,0)))</f>
        <v/>
      </c>
      <c r="U76" s="9" t="str">
        <f t="shared" si="5"/>
        <v/>
      </c>
      <c r="V76" s="26" t="str">
        <f t="shared" si="6"/>
        <v/>
      </c>
      <c r="W76" s="10" t="str">
        <f t="shared" si="7"/>
        <v/>
      </c>
      <c r="X76" s="4"/>
      <c r="Y76" s="4"/>
    </row>
    <row r="77" spans="1:25" ht="28.05" hidden="1" customHeight="1" x14ac:dyDescent="0.3">
      <c r="A77" s="20" t="s">
        <v>344</v>
      </c>
      <c r="B77" s="21" t="s">
        <v>231</v>
      </c>
      <c r="C77" s="4" t="s">
        <v>136</v>
      </c>
      <c r="D77" s="4" t="s">
        <v>229</v>
      </c>
      <c r="E77" s="4" t="s">
        <v>226</v>
      </c>
      <c r="F77" s="22"/>
      <c r="G77" s="23" t="s">
        <v>102</v>
      </c>
      <c r="H77" s="6"/>
      <c r="I77" s="6"/>
      <c r="J77" s="6"/>
      <c r="K77" s="6"/>
      <c r="L77" s="6"/>
      <c r="M77" s="6"/>
      <c r="N77" s="6"/>
      <c r="O77" s="16" t="str">
        <f>IF(COUNT(I77:M77)&lt;5,"",ROUND((I77*Matriz!$C$5+J77*Matriz!$C$6+K77*Matriz!$C$7+L77*Matriz!$C$8+M77*Matriz!$C$9)/SUM(Matriz!$C$5:$C$9),2))</f>
        <v/>
      </c>
      <c r="P77" s="17">
        <f>IFERROR(INDEX(Processos!$F$8:$F$17,MATCH(C77,Processos!$A$8:$A$17,0)),1)</f>
        <v>1.034</v>
      </c>
      <c r="Q77" s="24">
        <f>IFERROR(INDEX(Matriz!$C$28:$C$33,MATCH(G77,Matriz!$A$28:$A$33,0)),0)</f>
        <v>0</v>
      </c>
      <c r="R77" s="25" t="str">
        <f t="shared" si="4"/>
        <v/>
      </c>
      <c r="S77" s="10" t="str">
        <f>IF(R77="","",IF(R77&gt;=Matriz!$C$19,4,IF(R77&gt;=Matriz!$C$18,3,IF(R77&gt;=Matriz!$C$17,2,1))))</f>
        <v/>
      </c>
      <c r="T77" s="9" t="str">
        <f>IF(S77="","",MAX(S77,IF(I77=5,Matriz!$C$23,0),IF(N77="Sim",Matriz!$C$24,0)))</f>
        <v/>
      </c>
      <c r="U77" s="9" t="str">
        <f t="shared" si="5"/>
        <v/>
      </c>
      <c r="V77" s="26" t="str">
        <f t="shared" si="6"/>
        <v/>
      </c>
      <c r="W77" s="10" t="str">
        <f t="shared" si="7"/>
        <v/>
      </c>
      <c r="X77" s="4"/>
      <c r="Y77" s="4"/>
    </row>
    <row r="78" spans="1:25" ht="28.05" hidden="1" customHeight="1" x14ac:dyDescent="0.3">
      <c r="A78" s="20" t="s">
        <v>345</v>
      </c>
      <c r="B78" s="21" t="s">
        <v>233</v>
      </c>
      <c r="C78" s="4" t="s">
        <v>136</v>
      </c>
      <c r="D78" s="4" t="s">
        <v>229</v>
      </c>
      <c r="E78" s="4" t="s">
        <v>226</v>
      </c>
      <c r="F78" s="22"/>
      <c r="G78" s="23" t="s">
        <v>102</v>
      </c>
      <c r="H78" s="6"/>
      <c r="I78" s="6"/>
      <c r="J78" s="6"/>
      <c r="K78" s="6"/>
      <c r="L78" s="6"/>
      <c r="M78" s="6"/>
      <c r="N78" s="6"/>
      <c r="O78" s="16" t="str">
        <f>IF(COUNT(I78:M78)&lt;5,"",ROUND((I78*Matriz!$C$5+J78*Matriz!$C$6+K78*Matriz!$C$7+L78*Matriz!$C$8+M78*Matriz!$C$9)/SUM(Matriz!$C$5:$C$9),2))</f>
        <v/>
      </c>
      <c r="P78" s="17">
        <f>IFERROR(INDEX(Processos!$F$8:$F$17,MATCH(C78,Processos!$A$8:$A$17,0)),1)</f>
        <v>1.034</v>
      </c>
      <c r="Q78" s="24">
        <f>IFERROR(INDEX(Matriz!$C$28:$C$33,MATCH(G78,Matriz!$A$28:$A$33,0)),0)</f>
        <v>0</v>
      </c>
      <c r="R78" s="25" t="str">
        <f t="shared" si="4"/>
        <v/>
      </c>
      <c r="S78" s="10" t="str">
        <f>IF(R78="","",IF(R78&gt;=Matriz!$C$19,4,IF(R78&gt;=Matriz!$C$18,3,IF(R78&gt;=Matriz!$C$17,2,1))))</f>
        <v/>
      </c>
      <c r="T78" s="9" t="str">
        <f>IF(S78="","",MAX(S78,IF(I78=5,Matriz!$C$23,0),IF(N78="Sim",Matriz!$C$24,0)))</f>
        <v/>
      </c>
      <c r="U78" s="9" t="str">
        <f t="shared" si="5"/>
        <v/>
      </c>
      <c r="V78" s="26" t="str">
        <f t="shared" si="6"/>
        <v/>
      </c>
      <c r="W78" s="10" t="str">
        <f t="shared" si="7"/>
        <v/>
      </c>
      <c r="X78" s="4"/>
      <c r="Y78" s="4"/>
    </row>
    <row r="79" spans="1:25" ht="28.05" hidden="1" customHeight="1" x14ac:dyDescent="0.3">
      <c r="A79" s="20" t="s">
        <v>346</v>
      </c>
      <c r="B79" s="21" t="s">
        <v>235</v>
      </c>
      <c r="C79" s="4" t="s">
        <v>136</v>
      </c>
      <c r="D79" s="4" t="s">
        <v>229</v>
      </c>
      <c r="E79" s="4" t="s">
        <v>226</v>
      </c>
      <c r="F79" s="22"/>
      <c r="G79" s="23" t="s">
        <v>102</v>
      </c>
      <c r="H79" s="6"/>
      <c r="I79" s="6"/>
      <c r="J79" s="6"/>
      <c r="K79" s="6"/>
      <c r="L79" s="6"/>
      <c r="M79" s="6"/>
      <c r="N79" s="6"/>
      <c r="O79" s="16" t="str">
        <f>IF(COUNT(I79:M79)&lt;5,"",ROUND((I79*Matriz!$C$5+J79*Matriz!$C$6+K79*Matriz!$C$7+L79*Matriz!$C$8+M79*Matriz!$C$9)/SUM(Matriz!$C$5:$C$9),2))</f>
        <v/>
      </c>
      <c r="P79" s="17">
        <f>IFERROR(INDEX(Processos!$F$8:$F$17,MATCH(C79,Processos!$A$8:$A$17,0)),1)</f>
        <v>1.034</v>
      </c>
      <c r="Q79" s="24">
        <f>IFERROR(INDEX(Matriz!$C$28:$C$33,MATCH(G79,Matriz!$A$28:$A$33,0)),0)</f>
        <v>0</v>
      </c>
      <c r="R79" s="25" t="str">
        <f t="shared" si="4"/>
        <v/>
      </c>
      <c r="S79" s="10" t="str">
        <f>IF(R79="","",IF(R79&gt;=Matriz!$C$19,4,IF(R79&gt;=Matriz!$C$18,3,IF(R79&gt;=Matriz!$C$17,2,1))))</f>
        <v/>
      </c>
      <c r="T79" s="9" t="str">
        <f>IF(S79="","",MAX(S79,IF(I79=5,Matriz!$C$23,0),IF(N79="Sim",Matriz!$C$24,0)))</f>
        <v/>
      </c>
      <c r="U79" s="9" t="str">
        <f t="shared" si="5"/>
        <v/>
      </c>
      <c r="V79" s="26" t="str">
        <f t="shared" si="6"/>
        <v/>
      </c>
      <c r="W79" s="10" t="str">
        <f t="shared" si="7"/>
        <v/>
      </c>
      <c r="X79" s="4"/>
      <c r="Y79" s="4"/>
    </row>
    <row r="80" spans="1:25" ht="28.05" hidden="1" customHeight="1" x14ac:dyDescent="0.3">
      <c r="A80" s="20" t="s">
        <v>347</v>
      </c>
      <c r="B80" s="21" t="s">
        <v>348</v>
      </c>
      <c r="C80" s="4" t="s">
        <v>136</v>
      </c>
      <c r="D80" s="4" t="s">
        <v>229</v>
      </c>
      <c r="E80" s="4" t="s">
        <v>226</v>
      </c>
      <c r="F80" s="22"/>
      <c r="G80" s="23" t="s">
        <v>102</v>
      </c>
      <c r="H80" s="6"/>
      <c r="I80" s="6"/>
      <c r="J80" s="6"/>
      <c r="K80" s="6"/>
      <c r="L80" s="6"/>
      <c r="M80" s="6"/>
      <c r="N80" s="6"/>
      <c r="O80" s="16" t="str">
        <f>IF(COUNT(I80:M80)&lt;5,"",ROUND((I80*Matriz!$C$5+J80*Matriz!$C$6+K80*Matriz!$C$7+L80*Matriz!$C$8+M80*Matriz!$C$9)/SUM(Matriz!$C$5:$C$9),2))</f>
        <v/>
      </c>
      <c r="P80" s="17">
        <f>IFERROR(INDEX(Processos!$F$8:$F$17,MATCH(C80,Processos!$A$8:$A$17,0)),1)</f>
        <v>1.034</v>
      </c>
      <c r="Q80" s="24">
        <f>IFERROR(INDEX(Matriz!$C$28:$C$33,MATCH(G80,Matriz!$A$28:$A$33,0)),0)</f>
        <v>0</v>
      </c>
      <c r="R80" s="25" t="str">
        <f t="shared" si="4"/>
        <v/>
      </c>
      <c r="S80" s="10" t="str">
        <f>IF(R80="","",IF(R80&gt;=Matriz!$C$19,4,IF(R80&gt;=Matriz!$C$18,3,IF(R80&gt;=Matriz!$C$17,2,1))))</f>
        <v/>
      </c>
      <c r="T80" s="9" t="str">
        <f>IF(S80="","",MAX(S80,IF(I80=5,Matriz!$C$23,0),IF(N80="Sim",Matriz!$C$24,0)))</f>
        <v/>
      </c>
      <c r="U80" s="9" t="str">
        <f t="shared" si="5"/>
        <v/>
      </c>
      <c r="V80" s="26" t="str">
        <f t="shared" si="6"/>
        <v/>
      </c>
      <c r="W80" s="10" t="str">
        <f t="shared" si="7"/>
        <v/>
      </c>
      <c r="X80" s="4"/>
      <c r="Y80" s="4"/>
    </row>
    <row r="81" spans="1:25" ht="28.05" hidden="1" customHeight="1" x14ac:dyDescent="0.3">
      <c r="A81" s="20" t="s">
        <v>349</v>
      </c>
      <c r="B81" s="21" t="s">
        <v>239</v>
      </c>
      <c r="C81" s="4" t="s">
        <v>136</v>
      </c>
      <c r="D81" s="4" t="s">
        <v>229</v>
      </c>
      <c r="E81" s="4" t="s">
        <v>226</v>
      </c>
      <c r="F81" s="22"/>
      <c r="G81" s="23" t="s">
        <v>98</v>
      </c>
      <c r="H81" s="6"/>
      <c r="I81" s="6"/>
      <c r="J81" s="6"/>
      <c r="K81" s="6"/>
      <c r="L81" s="6"/>
      <c r="M81" s="6"/>
      <c r="N81" s="6"/>
      <c r="O81" s="16" t="str">
        <f>IF(COUNT(I81:M81)&lt;5,"",ROUND((I81*Matriz!$C$5+J81*Matriz!$C$6+K81*Matriz!$C$7+L81*Matriz!$C$8+M81*Matriz!$C$9)/SUM(Matriz!$C$5:$C$9),2))</f>
        <v/>
      </c>
      <c r="P81" s="17">
        <f>IFERROR(INDEX(Processos!$F$8:$F$17,MATCH(C81,Processos!$A$8:$A$17,0)),1)</f>
        <v>1.034</v>
      </c>
      <c r="Q81" s="24">
        <f>IFERROR(INDEX(Matriz!$C$28:$C$33,MATCH(G81,Matriz!$A$28:$A$33,0)),0)</f>
        <v>0.3</v>
      </c>
      <c r="R81" s="25" t="str">
        <f t="shared" si="4"/>
        <v/>
      </c>
      <c r="S81" s="10" t="str">
        <f>IF(R81="","",IF(R81&gt;=Matriz!$C$19,4,IF(R81&gt;=Matriz!$C$18,3,IF(R81&gt;=Matriz!$C$17,2,1))))</f>
        <v/>
      </c>
      <c r="T81" s="9" t="str">
        <f>IF(S81="","",MAX(S81,IF(I81=5,Matriz!$C$23,0),IF(N81="Sim",Matriz!$C$24,0)))</f>
        <v/>
      </c>
      <c r="U81" s="9" t="str">
        <f t="shared" si="5"/>
        <v/>
      </c>
      <c r="V81" s="26" t="str">
        <f t="shared" si="6"/>
        <v/>
      </c>
      <c r="W81" s="10" t="str">
        <f t="shared" si="7"/>
        <v/>
      </c>
      <c r="X81" s="4"/>
      <c r="Y81" s="4"/>
    </row>
    <row r="82" spans="1:25" ht="28.05" hidden="1" customHeight="1" x14ac:dyDescent="0.3">
      <c r="A82" s="20" t="s">
        <v>350</v>
      </c>
      <c r="B82" s="21" t="s">
        <v>241</v>
      </c>
      <c r="C82" s="4" t="s">
        <v>136</v>
      </c>
      <c r="D82" s="4" t="s">
        <v>242</v>
      </c>
      <c r="E82" s="4" t="s">
        <v>226</v>
      </c>
      <c r="F82" s="22"/>
      <c r="G82" s="23" t="s">
        <v>104</v>
      </c>
      <c r="H82" s="6"/>
      <c r="I82" s="6"/>
      <c r="J82" s="6"/>
      <c r="K82" s="6"/>
      <c r="L82" s="6"/>
      <c r="M82" s="6"/>
      <c r="N82" s="6"/>
      <c r="O82" s="16" t="str">
        <f>IF(COUNT(I82:M82)&lt;5,"",ROUND((I82*Matriz!$C$5+J82*Matriz!$C$6+K82*Matriz!$C$7+L82*Matriz!$C$8+M82*Matriz!$C$9)/SUM(Matriz!$C$5:$C$9),2))</f>
        <v/>
      </c>
      <c r="P82" s="17">
        <f>IFERROR(INDEX(Processos!$F$8:$F$17,MATCH(C82,Processos!$A$8:$A$17,0)),1)</f>
        <v>1.034</v>
      </c>
      <c r="Q82" s="24">
        <f>IFERROR(INDEX(Matriz!$C$28:$C$33,MATCH(G82,Matriz!$A$28:$A$33,0)),0)</f>
        <v>0</v>
      </c>
      <c r="R82" s="25" t="str">
        <f t="shared" si="4"/>
        <v/>
      </c>
      <c r="S82" s="10" t="str">
        <f>IF(R82="","",IF(R82&gt;=Matriz!$C$19,4,IF(R82&gt;=Matriz!$C$18,3,IF(R82&gt;=Matriz!$C$17,2,1))))</f>
        <v/>
      </c>
      <c r="T82" s="9" t="str">
        <f>IF(S82="","",MAX(S82,IF(I82=5,Matriz!$C$23,0),IF(N82="Sim",Matriz!$C$24,0)))</f>
        <v/>
      </c>
      <c r="U82" s="9" t="str">
        <f t="shared" si="5"/>
        <v/>
      </c>
      <c r="V82" s="26" t="str">
        <f t="shared" si="6"/>
        <v/>
      </c>
      <c r="W82" s="10" t="str">
        <f t="shared" si="7"/>
        <v/>
      </c>
      <c r="X82" s="4"/>
      <c r="Y82" s="4"/>
    </row>
    <row r="83" spans="1:25" ht="28.05" hidden="1" customHeight="1" x14ac:dyDescent="0.3">
      <c r="A83" s="20" t="s">
        <v>351</v>
      </c>
      <c r="B83" s="21" t="s">
        <v>244</v>
      </c>
      <c r="C83" s="4" t="s">
        <v>136</v>
      </c>
      <c r="D83" s="4" t="s">
        <v>276</v>
      </c>
      <c r="E83" s="4" t="s">
        <v>226</v>
      </c>
      <c r="F83" s="22"/>
      <c r="G83" s="23" t="s">
        <v>104</v>
      </c>
      <c r="H83" s="6"/>
      <c r="I83" s="6"/>
      <c r="J83" s="6"/>
      <c r="K83" s="6"/>
      <c r="L83" s="6"/>
      <c r="M83" s="6"/>
      <c r="N83" s="6"/>
      <c r="O83" s="16" t="str">
        <f>IF(COUNT(I83:M83)&lt;5,"",ROUND((I83*Matriz!$C$5+J83*Matriz!$C$6+K83*Matriz!$C$7+L83*Matriz!$C$8+M83*Matriz!$C$9)/SUM(Matriz!$C$5:$C$9),2))</f>
        <v/>
      </c>
      <c r="P83" s="17">
        <f>IFERROR(INDEX(Processos!$F$8:$F$17,MATCH(C83,Processos!$A$8:$A$17,0)),1)</f>
        <v>1.034</v>
      </c>
      <c r="Q83" s="24">
        <f>IFERROR(INDEX(Matriz!$C$28:$C$33,MATCH(G83,Matriz!$A$28:$A$33,0)),0)</f>
        <v>0</v>
      </c>
      <c r="R83" s="25" t="str">
        <f t="shared" si="4"/>
        <v/>
      </c>
      <c r="S83" s="10" t="str">
        <f>IF(R83="","",IF(R83&gt;=Matriz!$C$19,4,IF(R83&gt;=Matriz!$C$18,3,IF(R83&gt;=Matriz!$C$17,2,1))))</f>
        <v/>
      </c>
      <c r="T83" s="9" t="str">
        <f>IF(S83="","",MAX(S83,IF(I83=5,Matriz!$C$23,0),IF(N83="Sim",Matriz!$C$24,0)))</f>
        <v/>
      </c>
      <c r="U83" s="9" t="str">
        <f t="shared" si="5"/>
        <v/>
      </c>
      <c r="V83" s="26" t="str">
        <f t="shared" si="6"/>
        <v/>
      </c>
      <c r="W83" s="10" t="str">
        <f t="shared" si="7"/>
        <v/>
      </c>
      <c r="X83" s="4"/>
      <c r="Y83" s="4"/>
    </row>
    <row r="84" spans="1:25" ht="28.05" hidden="1" customHeight="1" x14ac:dyDescent="0.3">
      <c r="A84" s="20" t="s">
        <v>352</v>
      </c>
      <c r="B84" s="21" t="s">
        <v>247</v>
      </c>
      <c r="C84" s="4" t="s">
        <v>136</v>
      </c>
      <c r="D84" s="4" t="s">
        <v>229</v>
      </c>
      <c r="E84" s="4" t="s">
        <v>226</v>
      </c>
      <c r="F84" s="22"/>
      <c r="G84" s="23" t="s">
        <v>102</v>
      </c>
      <c r="H84" s="6"/>
      <c r="I84" s="6"/>
      <c r="J84" s="6"/>
      <c r="K84" s="6"/>
      <c r="L84" s="6"/>
      <c r="M84" s="6"/>
      <c r="N84" s="6"/>
      <c r="O84" s="16" t="str">
        <f>IF(COUNT(I84:M84)&lt;5,"",ROUND((I84*Matriz!$C$5+J84*Matriz!$C$6+K84*Matriz!$C$7+L84*Matriz!$C$8+M84*Matriz!$C$9)/SUM(Matriz!$C$5:$C$9),2))</f>
        <v/>
      </c>
      <c r="P84" s="17">
        <f>IFERROR(INDEX(Processos!$F$8:$F$17,MATCH(C84,Processos!$A$8:$A$17,0)),1)</f>
        <v>1.034</v>
      </c>
      <c r="Q84" s="24">
        <f>IFERROR(INDEX(Matriz!$C$28:$C$33,MATCH(G84,Matriz!$A$28:$A$33,0)),0)</f>
        <v>0</v>
      </c>
      <c r="R84" s="25" t="str">
        <f t="shared" si="4"/>
        <v/>
      </c>
      <c r="S84" s="10" t="str">
        <f>IF(R84="","",IF(R84&gt;=Matriz!$C$19,4,IF(R84&gt;=Matriz!$C$18,3,IF(R84&gt;=Matriz!$C$17,2,1))))</f>
        <v/>
      </c>
      <c r="T84" s="9" t="str">
        <f>IF(S84="","",MAX(S84,IF(I84=5,Matriz!$C$23,0),IF(N84="Sim",Matriz!$C$24,0)))</f>
        <v/>
      </c>
      <c r="U84" s="9" t="str">
        <f t="shared" si="5"/>
        <v/>
      </c>
      <c r="V84" s="26" t="str">
        <f t="shared" si="6"/>
        <v/>
      </c>
      <c r="W84" s="10" t="str">
        <f t="shared" si="7"/>
        <v/>
      </c>
      <c r="X84" s="4"/>
      <c r="Y84" s="4"/>
    </row>
    <row r="85" spans="1:25" ht="28.05" hidden="1" customHeight="1" x14ac:dyDescent="0.3">
      <c r="A85" s="20" t="s">
        <v>353</v>
      </c>
      <c r="B85" s="21" t="s">
        <v>249</v>
      </c>
      <c r="C85" s="4" t="s">
        <v>136</v>
      </c>
      <c r="D85" s="4" t="s">
        <v>250</v>
      </c>
      <c r="E85" s="4" t="s">
        <v>226</v>
      </c>
      <c r="F85" s="22"/>
      <c r="G85" s="23" t="s">
        <v>98</v>
      </c>
      <c r="H85" s="6"/>
      <c r="I85" s="6"/>
      <c r="J85" s="6"/>
      <c r="K85" s="6"/>
      <c r="L85" s="6"/>
      <c r="M85" s="6"/>
      <c r="N85" s="6"/>
      <c r="O85" s="16" t="str">
        <f>IF(COUNT(I85:M85)&lt;5,"",ROUND((I85*Matriz!$C$5+J85*Matriz!$C$6+K85*Matriz!$C$7+L85*Matriz!$C$8+M85*Matriz!$C$9)/SUM(Matriz!$C$5:$C$9),2))</f>
        <v/>
      </c>
      <c r="P85" s="17">
        <f>IFERROR(INDEX(Processos!$F$8:$F$17,MATCH(C85,Processos!$A$8:$A$17,0)),1)</f>
        <v>1.034</v>
      </c>
      <c r="Q85" s="24">
        <f>IFERROR(INDEX(Matriz!$C$28:$C$33,MATCH(G85,Matriz!$A$28:$A$33,0)),0)</f>
        <v>0.3</v>
      </c>
      <c r="R85" s="25" t="str">
        <f t="shared" si="4"/>
        <v/>
      </c>
      <c r="S85" s="10" t="str">
        <f>IF(R85="","",IF(R85&gt;=Matriz!$C$19,4,IF(R85&gt;=Matriz!$C$18,3,IF(R85&gt;=Matriz!$C$17,2,1))))</f>
        <v/>
      </c>
      <c r="T85" s="9" t="str">
        <f>IF(S85="","",MAX(S85,IF(I85=5,Matriz!$C$23,0),IF(N85="Sim",Matriz!$C$24,0)))</f>
        <v/>
      </c>
      <c r="U85" s="9" t="str">
        <f t="shared" si="5"/>
        <v/>
      </c>
      <c r="V85" s="26" t="str">
        <f t="shared" si="6"/>
        <v/>
      </c>
      <c r="W85" s="10" t="str">
        <f t="shared" si="7"/>
        <v/>
      </c>
      <c r="X85" s="4"/>
      <c r="Y85" s="4"/>
    </row>
    <row r="86" spans="1:25" ht="28.05" hidden="1" customHeight="1" x14ac:dyDescent="0.3">
      <c r="A86" s="20" t="s">
        <v>354</v>
      </c>
      <c r="B86" s="21" t="s">
        <v>254</v>
      </c>
      <c r="C86" s="4" t="s">
        <v>136</v>
      </c>
      <c r="D86" s="4" t="s">
        <v>255</v>
      </c>
      <c r="E86" s="4" t="s">
        <v>226</v>
      </c>
      <c r="F86" s="22"/>
      <c r="G86" s="23" t="s">
        <v>102</v>
      </c>
      <c r="H86" s="6"/>
      <c r="I86" s="6"/>
      <c r="J86" s="6"/>
      <c r="K86" s="6"/>
      <c r="L86" s="6"/>
      <c r="M86" s="6"/>
      <c r="N86" s="6"/>
      <c r="O86" s="16" t="str">
        <f>IF(COUNT(I86:M86)&lt;5,"",ROUND((I86*Matriz!$C$5+J86*Matriz!$C$6+K86*Matriz!$C$7+L86*Matriz!$C$8+M86*Matriz!$C$9)/SUM(Matriz!$C$5:$C$9),2))</f>
        <v/>
      </c>
      <c r="P86" s="17">
        <f>IFERROR(INDEX(Processos!$F$8:$F$17,MATCH(C86,Processos!$A$8:$A$17,0)),1)</f>
        <v>1.034</v>
      </c>
      <c r="Q86" s="24">
        <f>IFERROR(INDEX(Matriz!$C$28:$C$33,MATCH(G86,Matriz!$A$28:$A$33,0)),0)</f>
        <v>0</v>
      </c>
      <c r="R86" s="25" t="str">
        <f t="shared" si="4"/>
        <v/>
      </c>
      <c r="S86" s="10" t="str">
        <f>IF(R86="","",IF(R86&gt;=Matriz!$C$19,4,IF(R86&gt;=Matriz!$C$18,3,IF(R86&gt;=Matriz!$C$17,2,1))))</f>
        <v/>
      </c>
      <c r="T86" s="9" t="str">
        <f>IF(S86="","",MAX(S86,IF(I86=5,Matriz!$C$23,0),IF(N86="Sim",Matriz!$C$24,0)))</f>
        <v/>
      </c>
      <c r="U86" s="9" t="str">
        <f t="shared" si="5"/>
        <v/>
      </c>
      <c r="V86" s="26" t="str">
        <f t="shared" si="6"/>
        <v/>
      </c>
      <c r="W86" s="10" t="str">
        <f t="shared" si="7"/>
        <v/>
      </c>
      <c r="X86" s="4"/>
      <c r="Y86" s="4"/>
    </row>
    <row r="87" spans="1:25" ht="28.05" hidden="1" customHeight="1" x14ac:dyDescent="0.3">
      <c r="A87" s="20" t="s">
        <v>355</v>
      </c>
      <c r="B87" s="21" t="s">
        <v>356</v>
      </c>
      <c r="C87" s="4" t="s">
        <v>136</v>
      </c>
      <c r="D87" s="4" t="s">
        <v>229</v>
      </c>
      <c r="E87" s="4" t="s">
        <v>226</v>
      </c>
      <c r="F87" s="22"/>
      <c r="G87" s="23" t="s">
        <v>98</v>
      </c>
      <c r="H87" s="6"/>
      <c r="I87" s="6"/>
      <c r="J87" s="6"/>
      <c r="K87" s="6"/>
      <c r="L87" s="6"/>
      <c r="M87" s="6"/>
      <c r="N87" s="6"/>
      <c r="O87" s="16" t="str">
        <f>IF(COUNT(I87:M87)&lt;5,"",ROUND((I87*Matriz!$C$5+J87*Matriz!$C$6+K87*Matriz!$C$7+L87*Matriz!$C$8+M87*Matriz!$C$9)/SUM(Matriz!$C$5:$C$9),2))</f>
        <v/>
      </c>
      <c r="P87" s="17">
        <f>IFERROR(INDEX(Processos!$F$8:$F$17,MATCH(C87,Processos!$A$8:$A$17,0)),1)</f>
        <v>1.034</v>
      </c>
      <c r="Q87" s="24">
        <f>IFERROR(INDEX(Matriz!$C$28:$C$33,MATCH(G87,Matriz!$A$28:$A$33,0)),0)</f>
        <v>0.3</v>
      </c>
      <c r="R87" s="25" t="str">
        <f t="shared" si="4"/>
        <v/>
      </c>
      <c r="S87" s="10" t="str">
        <f>IF(R87="","",IF(R87&gt;=Matriz!$C$19,4,IF(R87&gt;=Matriz!$C$18,3,IF(R87&gt;=Matriz!$C$17,2,1))))</f>
        <v/>
      </c>
      <c r="T87" s="9" t="str">
        <f>IF(S87="","",MAX(S87,IF(I87=5,Matriz!$C$23,0),IF(N87="Sim",Matriz!$C$24,0)))</f>
        <v/>
      </c>
      <c r="U87" s="9" t="str">
        <f t="shared" si="5"/>
        <v/>
      </c>
      <c r="V87" s="26" t="str">
        <f t="shared" si="6"/>
        <v/>
      </c>
      <c r="W87" s="10" t="str">
        <f t="shared" si="7"/>
        <v/>
      </c>
      <c r="X87" s="4"/>
      <c r="Y87" s="4"/>
    </row>
    <row r="88" spans="1:25" ht="28.05" hidden="1" customHeight="1" x14ac:dyDescent="0.3">
      <c r="A88" s="20" t="s">
        <v>357</v>
      </c>
      <c r="B88" s="21" t="s">
        <v>259</v>
      </c>
      <c r="C88" s="4" t="s">
        <v>136</v>
      </c>
      <c r="D88" s="4" t="s">
        <v>260</v>
      </c>
      <c r="E88" s="4" t="s">
        <v>226</v>
      </c>
      <c r="F88" s="22"/>
      <c r="G88" s="23" t="s">
        <v>104</v>
      </c>
      <c r="H88" s="6"/>
      <c r="I88" s="6"/>
      <c r="J88" s="6"/>
      <c r="K88" s="6"/>
      <c r="L88" s="6"/>
      <c r="M88" s="6"/>
      <c r="N88" s="6"/>
      <c r="O88" s="16" t="str">
        <f>IF(COUNT(I88:M88)&lt;5,"",ROUND((I88*Matriz!$C$5+J88*Matriz!$C$6+K88*Matriz!$C$7+L88*Matriz!$C$8+M88*Matriz!$C$9)/SUM(Matriz!$C$5:$C$9),2))</f>
        <v/>
      </c>
      <c r="P88" s="17">
        <f>IFERROR(INDEX(Processos!$F$8:$F$17,MATCH(C88,Processos!$A$8:$A$17,0)),1)</f>
        <v>1.034</v>
      </c>
      <c r="Q88" s="24">
        <f>IFERROR(INDEX(Matriz!$C$28:$C$33,MATCH(G88,Matriz!$A$28:$A$33,0)),0)</f>
        <v>0</v>
      </c>
      <c r="R88" s="25" t="str">
        <f t="shared" si="4"/>
        <v/>
      </c>
      <c r="S88" s="10" t="str">
        <f>IF(R88="","",IF(R88&gt;=Matriz!$C$19,4,IF(R88&gt;=Matriz!$C$18,3,IF(R88&gt;=Matriz!$C$17,2,1))))</f>
        <v/>
      </c>
      <c r="T88" s="9" t="str">
        <f>IF(S88="","",MAX(S88,IF(I88=5,Matriz!$C$23,0),IF(N88="Sim",Matriz!$C$24,0)))</f>
        <v/>
      </c>
      <c r="U88" s="9" t="str">
        <f t="shared" si="5"/>
        <v/>
      </c>
      <c r="V88" s="26" t="str">
        <f t="shared" si="6"/>
        <v/>
      </c>
      <c r="W88" s="10" t="str">
        <f t="shared" si="7"/>
        <v/>
      </c>
      <c r="X88" s="4"/>
      <c r="Y88" s="4"/>
    </row>
    <row r="89" spans="1:25" ht="28.05" hidden="1" customHeight="1" x14ac:dyDescent="0.3">
      <c r="A89" s="20" t="s">
        <v>358</v>
      </c>
      <c r="B89" s="21" t="s">
        <v>265</v>
      </c>
      <c r="C89" s="4" t="s">
        <v>136</v>
      </c>
      <c r="D89" s="4" t="s">
        <v>255</v>
      </c>
      <c r="E89" s="4" t="s">
        <v>226</v>
      </c>
      <c r="F89" s="22"/>
      <c r="G89" s="23" t="s">
        <v>104</v>
      </c>
      <c r="H89" s="6"/>
      <c r="I89" s="6"/>
      <c r="J89" s="6"/>
      <c r="K89" s="6"/>
      <c r="L89" s="6"/>
      <c r="M89" s="6"/>
      <c r="N89" s="6"/>
      <c r="O89" s="16" t="str">
        <f>IF(COUNT(I89:M89)&lt;5,"",ROUND((I89*Matriz!$C$5+J89*Matriz!$C$6+K89*Matriz!$C$7+L89*Matriz!$C$8+M89*Matriz!$C$9)/SUM(Matriz!$C$5:$C$9),2))</f>
        <v/>
      </c>
      <c r="P89" s="17">
        <f>IFERROR(INDEX(Processos!$F$8:$F$17,MATCH(C89,Processos!$A$8:$A$17,0)),1)</f>
        <v>1.034</v>
      </c>
      <c r="Q89" s="24">
        <f>IFERROR(INDEX(Matriz!$C$28:$C$33,MATCH(G89,Matriz!$A$28:$A$33,0)),0)</f>
        <v>0</v>
      </c>
      <c r="R89" s="25" t="str">
        <f t="shared" si="4"/>
        <v/>
      </c>
      <c r="S89" s="10" t="str">
        <f>IF(R89="","",IF(R89&gt;=Matriz!$C$19,4,IF(R89&gt;=Matriz!$C$18,3,IF(R89&gt;=Matriz!$C$17,2,1))))</f>
        <v/>
      </c>
      <c r="T89" s="9" t="str">
        <f>IF(S89="","",MAX(S89,IF(I89=5,Matriz!$C$23,0),IF(N89="Sim",Matriz!$C$24,0)))</f>
        <v/>
      </c>
      <c r="U89" s="9" t="str">
        <f t="shared" si="5"/>
        <v/>
      </c>
      <c r="V89" s="26" t="str">
        <f t="shared" si="6"/>
        <v/>
      </c>
      <c r="W89" s="10" t="str">
        <f t="shared" si="7"/>
        <v/>
      </c>
      <c r="X89" s="4"/>
      <c r="Y89" s="4"/>
    </row>
    <row r="90" spans="1:25" ht="28.05" hidden="1" customHeight="1" x14ac:dyDescent="0.3">
      <c r="A90" s="20" t="s">
        <v>359</v>
      </c>
      <c r="B90" s="21" t="s">
        <v>267</v>
      </c>
      <c r="C90" s="4" t="s">
        <v>136</v>
      </c>
      <c r="D90" s="4" t="s">
        <v>229</v>
      </c>
      <c r="E90" s="4" t="s">
        <v>226</v>
      </c>
      <c r="F90" s="22"/>
      <c r="G90" s="23" t="s">
        <v>102</v>
      </c>
      <c r="H90" s="6"/>
      <c r="I90" s="6"/>
      <c r="J90" s="6"/>
      <c r="K90" s="6"/>
      <c r="L90" s="6"/>
      <c r="M90" s="6"/>
      <c r="N90" s="6"/>
      <c r="O90" s="16" t="str">
        <f>IF(COUNT(I90:M90)&lt;5,"",ROUND((I90*Matriz!$C$5+J90*Matriz!$C$6+K90*Matriz!$C$7+L90*Matriz!$C$8+M90*Matriz!$C$9)/SUM(Matriz!$C$5:$C$9),2))</f>
        <v/>
      </c>
      <c r="P90" s="17">
        <f>IFERROR(INDEX(Processos!$F$8:$F$17,MATCH(C90,Processos!$A$8:$A$17,0)),1)</f>
        <v>1.034</v>
      </c>
      <c r="Q90" s="24">
        <f>IFERROR(INDEX(Matriz!$C$28:$C$33,MATCH(G90,Matriz!$A$28:$A$33,0)),0)</f>
        <v>0</v>
      </c>
      <c r="R90" s="25" t="str">
        <f t="shared" si="4"/>
        <v/>
      </c>
      <c r="S90" s="10" t="str">
        <f>IF(R90="","",IF(R90&gt;=Matriz!$C$19,4,IF(R90&gt;=Matriz!$C$18,3,IF(R90&gt;=Matriz!$C$17,2,1))))</f>
        <v/>
      </c>
      <c r="T90" s="9" t="str">
        <f>IF(S90="","",MAX(S90,IF(I90=5,Matriz!$C$23,0),IF(N90="Sim",Matriz!$C$24,0)))</f>
        <v/>
      </c>
      <c r="U90" s="9" t="str">
        <f t="shared" si="5"/>
        <v/>
      </c>
      <c r="V90" s="26" t="str">
        <f t="shared" si="6"/>
        <v/>
      </c>
      <c r="W90" s="10" t="str">
        <f t="shared" si="7"/>
        <v/>
      </c>
      <c r="X90" s="4"/>
      <c r="Y90" s="4"/>
    </row>
    <row r="91" spans="1:25" ht="28.05" hidden="1" customHeight="1" x14ac:dyDescent="0.3">
      <c r="A91" s="20" t="s">
        <v>360</v>
      </c>
      <c r="B91" s="21" t="s">
        <v>267</v>
      </c>
      <c r="C91" s="4" t="s">
        <v>136</v>
      </c>
      <c r="D91" s="4" t="s">
        <v>229</v>
      </c>
      <c r="E91" s="4" t="s">
        <v>226</v>
      </c>
      <c r="F91" s="22"/>
      <c r="G91" s="23" t="s">
        <v>102</v>
      </c>
      <c r="H91" s="6"/>
      <c r="I91" s="6"/>
      <c r="J91" s="6"/>
      <c r="K91" s="6"/>
      <c r="L91" s="6"/>
      <c r="M91" s="6"/>
      <c r="N91" s="6"/>
      <c r="O91" s="16" t="str">
        <f>IF(COUNT(I91:M91)&lt;5,"",ROUND((I91*Matriz!$C$5+J91*Matriz!$C$6+K91*Matriz!$C$7+L91*Matriz!$C$8+M91*Matriz!$C$9)/SUM(Matriz!$C$5:$C$9),2))</f>
        <v/>
      </c>
      <c r="P91" s="17">
        <f>IFERROR(INDEX(Processos!$F$8:$F$17,MATCH(C91,Processos!$A$8:$A$17,0)),1)</f>
        <v>1.034</v>
      </c>
      <c r="Q91" s="24">
        <f>IFERROR(INDEX(Matriz!$C$28:$C$33,MATCH(G91,Matriz!$A$28:$A$33,0)),0)</f>
        <v>0</v>
      </c>
      <c r="R91" s="25" t="str">
        <f t="shared" si="4"/>
        <v/>
      </c>
      <c r="S91" s="10" t="str">
        <f>IF(R91="","",IF(R91&gt;=Matriz!$C$19,4,IF(R91&gt;=Matriz!$C$18,3,IF(R91&gt;=Matriz!$C$17,2,1))))</f>
        <v/>
      </c>
      <c r="T91" s="9" t="str">
        <f>IF(S91="","",MAX(S91,IF(I91=5,Matriz!$C$23,0),IF(N91="Sim",Matriz!$C$24,0)))</f>
        <v/>
      </c>
      <c r="U91" s="9" t="str">
        <f t="shared" si="5"/>
        <v/>
      </c>
      <c r="V91" s="26" t="str">
        <f t="shared" si="6"/>
        <v/>
      </c>
      <c r="W91" s="10" t="str">
        <f t="shared" si="7"/>
        <v/>
      </c>
      <c r="X91" s="4"/>
      <c r="Y91" s="4"/>
    </row>
    <row r="92" spans="1:25" ht="28.05" hidden="1" customHeight="1" x14ac:dyDescent="0.3">
      <c r="A92" s="20" t="s">
        <v>361</v>
      </c>
      <c r="B92" s="21" t="s">
        <v>275</v>
      </c>
      <c r="C92" s="4" t="s">
        <v>136</v>
      </c>
      <c r="D92" s="4" t="s">
        <v>276</v>
      </c>
      <c r="E92" s="4" t="s">
        <v>226</v>
      </c>
      <c r="F92" s="22"/>
      <c r="G92" s="23" t="s">
        <v>104</v>
      </c>
      <c r="H92" s="6"/>
      <c r="I92" s="6"/>
      <c r="J92" s="6"/>
      <c r="K92" s="6"/>
      <c r="L92" s="6"/>
      <c r="M92" s="6"/>
      <c r="N92" s="6"/>
      <c r="O92" s="16" t="str">
        <f>IF(COUNT(I92:M92)&lt;5,"",ROUND((I92*Matriz!$C$5+J92*Matriz!$C$6+K92*Matriz!$C$7+L92*Matriz!$C$8+M92*Matriz!$C$9)/SUM(Matriz!$C$5:$C$9),2))</f>
        <v/>
      </c>
      <c r="P92" s="17">
        <f>IFERROR(INDEX(Processos!$F$8:$F$17,MATCH(C92,Processos!$A$8:$A$17,0)),1)</f>
        <v>1.034</v>
      </c>
      <c r="Q92" s="24">
        <f>IFERROR(INDEX(Matriz!$C$28:$C$33,MATCH(G92,Matriz!$A$28:$A$33,0)),0)</f>
        <v>0</v>
      </c>
      <c r="R92" s="25" t="str">
        <f t="shared" si="4"/>
        <v/>
      </c>
      <c r="S92" s="10" t="str">
        <f>IF(R92="","",IF(R92&gt;=Matriz!$C$19,4,IF(R92&gt;=Matriz!$C$18,3,IF(R92&gt;=Matriz!$C$17,2,1))))</f>
        <v/>
      </c>
      <c r="T92" s="9" t="str">
        <f>IF(S92="","",MAX(S92,IF(I92=5,Matriz!$C$23,0),IF(N92="Sim",Matriz!$C$24,0)))</f>
        <v/>
      </c>
      <c r="U92" s="9" t="str">
        <f t="shared" si="5"/>
        <v/>
      </c>
      <c r="V92" s="26" t="str">
        <f t="shared" si="6"/>
        <v/>
      </c>
      <c r="W92" s="10" t="str">
        <f t="shared" si="7"/>
        <v/>
      </c>
      <c r="X92" s="4"/>
      <c r="Y92" s="4"/>
    </row>
    <row r="93" spans="1:25" ht="28.05" hidden="1" customHeight="1" x14ac:dyDescent="0.3">
      <c r="A93" s="20" t="s">
        <v>362</v>
      </c>
      <c r="B93" s="21" t="s">
        <v>280</v>
      </c>
      <c r="C93" s="4" t="s">
        <v>136</v>
      </c>
      <c r="D93" s="4" t="s">
        <v>250</v>
      </c>
      <c r="E93" s="4" t="s">
        <v>226</v>
      </c>
      <c r="F93" s="22"/>
      <c r="G93" s="23" t="s">
        <v>104</v>
      </c>
      <c r="H93" s="6"/>
      <c r="I93" s="6"/>
      <c r="J93" s="6"/>
      <c r="K93" s="6"/>
      <c r="L93" s="6"/>
      <c r="M93" s="6"/>
      <c r="N93" s="6"/>
      <c r="O93" s="16" t="str">
        <f>IF(COUNT(I93:M93)&lt;5,"",ROUND((I93*Matriz!$C$5+J93*Matriz!$C$6+K93*Matriz!$C$7+L93*Matriz!$C$8+M93*Matriz!$C$9)/SUM(Matriz!$C$5:$C$9),2))</f>
        <v/>
      </c>
      <c r="P93" s="17">
        <f>IFERROR(INDEX(Processos!$F$8:$F$17,MATCH(C93,Processos!$A$8:$A$17,0)),1)</f>
        <v>1.034</v>
      </c>
      <c r="Q93" s="24">
        <f>IFERROR(INDEX(Matriz!$C$28:$C$33,MATCH(G93,Matriz!$A$28:$A$33,0)),0)</f>
        <v>0</v>
      </c>
      <c r="R93" s="25" t="str">
        <f t="shared" si="4"/>
        <v/>
      </c>
      <c r="S93" s="10" t="str">
        <f>IF(R93="","",IF(R93&gt;=Matriz!$C$19,4,IF(R93&gt;=Matriz!$C$18,3,IF(R93&gt;=Matriz!$C$17,2,1))))</f>
        <v/>
      </c>
      <c r="T93" s="9" t="str">
        <f>IF(S93="","",MAX(S93,IF(I93=5,Matriz!$C$23,0),IF(N93="Sim",Matriz!$C$24,0)))</f>
        <v/>
      </c>
      <c r="U93" s="9" t="str">
        <f t="shared" si="5"/>
        <v/>
      </c>
      <c r="V93" s="26" t="str">
        <f t="shared" si="6"/>
        <v/>
      </c>
      <c r="W93" s="10" t="str">
        <f t="shared" si="7"/>
        <v/>
      </c>
      <c r="X93" s="4"/>
      <c r="Y93" s="4"/>
    </row>
    <row r="94" spans="1:25" ht="28.05" hidden="1" customHeight="1" x14ac:dyDescent="0.3">
      <c r="A94" s="20" t="s">
        <v>363</v>
      </c>
      <c r="B94" s="21" t="s">
        <v>284</v>
      </c>
      <c r="C94" s="4" t="s">
        <v>136</v>
      </c>
      <c r="D94" s="4" t="s">
        <v>229</v>
      </c>
      <c r="E94" s="4" t="s">
        <v>226</v>
      </c>
      <c r="F94" s="22"/>
      <c r="G94" s="23" t="s">
        <v>104</v>
      </c>
      <c r="H94" s="6"/>
      <c r="I94" s="6"/>
      <c r="J94" s="6"/>
      <c r="K94" s="6"/>
      <c r="L94" s="6"/>
      <c r="M94" s="6"/>
      <c r="N94" s="6"/>
      <c r="O94" s="16" t="str">
        <f>IF(COUNT(I94:M94)&lt;5,"",ROUND((I94*Matriz!$C$5+J94*Matriz!$C$6+K94*Matriz!$C$7+L94*Matriz!$C$8+M94*Matriz!$C$9)/SUM(Matriz!$C$5:$C$9),2))</f>
        <v/>
      </c>
      <c r="P94" s="17">
        <f>IFERROR(INDEX(Processos!$F$8:$F$17,MATCH(C94,Processos!$A$8:$A$17,0)),1)</f>
        <v>1.034</v>
      </c>
      <c r="Q94" s="24">
        <f>IFERROR(INDEX(Matriz!$C$28:$C$33,MATCH(G94,Matriz!$A$28:$A$33,0)),0)</f>
        <v>0</v>
      </c>
      <c r="R94" s="25" t="str">
        <f t="shared" si="4"/>
        <v/>
      </c>
      <c r="S94" s="10" t="str">
        <f>IF(R94="","",IF(R94&gt;=Matriz!$C$19,4,IF(R94&gt;=Matriz!$C$18,3,IF(R94&gt;=Matriz!$C$17,2,1))))</f>
        <v/>
      </c>
      <c r="T94" s="9" t="str">
        <f>IF(S94="","",MAX(S94,IF(I94=5,Matriz!$C$23,0),IF(N94="Sim",Matriz!$C$24,0)))</f>
        <v/>
      </c>
      <c r="U94" s="9" t="str">
        <f t="shared" si="5"/>
        <v/>
      </c>
      <c r="V94" s="26" t="str">
        <f t="shared" si="6"/>
        <v/>
      </c>
      <c r="W94" s="10" t="str">
        <f t="shared" si="7"/>
        <v/>
      </c>
      <c r="X94" s="4"/>
      <c r="Y94" s="4"/>
    </row>
    <row r="95" spans="1:25" ht="28.05" hidden="1" customHeight="1" x14ac:dyDescent="0.3">
      <c r="A95" s="20" t="s">
        <v>364</v>
      </c>
      <c r="B95" s="21" t="s">
        <v>288</v>
      </c>
      <c r="C95" s="4" t="s">
        <v>136</v>
      </c>
      <c r="D95" s="4" t="s">
        <v>202</v>
      </c>
      <c r="E95" s="4" t="s">
        <v>226</v>
      </c>
      <c r="F95" s="22"/>
      <c r="G95" s="23" t="s">
        <v>104</v>
      </c>
      <c r="H95" s="6"/>
      <c r="I95" s="6"/>
      <c r="J95" s="6"/>
      <c r="K95" s="6"/>
      <c r="L95" s="6"/>
      <c r="M95" s="6"/>
      <c r="N95" s="6"/>
      <c r="O95" s="16" t="str">
        <f>IF(COUNT(I95:M95)&lt;5,"",ROUND((I95*Matriz!$C$5+J95*Matriz!$C$6+K95*Matriz!$C$7+L95*Matriz!$C$8+M95*Matriz!$C$9)/SUM(Matriz!$C$5:$C$9),2))</f>
        <v/>
      </c>
      <c r="P95" s="17">
        <f>IFERROR(INDEX(Processos!$F$8:$F$17,MATCH(C95,Processos!$A$8:$A$17,0)),1)</f>
        <v>1.034</v>
      </c>
      <c r="Q95" s="24">
        <f>IFERROR(INDEX(Matriz!$C$28:$C$33,MATCH(G95,Matriz!$A$28:$A$33,0)),0)</f>
        <v>0</v>
      </c>
      <c r="R95" s="25" t="str">
        <f t="shared" si="4"/>
        <v/>
      </c>
      <c r="S95" s="10" t="str">
        <f>IF(R95="","",IF(R95&gt;=Matriz!$C$19,4,IF(R95&gt;=Matriz!$C$18,3,IF(R95&gt;=Matriz!$C$17,2,1))))</f>
        <v/>
      </c>
      <c r="T95" s="9" t="str">
        <f>IF(S95="","",MAX(S95,IF(I95=5,Matriz!$C$23,0),IF(N95="Sim",Matriz!$C$24,0)))</f>
        <v/>
      </c>
      <c r="U95" s="9" t="str">
        <f t="shared" si="5"/>
        <v/>
      </c>
      <c r="V95" s="26" t="str">
        <f t="shared" si="6"/>
        <v/>
      </c>
      <c r="W95" s="10" t="str">
        <f t="shared" si="7"/>
        <v/>
      </c>
      <c r="X95" s="4"/>
      <c r="Y95" s="4"/>
    </row>
    <row r="96" spans="1:25" ht="28.05" hidden="1" customHeight="1" x14ac:dyDescent="0.3">
      <c r="A96" s="20" t="s">
        <v>365</v>
      </c>
      <c r="B96" s="21" t="s">
        <v>290</v>
      </c>
      <c r="C96" s="4" t="s">
        <v>136</v>
      </c>
      <c r="D96" s="4" t="s">
        <v>260</v>
      </c>
      <c r="E96" s="4" t="s">
        <v>226</v>
      </c>
      <c r="F96" s="22"/>
      <c r="G96" s="23" t="s">
        <v>104</v>
      </c>
      <c r="H96" s="6"/>
      <c r="I96" s="6"/>
      <c r="J96" s="6"/>
      <c r="K96" s="6"/>
      <c r="L96" s="6"/>
      <c r="M96" s="6"/>
      <c r="N96" s="6"/>
      <c r="O96" s="16" t="str">
        <f>IF(COUNT(I96:M96)&lt;5,"",ROUND((I96*Matriz!$C$5+J96*Matriz!$C$6+K96*Matriz!$C$7+L96*Matriz!$C$8+M96*Matriz!$C$9)/SUM(Matriz!$C$5:$C$9),2))</f>
        <v/>
      </c>
      <c r="P96" s="17">
        <f>IFERROR(INDEX(Processos!$F$8:$F$17,MATCH(C96,Processos!$A$8:$A$17,0)),1)</f>
        <v>1.034</v>
      </c>
      <c r="Q96" s="24">
        <f>IFERROR(INDEX(Matriz!$C$28:$C$33,MATCH(G96,Matriz!$A$28:$A$33,0)),0)</f>
        <v>0</v>
      </c>
      <c r="R96" s="25" t="str">
        <f t="shared" si="4"/>
        <v/>
      </c>
      <c r="S96" s="10" t="str">
        <f>IF(R96="","",IF(R96&gt;=Matriz!$C$19,4,IF(R96&gt;=Matriz!$C$18,3,IF(R96&gt;=Matriz!$C$17,2,1))))</f>
        <v/>
      </c>
      <c r="T96" s="9" t="str">
        <f>IF(S96="","",MAX(S96,IF(I96=5,Matriz!$C$23,0),IF(N96="Sim",Matriz!$C$24,0)))</f>
        <v/>
      </c>
      <c r="U96" s="9" t="str">
        <f t="shared" si="5"/>
        <v/>
      </c>
      <c r="V96" s="26" t="str">
        <f t="shared" si="6"/>
        <v/>
      </c>
      <c r="W96" s="10" t="str">
        <f t="shared" si="7"/>
        <v/>
      </c>
      <c r="X96" s="4"/>
      <c r="Y96" s="4"/>
    </row>
    <row r="97" spans="1:25" ht="28.05" hidden="1" customHeight="1" x14ac:dyDescent="0.3">
      <c r="A97" s="20" t="s">
        <v>366</v>
      </c>
      <c r="B97" s="21" t="s">
        <v>292</v>
      </c>
      <c r="C97" s="4" t="s">
        <v>136</v>
      </c>
      <c r="D97" s="4" t="s">
        <v>293</v>
      </c>
      <c r="E97" s="4" t="s">
        <v>226</v>
      </c>
      <c r="F97" s="22"/>
      <c r="G97" s="23" t="s">
        <v>104</v>
      </c>
      <c r="H97" s="6"/>
      <c r="I97" s="6"/>
      <c r="J97" s="6"/>
      <c r="K97" s="6"/>
      <c r="L97" s="6"/>
      <c r="M97" s="6"/>
      <c r="N97" s="6"/>
      <c r="O97" s="16" t="str">
        <f>IF(COUNT(I97:M97)&lt;5,"",ROUND((I97*Matriz!$C$5+J97*Matriz!$C$6+K97*Matriz!$C$7+L97*Matriz!$C$8+M97*Matriz!$C$9)/SUM(Matriz!$C$5:$C$9),2))</f>
        <v/>
      </c>
      <c r="P97" s="17">
        <f>IFERROR(INDEX(Processos!$F$8:$F$17,MATCH(C97,Processos!$A$8:$A$17,0)),1)</f>
        <v>1.034</v>
      </c>
      <c r="Q97" s="24">
        <f>IFERROR(INDEX(Matriz!$C$28:$C$33,MATCH(G97,Matriz!$A$28:$A$33,0)),0)</f>
        <v>0</v>
      </c>
      <c r="R97" s="25" t="str">
        <f t="shared" si="4"/>
        <v/>
      </c>
      <c r="S97" s="10" t="str">
        <f>IF(R97="","",IF(R97&gt;=Matriz!$C$19,4,IF(R97&gt;=Matriz!$C$18,3,IF(R97&gt;=Matriz!$C$17,2,1))))</f>
        <v/>
      </c>
      <c r="T97" s="9" t="str">
        <f>IF(S97="","",MAX(S97,IF(I97=5,Matriz!$C$23,0),IF(N97="Sim",Matriz!$C$24,0)))</f>
        <v/>
      </c>
      <c r="U97" s="9" t="str">
        <f t="shared" si="5"/>
        <v/>
      </c>
      <c r="V97" s="26" t="str">
        <f t="shared" si="6"/>
        <v/>
      </c>
      <c r="W97" s="10" t="str">
        <f t="shared" si="7"/>
        <v/>
      </c>
      <c r="X97" s="4"/>
      <c r="Y97" s="4"/>
    </row>
    <row r="98" spans="1:25" ht="28.05" hidden="1" customHeight="1" x14ac:dyDescent="0.3">
      <c r="A98" s="20" t="s">
        <v>367</v>
      </c>
      <c r="B98" s="21" t="s">
        <v>295</v>
      </c>
      <c r="C98" s="4" t="s">
        <v>136</v>
      </c>
      <c r="D98" s="4" t="s">
        <v>229</v>
      </c>
      <c r="E98" s="4" t="s">
        <v>226</v>
      </c>
      <c r="F98" s="22"/>
      <c r="G98" s="23" t="s">
        <v>104</v>
      </c>
      <c r="H98" s="6"/>
      <c r="I98" s="6"/>
      <c r="J98" s="6"/>
      <c r="K98" s="6"/>
      <c r="L98" s="6"/>
      <c r="M98" s="6"/>
      <c r="N98" s="6"/>
      <c r="O98" s="16" t="str">
        <f>IF(COUNT(I98:M98)&lt;5,"",ROUND((I98*Matriz!$C$5+J98*Matriz!$C$6+K98*Matriz!$C$7+L98*Matriz!$C$8+M98*Matriz!$C$9)/SUM(Matriz!$C$5:$C$9),2))</f>
        <v/>
      </c>
      <c r="P98" s="17">
        <f>IFERROR(INDEX(Processos!$F$8:$F$17,MATCH(C98,Processos!$A$8:$A$17,0)),1)</f>
        <v>1.034</v>
      </c>
      <c r="Q98" s="24">
        <f>IFERROR(INDEX(Matriz!$C$28:$C$33,MATCH(G98,Matriz!$A$28:$A$33,0)),0)</f>
        <v>0</v>
      </c>
      <c r="R98" s="25" t="str">
        <f t="shared" si="4"/>
        <v/>
      </c>
      <c r="S98" s="10" t="str">
        <f>IF(R98="","",IF(R98&gt;=Matriz!$C$19,4,IF(R98&gt;=Matriz!$C$18,3,IF(R98&gt;=Matriz!$C$17,2,1))))</f>
        <v/>
      </c>
      <c r="T98" s="9" t="str">
        <f>IF(S98="","",MAX(S98,IF(I98=5,Matriz!$C$23,0),IF(N98="Sim",Matriz!$C$24,0)))</f>
        <v/>
      </c>
      <c r="U98" s="9" t="str">
        <f t="shared" si="5"/>
        <v/>
      </c>
      <c r="V98" s="26" t="str">
        <f t="shared" si="6"/>
        <v/>
      </c>
      <c r="W98" s="10" t="str">
        <f t="shared" si="7"/>
        <v/>
      </c>
      <c r="X98" s="4"/>
      <c r="Y98" s="4"/>
    </row>
    <row r="99" spans="1:25" ht="28.05" hidden="1" customHeight="1" x14ac:dyDescent="0.3">
      <c r="A99" s="20" t="s">
        <v>368</v>
      </c>
      <c r="B99" s="21" t="s">
        <v>297</v>
      </c>
      <c r="C99" s="4" t="s">
        <v>136</v>
      </c>
      <c r="D99" s="4" t="s">
        <v>229</v>
      </c>
      <c r="E99" s="4" t="s">
        <v>226</v>
      </c>
      <c r="F99" s="22"/>
      <c r="G99" s="23" t="s">
        <v>102</v>
      </c>
      <c r="H99" s="6"/>
      <c r="I99" s="6"/>
      <c r="J99" s="6"/>
      <c r="K99" s="6"/>
      <c r="L99" s="6"/>
      <c r="M99" s="6"/>
      <c r="N99" s="6"/>
      <c r="O99" s="16" t="str">
        <f>IF(COUNT(I99:M99)&lt;5,"",ROUND((I99*Matriz!$C$5+J99*Matriz!$C$6+K99*Matriz!$C$7+L99*Matriz!$C$8+M99*Matriz!$C$9)/SUM(Matriz!$C$5:$C$9),2))</f>
        <v/>
      </c>
      <c r="P99" s="17">
        <f>IFERROR(INDEX(Processos!$F$8:$F$17,MATCH(C99,Processos!$A$8:$A$17,0)),1)</f>
        <v>1.034</v>
      </c>
      <c r="Q99" s="24">
        <f>IFERROR(INDEX(Matriz!$C$28:$C$33,MATCH(G99,Matriz!$A$28:$A$33,0)),0)</f>
        <v>0</v>
      </c>
      <c r="R99" s="25" t="str">
        <f t="shared" si="4"/>
        <v/>
      </c>
      <c r="S99" s="10" t="str">
        <f>IF(R99="","",IF(R99&gt;=Matriz!$C$19,4,IF(R99&gt;=Matriz!$C$18,3,IF(R99&gt;=Matriz!$C$17,2,1))))</f>
        <v/>
      </c>
      <c r="T99" s="9" t="str">
        <f>IF(S99="","",MAX(S99,IF(I99=5,Matriz!$C$23,0),IF(N99="Sim",Matriz!$C$24,0)))</f>
        <v/>
      </c>
      <c r="U99" s="9" t="str">
        <f t="shared" si="5"/>
        <v/>
      </c>
      <c r="V99" s="26" t="str">
        <f t="shared" si="6"/>
        <v/>
      </c>
      <c r="W99" s="10" t="str">
        <f t="shared" si="7"/>
        <v/>
      </c>
      <c r="X99" s="4"/>
      <c r="Y99" s="4"/>
    </row>
    <row r="100" spans="1:25" ht="28.05" hidden="1" customHeight="1" x14ac:dyDescent="0.3">
      <c r="A100" s="20" t="s">
        <v>369</v>
      </c>
      <c r="B100" s="21" t="s">
        <v>299</v>
      </c>
      <c r="C100" s="4" t="s">
        <v>136</v>
      </c>
      <c r="D100" s="4" t="s">
        <v>300</v>
      </c>
      <c r="E100" s="4" t="s">
        <v>226</v>
      </c>
      <c r="F100" s="22"/>
      <c r="G100" s="23" t="s">
        <v>104</v>
      </c>
      <c r="H100" s="6"/>
      <c r="I100" s="6"/>
      <c r="J100" s="6"/>
      <c r="K100" s="6"/>
      <c r="L100" s="6"/>
      <c r="M100" s="6"/>
      <c r="N100" s="6"/>
      <c r="O100" s="16" t="str">
        <f>IF(COUNT(I100:M100)&lt;5,"",ROUND((I100*Matriz!$C$5+J100*Matriz!$C$6+K100*Matriz!$C$7+L100*Matriz!$C$8+M100*Matriz!$C$9)/SUM(Matriz!$C$5:$C$9),2))</f>
        <v/>
      </c>
      <c r="P100" s="17">
        <f>IFERROR(INDEX(Processos!$F$8:$F$17,MATCH(C100,Processos!$A$8:$A$17,0)),1)</f>
        <v>1.034</v>
      </c>
      <c r="Q100" s="24">
        <f>IFERROR(INDEX(Matriz!$C$28:$C$33,MATCH(G100,Matriz!$A$28:$A$33,0)),0)</f>
        <v>0</v>
      </c>
      <c r="R100" s="25" t="str">
        <f t="shared" si="4"/>
        <v/>
      </c>
      <c r="S100" s="10" t="str">
        <f>IF(R100="","",IF(R100&gt;=Matriz!$C$19,4,IF(R100&gt;=Matriz!$C$18,3,IF(R100&gt;=Matriz!$C$17,2,1))))</f>
        <v/>
      </c>
      <c r="T100" s="9" t="str">
        <f>IF(S100="","",MAX(S100,IF(I100=5,Matriz!$C$23,0),IF(N100="Sim",Matriz!$C$24,0)))</f>
        <v/>
      </c>
      <c r="U100" s="9" t="str">
        <f t="shared" si="5"/>
        <v/>
      </c>
      <c r="V100" s="26" t="str">
        <f t="shared" si="6"/>
        <v/>
      </c>
      <c r="W100" s="10" t="str">
        <f t="shared" si="7"/>
        <v/>
      </c>
      <c r="X100" s="4"/>
      <c r="Y100" s="4"/>
    </row>
    <row r="101" spans="1:25" ht="28.05" hidden="1" customHeight="1" x14ac:dyDescent="0.3">
      <c r="A101" s="20" t="s">
        <v>370</v>
      </c>
      <c r="B101" s="21" t="s">
        <v>302</v>
      </c>
      <c r="C101" s="4" t="s">
        <v>136</v>
      </c>
      <c r="D101" s="4" t="s">
        <v>229</v>
      </c>
      <c r="E101" s="4" t="s">
        <v>226</v>
      </c>
      <c r="F101" s="22"/>
      <c r="G101" s="23" t="s">
        <v>102</v>
      </c>
      <c r="H101" s="6"/>
      <c r="I101" s="6"/>
      <c r="J101" s="6"/>
      <c r="K101" s="6"/>
      <c r="L101" s="6"/>
      <c r="M101" s="6"/>
      <c r="N101" s="6"/>
      <c r="O101" s="16" t="str">
        <f>IF(COUNT(I101:M101)&lt;5,"",ROUND((I101*Matriz!$C$5+J101*Matriz!$C$6+K101*Matriz!$C$7+L101*Matriz!$C$8+M101*Matriz!$C$9)/SUM(Matriz!$C$5:$C$9),2))</f>
        <v/>
      </c>
      <c r="P101" s="17">
        <f>IFERROR(INDEX(Processos!$F$8:$F$17,MATCH(C101,Processos!$A$8:$A$17,0)),1)</f>
        <v>1.034</v>
      </c>
      <c r="Q101" s="24">
        <f>IFERROR(INDEX(Matriz!$C$28:$C$33,MATCH(G101,Matriz!$A$28:$A$33,0)),0)</f>
        <v>0</v>
      </c>
      <c r="R101" s="25" t="str">
        <f t="shared" si="4"/>
        <v/>
      </c>
      <c r="S101" s="10" t="str">
        <f>IF(R101="","",IF(R101&gt;=Matriz!$C$19,4,IF(R101&gt;=Matriz!$C$18,3,IF(R101&gt;=Matriz!$C$17,2,1))))</f>
        <v/>
      </c>
      <c r="T101" s="9" t="str">
        <f>IF(S101="","",MAX(S101,IF(I101=5,Matriz!$C$23,0),IF(N101="Sim",Matriz!$C$24,0)))</f>
        <v/>
      </c>
      <c r="U101" s="9" t="str">
        <f t="shared" si="5"/>
        <v/>
      </c>
      <c r="V101" s="26" t="str">
        <f t="shared" si="6"/>
        <v/>
      </c>
      <c r="W101" s="10" t="str">
        <f t="shared" si="7"/>
        <v/>
      </c>
      <c r="X101" s="4"/>
      <c r="Y101" s="4"/>
    </row>
    <row r="102" spans="1:25" ht="28.05" hidden="1" customHeight="1" x14ac:dyDescent="0.3">
      <c r="A102" s="20" t="s">
        <v>371</v>
      </c>
      <c r="B102" s="21" t="s">
        <v>372</v>
      </c>
      <c r="C102" s="4" t="s">
        <v>136</v>
      </c>
      <c r="D102" s="4" t="s">
        <v>229</v>
      </c>
      <c r="E102" s="4" t="s">
        <v>226</v>
      </c>
      <c r="F102" s="22"/>
      <c r="G102" s="23" t="s">
        <v>102</v>
      </c>
      <c r="H102" s="6"/>
      <c r="I102" s="6"/>
      <c r="J102" s="6"/>
      <c r="K102" s="6"/>
      <c r="L102" s="6"/>
      <c r="M102" s="6"/>
      <c r="N102" s="6"/>
      <c r="O102" s="16" t="str">
        <f>IF(COUNT(I102:M102)&lt;5,"",ROUND((I102*Matriz!$C$5+J102*Matriz!$C$6+K102*Matriz!$C$7+L102*Matriz!$C$8+M102*Matriz!$C$9)/SUM(Matriz!$C$5:$C$9),2))</f>
        <v/>
      </c>
      <c r="P102" s="17">
        <f>IFERROR(INDEX(Processos!$F$8:$F$17,MATCH(C102,Processos!$A$8:$A$17,0)),1)</f>
        <v>1.034</v>
      </c>
      <c r="Q102" s="24">
        <f>IFERROR(INDEX(Matriz!$C$28:$C$33,MATCH(G102,Matriz!$A$28:$A$33,0)),0)</f>
        <v>0</v>
      </c>
      <c r="R102" s="25" t="str">
        <f t="shared" si="4"/>
        <v/>
      </c>
      <c r="S102" s="10" t="str">
        <f>IF(R102="","",IF(R102&gt;=Matriz!$C$19,4,IF(R102&gt;=Matriz!$C$18,3,IF(R102&gt;=Matriz!$C$17,2,1))))</f>
        <v/>
      </c>
      <c r="T102" s="9" t="str">
        <f>IF(S102="","",MAX(S102,IF(I102=5,Matriz!$C$23,0),IF(N102="Sim",Matriz!$C$24,0)))</f>
        <v/>
      </c>
      <c r="U102" s="9" t="str">
        <f t="shared" si="5"/>
        <v/>
      </c>
      <c r="V102" s="26" t="str">
        <f t="shared" si="6"/>
        <v/>
      </c>
      <c r="W102" s="10" t="str">
        <f t="shared" si="7"/>
        <v/>
      </c>
      <c r="X102" s="4"/>
      <c r="Y102" s="4"/>
    </row>
    <row r="103" spans="1:25" ht="28.05" hidden="1" customHeight="1" x14ac:dyDescent="0.3">
      <c r="A103" s="20" t="s">
        <v>373</v>
      </c>
      <c r="B103" s="21" t="s">
        <v>306</v>
      </c>
      <c r="C103" s="4" t="s">
        <v>136</v>
      </c>
      <c r="D103" s="4" t="s">
        <v>229</v>
      </c>
      <c r="E103" s="4" t="s">
        <v>226</v>
      </c>
      <c r="F103" s="22"/>
      <c r="G103" s="23" t="s">
        <v>102</v>
      </c>
      <c r="H103" s="6"/>
      <c r="I103" s="6"/>
      <c r="J103" s="6"/>
      <c r="K103" s="6"/>
      <c r="L103" s="6"/>
      <c r="M103" s="6"/>
      <c r="N103" s="6"/>
      <c r="O103" s="16" t="str">
        <f>IF(COUNT(I103:M103)&lt;5,"",ROUND((I103*Matriz!$C$5+J103*Matriz!$C$6+K103*Matriz!$C$7+L103*Matriz!$C$8+M103*Matriz!$C$9)/SUM(Matriz!$C$5:$C$9),2))</f>
        <v/>
      </c>
      <c r="P103" s="17">
        <f>IFERROR(INDEX(Processos!$F$8:$F$17,MATCH(C103,Processos!$A$8:$A$17,0)),1)</f>
        <v>1.034</v>
      </c>
      <c r="Q103" s="24">
        <f>IFERROR(INDEX(Matriz!$C$28:$C$33,MATCH(G103,Matriz!$A$28:$A$33,0)),0)</f>
        <v>0</v>
      </c>
      <c r="R103" s="25" t="str">
        <f t="shared" si="4"/>
        <v/>
      </c>
      <c r="S103" s="10" t="str">
        <f>IF(R103="","",IF(R103&gt;=Matriz!$C$19,4,IF(R103&gt;=Matriz!$C$18,3,IF(R103&gt;=Matriz!$C$17,2,1))))</f>
        <v/>
      </c>
      <c r="T103" s="9" t="str">
        <f>IF(S103="","",MAX(S103,IF(I103=5,Matriz!$C$23,0),IF(N103="Sim",Matriz!$C$24,0)))</f>
        <v/>
      </c>
      <c r="U103" s="9" t="str">
        <f t="shared" si="5"/>
        <v/>
      </c>
      <c r="V103" s="26" t="str">
        <f t="shared" si="6"/>
        <v/>
      </c>
      <c r="W103" s="10" t="str">
        <f t="shared" si="7"/>
        <v/>
      </c>
      <c r="X103" s="4"/>
      <c r="Y103" s="4"/>
    </row>
    <row r="104" spans="1:25" ht="28.05" hidden="1" customHeight="1" x14ac:dyDescent="0.3">
      <c r="A104" s="20" t="s">
        <v>374</v>
      </c>
      <c r="B104" s="21" t="s">
        <v>308</v>
      </c>
      <c r="C104" s="4" t="s">
        <v>136</v>
      </c>
      <c r="D104" s="4" t="s">
        <v>242</v>
      </c>
      <c r="E104" s="4" t="s">
        <v>226</v>
      </c>
      <c r="F104" s="22"/>
      <c r="G104" s="23" t="s">
        <v>104</v>
      </c>
      <c r="H104" s="6"/>
      <c r="I104" s="6"/>
      <c r="J104" s="6"/>
      <c r="K104" s="6"/>
      <c r="L104" s="6"/>
      <c r="M104" s="6"/>
      <c r="N104" s="6"/>
      <c r="O104" s="16" t="str">
        <f>IF(COUNT(I104:M104)&lt;5,"",ROUND((I104*Matriz!$C$5+J104*Matriz!$C$6+K104*Matriz!$C$7+L104*Matriz!$C$8+M104*Matriz!$C$9)/SUM(Matriz!$C$5:$C$9),2))</f>
        <v/>
      </c>
      <c r="P104" s="17">
        <f>IFERROR(INDEX(Processos!$F$8:$F$17,MATCH(C104,Processos!$A$8:$A$17,0)),1)</f>
        <v>1.034</v>
      </c>
      <c r="Q104" s="24">
        <f>IFERROR(INDEX(Matriz!$C$28:$C$33,MATCH(G104,Matriz!$A$28:$A$33,0)),0)</f>
        <v>0</v>
      </c>
      <c r="R104" s="25" t="str">
        <f t="shared" si="4"/>
        <v/>
      </c>
      <c r="S104" s="10" t="str">
        <f>IF(R104="","",IF(R104&gt;=Matriz!$C$19,4,IF(R104&gt;=Matriz!$C$18,3,IF(R104&gt;=Matriz!$C$17,2,1))))</f>
        <v/>
      </c>
      <c r="T104" s="9" t="str">
        <f>IF(S104="","",MAX(S104,IF(I104=5,Matriz!$C$23,0),IF(N104="Sim",Matriz!$C$24,0)))</f>
        <v/>
      </c>
      <c r="U104" s="9" t="str">
        <f t="shared" si="5"/>
        <v/>
      </c>
      <c r="V104" s="26" t="str">
        <f t="shared" si="6"/>
        <v/>
      </c>
      <c r="W104" s="10" t="str">
        <f t="shared" si="7"/>
        <v/>
      </c>
      <c r="X104" s="4"/>
      <c r="Y104" s="4"/>
    </row>
    <row r="105" spans="1:25" ht="28.05" hidden="1" customHeight="1" x14ac:dyDescent="0.3">
      <c r="A105" s="20" t="s">
        <v>375</v>
      </c>
      <c r="B105" s="21" t="s">
        <v>310</v>
      </c>
      <c r="C105" s="4" t="s">
        <v>136</v>
      </c>
      <c r="D105" s="4" t="s">
        <v>300</v>
      </c>
      <c r="E105" s="4" t="s">
        <v>226</v>
      </c>
      <c r="F105" s="22"/>
      <c r="G105" s="23" t="s">
        <v>106</v>
      </c>
      <c r="H105" s="6"/>
      <c r="I105" s="6"/>
      <c r="J105" s="6"/>
      <c r="K105" s="6"/>
      <c r="L105" s="6"/>
      <c r="M105" s="6"/>
      <c r="N105" s="6"/>
      <c r="O105" s="16" t="str">
        <f>IF(COUNT(I105:M105)&lt;5,"",ROUND((I105*Matriz!$C$5+J105*Matriz!$C$6+K105*Matriz!$C$7+L105*Matriz!$C$8+M105*Matriz!$C$9)/SUM(Matriz!$C$5:$C$9),2))</f>
        <v/>
      </c>
      <c r="P105" s="17">
        <f>IFERROR(INDEX(Processos!$F$8:$F$17,MATCH(C105,Processos!$A$8:$A$17,0)),1)</f>
        <v>1.034</v>
      </c>
      <c r="Q105" s="24">
        <f>IFERROR(INDEX(Matriz!$C$28:$C$33,MATCH(G105,Matriz!$A$28:$A$33,0)),0)</f>
        <v>-0.2</v>
      </c>
      <c r="R105" s="25" t="str">
        <f t="shared" si="4"/>
        <v/>
      </c>
      <c r="S105" s="10" t="str">
        <f>IF(R105="","",IF(R105&gt;=Matriz!$C$19,4,IF(R105&gt;=Matriz!$C$18,3,IF(R105&gt;=Matriz!$C$17,2,1))))</f>
        <v/>
      </c>
      <c r="T105" s="9" t="str">
        <f>IF(S105="","",MAX(S105,IF(I105=5,Matriz!$C$23,0),IF(N105="Sim",Matriz!$C$24,0)))</f>
        <v/>
      </c>
      <c r="U105" s="9" t="str">
        <f t="shared" si="5"/>
        <v/>
      </c>
      <c r="V105" s="26" t="str">
        <f t="shared" si="6"/>
        <v/>
      </c>
      <c r="W105" s="10" t="str">
        <f t="shared" si="7"/>
        <v/>
      </c>
      <c r="X105" s="4"/>
      <c r="Y105" s="4"/>
    </row>
    <row r="106" spans="1:25" ht="28.05" hidden="1" customHeight="1" x14ac:dyDescent="0.3">
      <c r="A106" s="20" t="s">
        <v>376</v>
      </c>
      <c r="B106" s="21" t="s">
        <v>312</v>
      </c>
      <c r="C106" s="4" t="s">
        <v>136</v>
      </c>
      <c r="D106" s="4" t="s">
        <v>229</v>
      </c>
      <c r="E106" s="4" t="s">
        <v>226</v>
      </c>
      <c r="F106" s="22"/>
      <c r="G106" s="23" t="s">
        <v>106</v>
      </c>
      <c r="H106" s="6"/>
      <c r="I106" s="6"/>
      <c r="J106" s="6"/>
      <c r="K106" s="6"/>
      <c r="L106" s="6"/>
      <c r="M106" s="6"/>
      <c r="N106" s="6"/>
      <c r="O106" s="16" t="str">
        <f>IF(COUNT(I106:M106)&lt;5,"",ROUND((I106*Matriz!$C$5+J106*Matriz!$C$6+K106*Matriz!$C$7+L106*Matriz!$C$8+M106*Matriz!$C$9)/SUM(Matriz!$C$5:$C$9),2))</f>
        <v/>
      </c>
      <c r="P106" s="17">
        <f>IFERROR(INDEX(Processos!$F$8:$F$17,MATCH(C106,Processos!$A$8:$A$17,0)),1)</f>
        <v>1.034</v>
      </c>
      <c r="Q106" s="24">
        <f>IFERROR(INDEX(Matriz!$C$28:$C$33,MATCH(G106,Matriz!$A$28:$A$33,0)),0)</f>
        <v>-0.2</v>
      </c>
      <c r="R106" s="25" t="str">
        <f t="shared" si="4"/>
        <v/>
      </c>
      <c r="S106" s="10" t="str">
        <f>IF(R106="","",IF(R106&gt;=Matriz!$C$19,4,IF(R106&gt;=Matriz!$C$18,3,IF(R106&gt;=Matriz!$C$17,2,1))))</f>
        <v/>
      </c>
      <c r="T106" s="9" t="str">
        <f>IF(S106="","",MAX(S106,IF(I106=5,Matriz!$C$23,0),IF(N106="Sim",Matriz!$C$24,0)))</f>
        <v/>
      </c>
      <c r="U106" s="9" t="str">
        <f t="shared" si="5"/>
        <v/>
      </c>
      <c r="V106" s="26" t="str">
        <f t="shared" si="6"/>
        <v/>
      </c>
      <c r="W106" s="10" t="str">
        <f t="shared" si="7"/>
        <v/>
      </c>
      <c r="X106" s="4"/>
      <c r="Y106" s="4"/>
    </row>
    <row r="107" spans="1:25" ht="28.05" hidden="1" customHeight="1" x14ac:dyDescent="0.3">
      <c r="A107" s="20" t="s">
        <v>377</v>
      </c>
      <c r="B107" s="21" t="s">
        <v>314</v>
      </c>
      <c r="C107" s="4" t="s">
        <v>136</v>
      </c>
      <c r="D107" s="4" t="s">
        <v>229</v>
      </c>
      <c r="E107" s="4" t="s">
        <v>226</v>
      </c>
      <c r="F107" s="22"/>
      <c r="G107" s="23" t="s">
        <v>106</v>
      </c>
      <c r="H107" s="6"/>
      <c r="I107" s="6"/>
      <c r="J107" s="6"/>
      <c r="K107" s="6"/>
      <c r="L107" s="6"/>
      <c r="M107" s="6"/>
      <c r="N107" s="6"/>
      <c r="O107" s="16" t="str">
        <f>IF(COUNT(I107:M107)&lt;5,"",ROUND((I107*Matriz!$C$5+J107*Matriz!$C$6+K107*Matriz!$C$7+L107*Matriz!$C$8+M107*Matriz!$C$9)/SUM(Matriz!$C$5:$C$9),2))</f>
        <v/>
      </c>
      <c r="P107" s="17">
        <f>IFERROR(INDEX(Processos!$F$8:$F$17,MATCH(C107,Processos!$A$8:$A$17,0)),1)</f>
        <v>1.034</v>
      </c>
      <c r="Q107" s="24">
        <f>IFERROR(INDEX(Matriz!$C$28:$C$33,MATCH(G107,Matriz!$A$28:$A$33,0)),0)</f>
        <v>-0.2</v>
      </c>
      <c r="R107" s="25" t="str">
        <f t="shared" si="4"/>
        <v/>
      </c>
      <c r="S107" s="10" t="str">
        <f>IF(R107="","",IF(R107&gt;=Matriz!$C$19,4,IF(R107&gt;=Matriz!$C$18,3,IF(R107&gt;=Matriz!$C$17,2,1))))</f>
        <v/>
      </c>
      <c r="T107" s="9" t="str">
        <f>IF(S107="","",MAX(S107,IF(I107=5,Matriz!$C$23,0),IF(N107="Sim",Matriz!$C$24,0)))</f>
        <v/>
      </c>
      <c r="U107" s="9" t="str">
        <f t="shared" si="5"/>
        <v/>
      </c>
      <c r="V107" s="26" t="str">
        <f t="shared" si="6"/>
        <v/>
      </c>
      <c r="W107" s="10" t="str">
        <f t="shared" si="7"/>
        <v/>
      </c>
      <c r="X107" s="4"/>
      <c r="Y107" s="4"/>
    </row>
    <row r="108" spans="1:25" ht="28.05" hidden="1" customHeight="1" x14ac:dyDescent="0.3">
      <c r="A108" s="20" t="s">
        <v>378</v>
      </c>
      <c r="B108" s="21" t="s">
        <v>316</v>
      </c>
      <c r="C108" s="4" t="s">
        <v>136</v>
      </c>
      <c r="D108" s="4" t="s">
        <v>229</v>
      </c>
      <c r="E108" s="4" t="s">
        <v>226</v>
      </c>
      <c r="F108" s="22"/>
      <c r="G108" s="23" t="s">
        <v>102</v>
      </c>
      <c r="H108" s="6"/>
      <c r="I108" s="6"/>
      <c r="J108" s="6"/>
      <c r="K108" s="6"/>
      <c r="L108" s="6"/>
      <c r="M108" s="6"/>
      <c r="N108" s="6"/>
      <c r="O108" s="16" t="str">
        <f>IF(COUNT(I108:M108)&lt;5,"",ROUND((I108*Matriz!$C$5+J108*Matriz!$C$6+K108*Matriz!$C$7+L108*Matriz!$C$8+M108*Matriz!$C$9)/SUM(Matriz!$C$5:$C$9),2))</f>
        <v/>
      </c>
      <c r="P108" s="17">
        <f>IFERROR(INDEX(Processos!$F$8:$F$17,MATCH(C108,Processos!$A$8:$A$17,0)),1)</f>
        <v>1.034</v>
      </c>
      <c r="Q108" s="24">
        <f>IFERROR(INDEX(Matriz!$C$28:$C$33,MATCH(G108,Matriz!$A$28:$A$33,0)),0)</f>
        <v>0</v>
      </c>
      <c r="R108" s="25" t="str">
        <f t="shared" si="4"/>
        <v/>
      </c>
      <c r="S108" s="10" t="str">
        <f>IF(R108="","",IF(R108&gt;=Matriz!$C$19,4,IF(R108&gt;=Matriz!$C$18,3,IF(R108&gt;=Matriz!$C$17,2,1))))</f>
        <v/>
      </c>
      <c r="T108" s="9" t="str">
        <f>IF(S108="","",MAX(S108,IF(I108=5,Matriz!$C$23,0),IF(N108="Sim",Matriz!$C$24,0)))</f>
        <v/>
      </c>
      <c r="U108" s="9" t="str">
        <f t="shared" si="5"/>
        <v/>
      </c>
      <c r="V108" s="26" t="str">
        <f t="shared" si="6"/>
        <v/>
      </c>
      <c r="W108" s="10" t="str">
        <f t="shared" si="7"/>
        <v/>
      </c>
      <c r="X108" s="4"/>
      <c r="Y108" s="4"/>
    </row>
    <row r="109" spans="1:25" ht="28.05" hidden="1" customHeight="1" x14ac:dyDescent="0.3">
      <c r="A109" s="20" t="s">
        <v>379</v>
      </c>
      <c r="B109" s="21" t="s">
        <v>318</v>
      </c>
      <c r="C109" s="4" t="s">
        <v>136</v>
      </c>
      <c r="D109" s="4" t="s">
        <v>199</v>
      </c>
      <c r="E109" s="4" t="s">
        <v>226</v>
      </c>
      <c r="F109" s="22"/>
      <c r="G109" s="23" t="s">
        <v>104</v>
      </c>
      <c r="H109" s="6"/>
      <c r="I109" s="6"/>
      <c r="J109" s="6"/>
      <c r="K109" s="6"/>
      <c r="L109" s="6"/>
      <c r="M109" s="6"/>
      <c r="N109" s="6"/>
      <c r="O109" s="16" t="str">
        <f>IF(COUNT(I109:M109)&lt;5,"",ROUND((I109*Matriz!$C$5+J109*Matriz!$C$6+K109*Matriz!$C$7+L109*Matriz!$C$8+M109*Matriz!$C$9)/SUM(Matriz!$C$5:$C$9),2))</f>
        <v/>
      </c>
      <c r="P109" s="17">
        <f>IFERROR(INDEX(Processos!$F$8:$F$17,MATCH(C109,Processos!$A$8:$A$17,0)),1)</f>
        <v>1.034</v>
      </c>
      <c r="Q109" s="24">
        <f>IFERROR(INDEX(Matriz!$C$28:$C$33,MATCH(G109,Matriz!$A$28:$A$33,0)),0)</f>
        <v>0</v>
      </c>
      <c r="R109" s="25" t="str">
        <f t="shared" si="4"/>
        <v/>
      </c>
      <c r="S109" s="10" t="str">
        <f>IF(R109="","",IF(R109&gt;=Matriz!$C$19,4,IF(R109&gt;=Matriz!$C$18,3,IF(R109&gt;=Matriz!$C$17,2,1))))</f>
        <v/>
      </c>
      <c r="T109" s="9" t="str">
        <f>IF(S109="","",MAX(S109,IF(I109=5,Matriz!$C$23,0),IF(N109="Sim",Matriz!$C$24,0)))</f>
        <v/>
      </c>
      <c r="U109" s="9" t="str">
        <f t="shared" si="5"/>
        <v/>
      </c>
      <c r="V109" s="26" t="str">
        <f t="shared" si="6"/>
        <v/>
      </c>
      <c r="W109" s="10" t="str">
        <f t="shared" si="7"/>
        <v/>
      </c>
      <c r="X109" s="4"/>
      <c r="Y109" s="4"/>
    </row>
    <row r="110" spans="1:25" ht="28.05" hidden="1" customHeight="1" x14ac:dyDescent="0.3">
      <c r="A110" s="20" t="s">
        <v>380</v>
      </c>
      <c r="B110" s="21" t="s">
        <v>381</v>
      </c>
      <c r="C110" s="4" t="s">
        <v>136</v>
      </c>
      <c r="D110" s="4" t="s">
        <v>229</v>
      </c>
      <c r="E110" s="4" t="s">
        <v>226</v>
      </c>
      <c r="F110" s="22"/>
      <c r="G110" s="23" t="s">
        <v>102</v>
      </c>
      <c r="H110" s="6"/>
      <c r="I110" s="6"/>
      <c r="J110" s="6"/>
      <c r="K110" s="6"/>
      <c r="L110" s="6"/>
      <c r="M110" s="6"/>
      <c r="N110" s="6"/>
      <c r="O110" s="16" t="str">
        <f>IF(COUNT(I110:M110)&lt;5,"",ROUND((I110*Matriz!$C$5+J110*Matriz!$C$6+K110*Matriz!$C$7+L110*Matriz!$C$8+M110*Matriz!$C$9)/SUM(Matriz!$C$5:$C$9),2))</f>
        <v/>
      </c>
      <c r="P110" s="17">
        <f>IFERROR(INDEX(Processos!$F$8:$F$17,MATCH(C110,Processos!$A$8:$A$17,0)),1)</f>
        <v>1.034</v>
      </c>
      <c r="Q110" s="24">
        <f>IFERROR(INDEX(Matriz!$C$28:$C$33,MATCH(G110,Matriz!$A$28:$A$33,0)),0)</f>
        <v>0</v>
      </c>
      <c r="R110" s="25" t="str">
        <f t="shared" si="4"/>
        <v/>
      </c>
      <c r="S110" s="10" t="str">
        <f>IF(R110="","",IF(R110&gt;=Matriz!$C$19,4,IF(R110&gt;=Matriz!$C$18,3,IF(R110&gt;=Matriz!$C$17,2,1))))</f>
        <v/>
      </c>
      <c r="T110" s="9" t="str">
        <f>IF(S110="","",MAX(S110,IF(I110=5,Matriz!$C$23,0),IF(N110="Sim",Matriz!$C$24,0)))</f>
        <v/>
      </c>
      <c r="U110" s="9" t="str">
        <f t="shared" si="5"/>
        <v/>
      </c>
      <c r="V110" s="26" t="str">
        <f t="shared" si="6"/>
        <v/>
      </c>
      <c r="W110" s="10" t="str">
        <f t="shared" si="7"/>
        <v/>
      </c>
      <c r="X110" s="4"/>
      <c r="Y110" s="4"/>
    </row>
    <row r="111" spans="1:25" ht="28.05" hidden="1" customHeight="1" x14ac:dyDescent="0.3">
      <c r="A111" s="20" t="s">
        <v>382</v>
      </c>
      <c r="B111" s="21" t="s">
        <v>325</v>
      </c>
      <c r="C111" s="4" t="s">
        <v>136</v>
      </c>
      <c r="D111" s="4" t="s">
        <v>334</v>
      </c>
      <c r="E111" s="4" t="s">
        <v>326</v>
      </c>
      <c r="F111" s="22"/>
      <c r="G111" s="23" t="s">
        <v>104</v>
      </c>
      <c r="H111" s="6"/>
      <c r="I111" s="6"/>
      <c r="J111" s="6"/>
      <c r="K111" s="6"/>
      <c r="L111" s="6"/>
      <c r="M111" s="6"/>
      <c r="N111" s="6"/>
      <c r="O111" s="16" t="str">
        <f>IF(COUNT(I111:M111)&lt;5,"",ROUND((I111*Matriz!$C$5+J111*Matriz!$C$6+K111*Matriz!$C$7+L111*Matriz!$C$8+M111*Matriz!$C$9)/SUM(Matriz!$C$5:$C$9),2))</f>
        <v/>
      </c>
      <c r="P111" s="17">
        <f>IFERROR(INDEX(Processos!$F$8:$F$17,MATCH(C111,Processos!$A$8:$A$17,0)),1)</f>
        <v>1.034</v>
      </c>
      <c r="Q111" s="24">
        <f>IFERROR(INDEX(Matriz!$C$28:$C$33,MATCH(G111,Matriz!$A$28:$A$33,0)),0)</f>
        <v>0</v>
      </c>
      <c r="R111" s="25" t="str">
        <f t="shared" si="4"/>
        <v/>
      </c>
      <c r="S111" s="10" t="str">
        <f>IF(R111="","",IF(R111&gt;=Matriz!$C$19,4,IF(R111&gt;=Matriz!$C$18,3,IF(R111&gt;=Matriz!$C$17,2,1))))</f>
        <v/>
      </c>
      <c r="T111" s="9" t="str">
        <f>IF(S111="","",MAX(S111,IF(I111=5,Matriz!$C$23,0),IF(N111="Sim",Matriz!$C$24,0)))</f>
        <v/>
      </c>
      <c r="U111" s="9" t="str">
        <f t="shared" si="5"/>
        <v/>
      </c>
      <c r="V111" s="26" t="str">
        <f t="shared" si="6"/>
        <v/>
      </c>
      <c r="W111" s="10" t="str">
        <f t="shared" si="7"/>
        <v/>
      </c>
      <c r="X111" s="4"/>
      <c r="Y111" s="4"/>
    </row>
    <row r="112" spans="1:25" ht="28.05" hidden="1" customHeight="1" x14ac:dyDescent="0.3">
      <c r="A112" s="20" t="s">
        <v>383</v>
      </c>
      <c r="B112" s="21" t="s">
        <v>384</v>
      </c>
      <c r="C112" s="4" t="s">
        <v>126</v>
      </c>
      <c r="D112" s="4" t="s">
        <v>229</v>
      </c>
      <c r="E112" s="4" t="s">
        <v>385</v>
      </c>
      <c r="F112" s="22">
        <v>46203</v>
      </c>
      <c r="G112" s="23" t="s">
        <v>102</v>
      </c>
      <c r="H112" s="6"/>
      <c r="I112" s="6"/>
      <c r="J112" s="6"/>
      <c r="K112" s="6"/>
      <c r="L112" s="6"/>
      <c r="M112" s="6"/>
      <c r="N112" s="6"/>
      <c r="O112" s="16" t="str">
        <f>IF(COUNT(I112:M112)&lt;5,"",ROUND((I112*Matriz!$C$5+J112*Matriz!$C$6+K112*Matriz!$C$7+L112*Matriz!$C$8+M112*Matriz!$C$9)/SUM(Matriz!$C$5:$C$9),2))</f>
        <v/>
      </c>
      <c r="P112" s="17">
        <f>IFERROR(INDEX(Processos!$F$8:$F$17,MATCH(C112,Processos!$A$8:$A$17,0)),1)</f>
        <v>1.0840000000000001</v>
      </c>
      <c r="Q112" s="24">
        <f>IFERROR(INDEX(Matriz!$C$28:$C$33,MATCH(G112,Matriz!$A$28:$A$33,0)),0)</f>
        <v>0</v>
      </c>
      <c r="R112" s="25" t="str">
        <f t="shared" si="4"/>
        <v/>
      </c>
      <c r="S112" s="10" t="str">
        <f>IF(R112="","",IF(R112&gt;=Matriz!$C$19,4,IF(R112&gt;=Matriz!$C$18,3,IF(R112&gt;=Matriz!$C$17,2,1))))</f>
        <v/>
      </c>
      <c r="T112" s="9" t="str">
        <f>IF(S112="","",MAX(S112,IF(I112=5,Matriz!$C$23,0),IF(N112="Sim",Matriz!$C$24,0)))</f>
        <v/>
      </c>
      <c r="U112" s="9" t="str">
        <f t="shared" si="5"/>
        <v/>
      </c>
      <c r="V112" s="26" t="str">
        <f t="shared" si="6"/>
        <v/>
      </c>
      <c r="W112" s="10" t="str">
        <f t="shared" si="7"/>
        <v/>
      </c>
      <c r="X112" s="4"/>
      <c r="Y112" s="4"/>
    </row>
    <row r="113" spans="1:25" ht="28.05" hidden="1" customHeight="1" x14ac:dyDescent="0.3">
      <c r="A113" s="20" t="s">
        <v>386</v>
      </c>
      <c r="B113" s="21" t="s">
        <v>387</v>
      </c>
      <c r="C113" s="4" t="s">
        <v>126</v>
      </c>
      <c r="D113" s="4" t="s">
        <v>388</v>
      </c>
      <c r="E113" s="4" t="s">
        <v>385</v>
      </c>
      <c r="F113" s="22">
        <v>46173</v>
      </c>
      <c r="G113" s="23" t="s">
        <v>104</v>
      </c>
      <c r="H113" s="6"/>
      <c r="I113" s="6"/>
      <c r="J113" s="6"/>
      <c r="K113" s="6"/>
      <c r="L113" s="6"/>
      <c r="M113" s="6"/>
      <c r="N113" s="6"/>
      <c r="O113" s="16" t="str">
        <f>IF(COUNT(I113:M113)&lt;5,"",ROUND((I113*Matriz!$C$5+J113*Matriz!$C$6+K113*Matriz!$C$7+L113*Matriz!$C$8+M113*Matriz!$C$9)/SUM(Matriz!$C$5:$C$9),2))</f>
        <v/>
      </c>
      <c r="P113" s="17">
        <f>IFERROR(INDEX(Processos!$F$8:$F$17,MATCH(C113,Processos!$A$8:$A$17,0)),1)</f>
        <v>1.0840000000000001</v>
      </c>
      <c r="Q113" s="24">
        <f>IFERROR(INDEX(Matriz!$C$28:$C$33,MATCH(G113,Matriz!$A$28:$A$33,0)),0)</f>
        <v>0</v>
      </c>
      <c r="R113" s="25" t="str">
        <f t="shared" si="4"/>
        <v/>
      </c>
      <c r="S113" s="10" t="str">
        <f>IF(R113="","",IF(R113&gt;=Matriz!$C$19,4,IF(R113&gt;=Matriz!$C$18,3,IF(R113&gt;=Matriz!$C$17,2,1))))</f>
        <v/>
      </c>
      <c r="T113" s="9" t="str">
        <f>IF(S113="","",MAX(S113,IF(I113=5,Matriz!$C$23,0),IF(N113="Sim",Matriz!$C$24,0)))</f>
        <v/>
      </c>
      <c r="U113" s="9" t="str">
        <f t="shared" si="5"/>
        <v/>
      </c>
      <c r="V113" s="26" t="str">
        <f t="shared" si="6"/>
        <v/>
      </c>
      <c r="W113" s="10" t="str">
        <f t="shared" si="7"/>
        <v/>
      </c>
      <c r="X113" s="4"/>
      <c r="Y113" s="4"/>
    </row>
    <row r="114" spans="1:25" ht="28.05" hidden="1" customHeight="1" x14ac:dyDescent="0.3">
      <c r="A114" s="20" t="s">
        <v>389</v>
      </c>
      <c r="B114" s="21" t="s">
        <v>390</v>
      </c>
      <c r="C114" s="4" t="s">
        <v>126</v>
      </c>
      <c r="D114" s="4" t="s">
        <v>229</v>
      </c>
      <c r="E114" s="4" t="s">
        <v>385</v>
      </c>
      <c r="F114" s="22">
        <v>46203</v>
      </c>
      <c r="G114" s="23" t="s">
        <v>104</v>
      </c>
      <c r="H114" s="6"/>
      <c r="I114" s="6"/>
      <c r="J114" s="6"/>
      <c r="K114" s="6"/>
      <c r="L114" s="6"/>
      <c r="M114" s="6"/>
      <c r="N114" s="6"/>
      <c r="O114" s="16" t="str">
        <f>IF(COUNT(I114:M114)&lt;5,"",ROUND((I114*Matriz!$C$5+J114*Matriz!$C$6+K114*Matriz!$C$7+L114*Matriz!$C$8+M114*Matriz!$C$9)/SUM(Matriz!$C$5:$C$9),2))</f>
        <v/>
      </c>
      <c r="P114" s="17">
        <f>IFERROR(INDEX(Processos!$F$8:$F$17,MATCH(C114,Processos!$A$8:$A$17,0)),1)</f>
        <v>1.0840000000000001</v>
      </c>
      <c r="Q114" s="24">
        <f>IFERROR(INDEX(Matriz!$C$28:$C$33,MATCH(G114,Matriz!$A$28:$A$33,0)),0)</f>
        <v>0</v>
      </c>
      <c r="R114" s="25" t="str">
        <f t="shared" si="4"/>
        <v/>
      </c>
      <c r="S114" s="10" t="str">
        <f>IF(R114="","",IF(R114&gt;=Matriz!$C$19,4,IF(R114&gt;=Matriz!$C$18,3,IF(R114&gt;=Matriz!$C$17,2,1))))</f>
        <v/>
      </c>
      <c r="T114" s="9" t="str">
        <f>IF(S114="","",MAX(S114,IF(I114=5,Matriz!$C$23,0),IF(N114="Sim",Matriz!$C$24,0)))</f>
        <v/>
      </c>
      <c r="U114" s="9" t="str">
        <f t="shared" si="5"/>
        <v/>
      </c>
      <c r="V114" s="26" t="str">
        <f t="shared" si="6"/>
        <v/>
      </c>
      <c r="W114" s="10" t="str">
        <f t="shared" si="7"/>
        <v/>
      </c>
      <c r="X114" s="4"/>
      <c r="Y114" s="4"/>
    </row>
    <row r="115" spans="1:25" ht="28.05" hidden="1" customHeight="1" x14ac:dyDescent="0.3">
      <c r="A115" s="20" t="s">
        <v>391</v>
      </c>
      <c r="B115" s="21" t="s">
        <v>392</v>
      </c>
      <c r="C115" s="4" t="s">
        <v>126</v>
      </c>
      <c r="D115" s="4" t="s">
        <v>393</v>
      </c>
      <c r="E115" s="4" t="s">
        <v>385</v>
      </c>
      <c r="F115" s="22">
        <v>46265</v>
      </c>
      <c r="G115" s="23" t="s">
        <v>104</v>
      </c>
      <c r="H115" s="6"/>
      <c r="I115" s="6"/>
      <c r="J115" s="6"/>
      <c r="K115" s="6"/>
      <c r="L115" s="6"/>
      <c r="M115" s="6"/>
      <c r="N115" s="6"/>
      <c r="O115" s="16" t="str">
        <f>IF(COUNT(I115:M115)&lt;5,"",ROUND((I115*Matriz!$C$5+J115*Matriz!$C$6+K115*Matriz!$C$7+L115*Matriz!$C$8+M115*Matriz!$C$9)/SUM(Matriz!$C$5:$C$9),2))</f>
        <v/>
      </c>
      <c r="P115" s="17">
        <f>IFERROR(INDEX(Processos!$F$8:$F$17,MATCH(C115,Processos!$A$8:$A$17,0)),1)</f>
        <v>1.0840000000000001</v>
      </c>
      <c r="Q115" s="24">
        <f>IFERROR(INDEX(Matriz!$C$28:$C$33,MATCH(G115,Matriz!$A$28:$A$33,0)),0)</f>
        <v>0</v>
      </c>
      <c r="R115" s="25" t="str">
        <f t="shared" si="4"/>
        <v/>
      </c>
      <c r="S115" s="10" t="str">
        <f>IF(R115="","",IF(R115&gt;=Matriz!$C$19,4,IF(R115&gt;=Matriz!$C$18,3,IF(R115&gt;=Matriz!$C$17,2,1))))</f>
        <v/>
      </c>
      <c r="T115" s="9" t="str">
        <f>IF(S115="","",MAX(S115,IF(I115=5,Matriz!$C$23,0),IF(N115="Sim",Matriz!$C$24,0)))</f>
        <v/>
      </c>
      <c r="U115" s="9" t="str">
        <f t="shared" si="5"/>
        <v/>
      </c>
      <c r="V115" s="26" t="str">
        <f t="shared" si="6"/>
        <v/>
      </c>
      <c r="W115" s="10" t="str">
        <f t="shared" si="7"/>
        <v/>
      </c>
      <c r="X115" s="4"/>
      <c r="Y115" s="4"/>
    </row>
    <row r="116" spans="1:25" ht="28.05" hidden="1" customHeight="1" x14ac:dyDescent="0.3">
      <c r="A116" s="20" t="s">
        <v>394</v>
      </c>
      <c r="B116" s="21" t="s">
        <v>395</v>
      </c>
      <c r="C116" s="4" t="s">
        <v>126</v>
      </c>
      <c r="D116" s="4" t="s">
        <v>199</v>
      </c>
      <c r="E116" s="4" t="s">
        <v>385</v>
      </c>
      <c r="F116" s="22">
        <v>46295</v>
      </c>
      <c r="G116" s="23" t="s">
        <v>104</v>
      </c>
      <c r="H116" s="6"/>
      <c r="I116" s="6"/>
      <c r="J116" s="6"/>
      <c r="K116" s="6"/>
      <c r="L116" s="6"/>
      <c r="M116" s="6"/>
      <c r="N116" s="6"/>
      <c r="O116" s="16" t="str">
        <f>IF(COUNT(I116:M116)&lt;5,"",ROUND((I116*Matriz!$C$5+J116*Matriz!$C$6+K116*Matriz!$C$7+L116*Matriz!$C$8+M116*Matriz!$C$9)/SUM(Matriz!$C$5:$C$9),2))</f>
        <v/>
      </c>
      <c r="P116" s="17">
        <f>IFERROR(INDEX(Processos!$F$8:$F$17,MATCH(C116,Processos!$A$8:$A$17,0)),1)</f>
        <v>1.0840000000000001</v>
      </c>
      <c r="Q116" s="24">
        <f>IFERROR(INDEX(Matriz!$C$28:$C$33,MATCH(G116,Matriz!$A$28:$A$33,0)),0)</f>
        <v>0</v>
      </c>
      <c r="R116" s="25" t="str">
        <f t="shared" si="4"/>
        <v/>
      </c>
      <c r="S116" s="10" t="str">
        <f>IF(R116="","",IF(R116&gt;=Matriz!$C$19,4,IF(R116&gt;=Matriz!$C$18,3,IF(R116&gt;=Matriz!$C$17,2,1))))</f>
        <v/>
      </c>
      <c r="T116" s="9" t="str">
        <f>IF(S116="","",MAX(S116,IF(I116=5,Matriz!$C$23,0),IF(N116="Sim",Matriz!$C$24,0)))</f>
        <v/>
      </c>
      <c r="U116" s="9" t="str">
        <f t="shared" si="5"/>
        <v/>
      </c>
      <c r="V116" s="26" t="str">
        <f t="shared" si="6"/>
        <v/>
      </c>
      <c r="W116" s="10" t="str">
        <f t="shared" si="7"/>
        <v/>
      </c>
      <c r="X116" s="4"/>
      <c r="Y116" s="4"/>
    </row>
    <row r="117" spans="1:25" ht="28.05" hidden="1" customHeight="1" x14ac:dyDescent="0.3">
      <c r="A117" s="20" t="s">
        <v>396</v>
      </c>
      <c r="B117" s="21" t="s">
        <v>397</v>
      </c>
      <c r="C117" s="4" t="s">
        <v>126</v>
      </c>
      <c r="D117" s="4" t="s">
        <v>223</v>
      </c>
      <c r="E117" s="4" t="s">
        <v>385</v>
      </c>
      <c r="F117" s="22">
        <v>46265</v>
      </c>
      <c r="G117" s="23" t="s">
        <v>100</v>
      </c>
      <c r="H117" s="6"/>
      <c r="I117" s="6"/>
      <c r="J117" s="6"/>
      <c r="K117" s="6"/>
      <c r="L117" s="6"/>
      <c r="M117" s="6"/>
      <c r="N117" s="6"/>
      <c r="O117" s="16" t="str">
        <f>IF(COUNT(I117:M117)&lt;5,"",ROUND((I117*Matriz!$C$5+J117*Matriz!$C$6+K117*Matriz!$C$7+L117*Matriz!$C$8+M117*Matriz!$C$9)/SUM(Matriz!$C$5:$C$9),2))</f>
        <v/>
      </c>
      <c r="P117" s="17">
        <f>IFERROR(INDEX(Processos!$F$8:$F$17,MATCH(C117,Processos!$A$8:$A$17,0)),1)</f>
        <v>1.0840000000000001</v>
      </c>
      <c r="Q117" s="24">
        <f>IFERROR(INDEX(Matriz!$C$28:$C$33,MATCH(G117,Matriz!$A$28:$A$33,0)),0)</f>
        <v>0</v>
      </c>
      <c r="R117" s="25" t="str">
        <f t="shared" si="4"/>
        <v/>
      </c>
      <c r="S117" s="10" t="str">
        <f>IF(R117="","",IF(R117&gt;=Matriz!$C$19,4,IF(R117&gt;=Matriz!$C$18,3,IF(R117&gt;=Matriz!$C$17,2,1))))</f>
        <v/>
      </c>
      <c r="T117" s="9" t="str">
        <f>IF(S117="","",MAX(S117,IF(I117=5,Matriz!$C$23,0),IF(N117="Sim",Matriz!$C$24,0)))</f>
        <v/>
      </c>
      <c r="U117" s="9" t="str">
        <f t="shared" si="5"/>
        <v/>
      </c>
      <c r="V117" s="26" t="str">
        <f t="shared" si="6"/>
        <v/>
      </c>
      <c r="W117" s="10" t="str">
        <f t="shared" si="7"/>
        <v/>
      </c>
      <c r="X117" s="4"/>
      <c r="Y117" s="4"/>
    </row>
    <row r="118" spans="1:25" ht="28.05" hidden="1" customHeight="1" x14ac:dyDescent="0.3">
      <c r="A118" s="20" t="s">
        <v>398</v>
      </c>
      <c r="B118" s="21" t="s">
        <v>399</v>
      </c>
      <c r="C118" s="4" t="s">
        <v>126</v>
      </c>
      <c r="D118" s="4" t="s">
        <v>223</v>
      </c>
      <c r="E118" s="4" t="s">
        <v>385</v>
      </c>
      <c r="F118" s="22">
        <v>46265</v>
      </c>
      <c r="G118" s="23" t="s">
        <v>100</v>
      </c>
      <c r="H118" s="6"/>
      <c r="I118" s="6"/>
      <c r="J118" s="6"/>
      <c r="K118" s="6"/>
      <c r="L118" s="6"/>
      <c r="M118" s="6"/>
      <c r="N118" s="6"/>
      <c r="O118" s="16" t="str">
        <f>IF(COUNT(I118:M118)&lt;5,"",ROUND((I118*Matriz!$C$5+J118*Matriz!$C$6+K118*Matriz!$C$7+L118*Matriz!$C$8+M118*Matriz!$C$9)/SUM(Matriz!$C$5:$C$9),2))</f>
        <v/>
      </c>
      <c r="P118" s="17">
        <f>IFERROR(INDEX(Processos!$F$8:$F$17,MATCH(C118,Processos!$A$8:$A$17,0)),1)</f>
        <v>1.0840000000000001</v>
      </c>
      <c r="Q118" s="24">
        <f>IFERROR(INDEX(Matriz!$C$28:$C$33,MATCH(G118,Matriz!$A$28:$A$33,0)),0)</f>
        <v>0</v>
      </c>
      <c r="R118" s="25" t="str">
        <f t="shared" si="4"/>
        <v/>
      </c>
      <c r="S118" s="10" t="str">
        <f>IF(R118="","",IF(R118&gt;=Matriz!$C$19,4,IF(R118&gt;=Matriz!$C$18,3,IF(R118&gt;=Matriz!$C$17,2,1))))</f>
        <v/>
      </c>
      <c r="T118" s="9" t="str">
        <f>IF(S118="","",MAX(S118,IF(I118=5,Matriz!$C$23,0),IF(N118="Sim",Matriz!$C$24,0)))</f>
        <v/>
      </c>
      <c r="U118" s="9" t="str">
        <f t="shared" si="5"/>
        <v/>
      </c>
      <c r="V118" s="26" t="str">
        <f t="shared" si="6"/>
        <v/>
      </c>
      <c r="W118" s="10" t="str">
        <f t="shared" si="7"/>
        <v/>
      </c>
      <c r="X118" s="4"/>
      <c r="Y118" s="4"/>
    </row>
    <row r="119" spans="1:25" ht="28.05" hidden="1" customHeight="1" x14ac:dyDescent="0.3">
      <c r="A119" s="20" t="s">
        <v>400</v>
      </c>
      <c r="B119" s="21" t="s">
        <v>401</v>
      </c>
      <c r="C119" s="4" t="s">
        <v>126</v>
      </c>
      <c r="D119" s="4" t="s">
        <v>402</v>
      </c>
      <c r="E119" s="4" t="s">
        <v>385</v>
      </c>
      <c r="F119" s="22">
        <v>46234</v>
      </c>
      <c r="G119" s="23" t="s">
        <v>100</v>
      </c>
      <c r="H119" s="6"/>
      <c r="I119" s="6"/>
      <c r="J119" s="6"/>
      <c r="K119" s="6"/>
      <c r="L119" s="6"/>
      <c r="M119" s="6"/>
      <c r="N119" s="6"/>
      <c r="O119" s="16" t="str">
        <f>IF(COUNT(I119:M119)&lt;5,"",ROUND((I119*Matriz!$C$5+J119*Matriz!$C$6+K119*Matriz!$C$7+L119*Matriz!$C$8+M119*Matriz!$C$9)/SUM(Matriz!$C$5:$C$9),2))</f>
        <v/>
      </c>
      <c r="P119" s="17">
        <f>IFERROR(INDEX(Processos!$F$8:$F$17,MATCH(C119,Processos!$A$8:$A$17,0)),1)</f>
        <v>1.0840000000000001</v>
      </c>
      <c r="Q119" s="24">
        <f>IFERROR(INDEX(Matriz!$C$28:$C$33,MATCH(G119,Matriz!$A$28:$A$33,0)),0)</f>
        <v>0</v>
      </c>
      <c r="R119" s="25" t="str">
        <f t="shared" si="4"/>
        <v/>
      </c>
      <c r="S119" s="10" t="str">
        <f>IF(R119="","",IF(R119&gt;=Matriz!$C$19,4,IF(R119&gt;=Matriz!$C$18,3,IF(R119&gt;=Matriz!$C$17,2,1))))</f>
        <v/>
      </c>
      <c r="T119" s="9" t="str">
        <f>IF(S119="","",MAX(S119,IF(I119=5,Matriz!$C$23,0),IF(N119="Sim",Matriz!$C$24,0)))</f>
        <v/>
      </c>
      <c r="U119" s="9" t="str">
        <f t="shared" si="5"/>
        <v/>
      </c>
      <c r="V119" s="26" t="str">
        <f t="shared" si="6"/>
        <v/>
      </c>
      <c r="W119" s="10" t="str">
        <f t="shared" si="7"/>
        <v/>
      </c>
      <c r="X119" s="4"/>
      <c r="Y119" s="4"/>
    </row>
    <row r="120" spans="1:25" ht="28.05" hidden="1" customHeight="1" x14ac:dyDescent="0.3">
      <c r="A120" s="20" t="s">
        <v>403</v>
      </c>
      <c r="B120" s="21" t="s">
        <v>404</v>
      </c>
      <c r="C120" s="4" t="s">
        <v>126</v>
      </c>
      <c r="D120" s="4" t="s">
        <v>402</v>
      </c>
      <c r="E120" s="4" t="s">
        <v>385</v>
      </c>
      <c r="F120" s="22">
        <v>46295</v>
      </c>
      <c r="G120" s="23" t="s">
        <v>100</v>
      </c>
      <c r="H120" s="6"/>
      <c r="I120" s="6"/>
      <c r="J120" s="6"/>
      <c r="K120" s="6"/>
      <c r="L120" s="6"/>
      <c r="M120" s="6"/>
      <c r="N120" s="6"/>
      <c r="O120" s="16" t="str">
        <f>IF(COUNT(I120:M120)&lt;5,"",ROUND((I120*Matriz!$C$5+J120*Matriz!$C$6+K120*Matriz!$C$7+L120*Matriz!$C$8+M120*Matriz!$C$9)/SUM(Matriz!$C$5:$C$9),2))</f>
        <v/>
      </c>
      <c r="P120" s="17">
        <f>IFERROR(INDEX(Processos!$F$8:$F$17,MATCH(C120,Processos!$A$8:$A$17,0)),1)</f>
        <v>1.0840000000000001</v>
      </c>
      <c r="Q120" s="24">
        <f>IFERROR(INDEX(Matriz!$C$28:$C$33,MATCH(G120,Matriz!$A$28:$A$33,0)),0)</f>
        <v>0</v>
      </c>
      <c r="R120" s="25" t="str">
        <f t="shared" si="4"/>
        <v/>
      </c>
      <c r="S120" s="10" t="str">
        <f>IF(R120="","",IF(R120&gt;=Matriz!$C$19,4,IF(R120&gt;=Matriz!$C$18,3,IF(R120&gt;=Matriz!$C$17,2,1))))</f>
        <v/>
      </c>
      <c r="T120" s="9" t="str">
        <f>IF(S120="","",MAX(S120,IF(I120=5,Matriz!$C$23,0),IF(N120="Sim",Matriz!$C$24,0)))</f>
        <v/>
      </c>
      <c r="U120" s="9" t="str">
        <f t="shared" si="5"/>
        <v/>
      </c>
      <c r="V120" s="26" t="str">
        <f t="shared" si="6"/>
        <v/>
      </c>
      <c r="W120" s="10" t="str">
        <f t="shared" si="7"/>
        <v/>
      </c>
      <c r="X120" s="4"/>
      <c r="Y120" s="4"/>
    </row>
    <row r="121" spans="1:25" ht="28.05" hidden="1" customHeight="1" x14ac:dyDescent="0.3">
      <c r="A121" s="20" t="s">
        <v>405</v>
      </c>
      <c r="B121" s="21" t="s">
        <v>406</v>
      </c>
      <c r="C121" s="4" t="s">
        <v>126</v>
      </c>
      <c r="D121" s="4" t="s">
        <v>407</v>
      </c>
      <c r="E121" s="4" t="s">
        <v>385</v>
      </c>
      <c r="F121" s="22">
        <v>46203</v>
      </c>
      <c r="G121" s="23" t="s">
        <v>100</v>
      </c>
      <c r="H121" s="6"/>
      <c r="I121" s="6"/>
      <c r="J121" s="6"/>
      <c r="K121" s="6"/>
      <c r="L121" s="6"/>
      <c r="M121" s="6"/>
      <c r="N121" s="6"/>
      <c r="O121" s="16" t="str">
        <f>IF(COUNT(I121:M121)&lt;5,"",ROUND((I121*Matriz!$C$5+J121*Matriz!$C$6+K121*Matriz!$C$7+L121*Matriz!$C$8+M121*Matriz!$C$9)/SUM(Matriz!$C$5:$C$9),2))</f>
        <v/>
      </c>
      <c r="P121" s="17">
        <f>IFERROR(INDEX(Processos!$F$8:$F$17,MATCH(C121,Processos!$A$8:$A$17,0)),1)</f>
        <v>1.0840000000000001</v>
      </c>
      <c r="Q121" s="24">
        <f>IFERROR(INDEX(Matriz!$C$28:$C$33,MATCH(G121,Matriz!$A$28:$A$33,0)),0)</f>
        <v>0</v>
      </c>
      <c r="R121" s="25" t="str">
        <f t="shared" si="4"/>
        <v/>
      </c>
      <c r="S121" s="10" t="str">
        <f>IF(R121="","",IF(R121&gt;=Matriz!$C$19,4,IF(R121&gt;=Matriz!$C$18,3,IF(R121&gt;=Matriz!$C$17,2,1))))</f>
        <v/>
      </c>
      <c r="T121" s="9" t="str">
        <f>IF(S121="","",MAX(S121,IF(I121=5,Matriz!$C$23,0),IF(N121="Sim",Matriz!$C$24,0)))</f>
        <v/>
      </c>
      <c r="U121" s="9" t="str">
        <f t="shared" si="5"/>
        <v/>
      </c>
      <c r="V121" s="26" t="str">
        <f t="shared" si="6"/>
        <v/>
      </c>
      <c r="W121" s="10" t="str">
        <f t="shared" si="7"/>
        <v/>
      </c>
      <c r="X121" s="4"/>
      <c r="Y121" s="4"/>
    </row>
    <row r="122" spans="1:25" ht="28.05" hidden="1" customHeight="1" x14ac:dyDescent="0.3">
      <c r="A122" s="20" t="s">
        <v>408</v>
      </c>
      <c r="B122" s="21" t="s">
        <v>409</v>
      </c>
      <c r="C122" s="4" t="s">
        <v>126</v>
      </c>
      <c r="D122" s="4" t="s">
        <v>199</v>
      </c>
      <c r="E122" s="4" t="s">
        <v>385</v>
      </c>
      <c r="F122" s="22">
        <v>46295</v>
      </c>
      <c r="G122" s="23" t="s">
        <v>100</v>
      </c>
      <c r="H122" s="6"/>
      <c r="I122" s="6"/>
      <c r="J122" s="6"/>
      <c r="K122" s="6"/>
      <c r="L122" s="6"/>
      <c r="M122" s="6"/>
      <c r="N122" s="6"/>
      <c r="O122" s="16" t="str">
        <f>IF(COUNT(I122:M122)&lt;5,"",ROUND((I122*Matriz!$C$5+J122*Matriz!$C$6+K122*Matriz!$C$7+L122*Matriz!$C$8+M122*Matriz!$C$9)/SUM(Matriz!$C$5:$C$9),2))</f>
        <v/>
      </c>
      <c r="P122" s="17">
        <f>IFERROR(INDEX(Processos!$F$8:$F$17,MATCH(C122,Processos!$A$8:$A$17,0)),1)</f>
        <v>1.0840000000000001</v>
      </c>
      <c r="Q122" s="24">
        <f>IFERROR(INDEX(Matriz!$C$28:$C$33,MATCH(G122,Matriz!$A$28:$A$33,0)),0)</f>
        <v>0</v>
      </c>
      <c r="R122" s="25" t="str">
        <f t="shared" si="4"/>
        <v/>
      </c>
      <c r="S122" s="10" t="str">
        <f>IF(R122="","",IF(R122&gt;=Matriz!$C$19,4,IF(R122&gt;=Matriz!$C$18,3,IF(R122&gt;=Matriz!$C$17,2,1))))</f>
        <v/>
      </c>
      <c r="T122" s="9" t="str">
        <f>IF(S122="","",MAX(S122,IF(I122=5,Matriz!$C$23,0),IF(N122="Sim",Matriz!$C$24,0)))</f>
        <v/>
      </c>
      <c r="U122" s="9" t="str">
        <f t="shared" si="5"/>
        <v/>
      </c>
      <c r="V122" s="26" t="str">
        <f t="shared" si="6"/>
        <v/>
      </c>
      <c r="W122" s="10" t="str">
        <f t="shared" si="7"/>
        <v/>
      </c>
      <c r="X122" s="4"/>
      <c r="Y122" s="4"/>
    </row>
    <row r="123" spans="1:25" ht="40.049999999999997" hidden="1" customHeight="1" x14ac:dyDescent="0.3">
      <c r="A123" s="20" t="s">
        <v>410</v>
      </c>
      <c r="B123" s="21" t="s">
        <v>411</v>
      </c>
      <c r="C123" s="4" t="s">
        <v>126</v>
      </c>
      <c r="D123" s="4" t="s">
        <v>223</v>
      </c>
      <c r="E123" s="4" t="s">
        <v>385</v>
      </c>
      <c r="F123" s="22">
        <v>46265</v>
      </c>
      <c r="G123" s="23" t="s">
        <v>100</v>
      </c>
      <c r="H123" s="6">
        <v>3</v>
      </c>
      <c r="I123" s="6">
        <v>4</v>
      </c>
      <c r="J123" s="6">
        <v>3</v>
      </c>
      <c r="K123" s="6">
        <v>5</v>
      </c>
      <c r="L123" s="6">
        <v>5</v>
      </c>
      <c r="M123" s="6">
        <v>3</v>
      </c>
      <c r="N123" s="6" t="s">
        <v>261</v>
      </c>
      <c r="O123" s="16">
        <f>IF(COUNT(I123:M123)&lt;5,"",ROUND((I123*Matriz!$C$5+J123*Matriz!$C$6+K123*Matriz!$C$7+L123*Matriz!$C$8+M123*Matriz!$C$9)/SUM(Matriz!$C$5:$C$9),2))</f>
        <v>4</v>
      </c>
      <c r="P123" s="17">
        <f>IFERROR(INDEX(Processos!$F$8:$F$17,MATCH(C123,Processos!$A$8:$A$17,0)),1)</f>
        <v>1.0840000000000001</v>
      </c>
      <c r="Q123" s="24">
        <f>IFERROR(INDEX(Matriz!$C$28:$C$33,MATCH(G123,Matriz!$A$28:$A$33,0)),0)</f>
        <v>0</v>
      </c>
      <c r="R123" s="25">
        <f t="shared" si="4"/>
        <v>4.34</v>
      </c>
      <c r="S123" s="10">
        <f>IF(R123="","",IF(R123&gt;=Matriz!$C$19,4,IF(R123&gt;=Matriz!$C$18,3,IF(R123&gt;=Matriz!$C$17,2,1))))</f>
        <v>4</v>
      </c>
      <c r="T123" s="9">
        <f>IF(S123="","",MAX(S123,IF(I123=5,Matriz!$C$23,0),IF(N123="Sim",Matriz!$C$24,0)))</f>
        <v>4</v>
      </c>
      <c r="U123" s="9" t="str">
        <f t="shared" si="5"/>
        <v>Urgente</v>
      </c>
      <c r="V123" s="26">
        <f t="shared" si="6"/>
        <v>4043.0998770000001</v>
      </c>
      <c r="W123" s="10">
        <f t="shared" si="7"/>
        <v>2</v>
      </c>
      <c r="X123" s="4" t="s">
        <v>262</v>
      </c>
      <c r="Y123" s="4" t="s">
        <v>412</v>
      </c>
    </row>
    <row r="124" spans="1:25" ht="28.05" hidden="1" customHeight="1" x14ac:dyDescent="0.3">
      <c r="A124" s="20" t="s">
        <v>413</v>
      </c>
      <c r="B124" s="21" t="s">
        <v>414</v>
      </c>
      <c r="C124" s="4" t="s">
        <v>126</v>
      </c>
      <c r="D124" s="4" t="s">
        <v>402</v>
      </c>
      <c r="E124" s="4" t="s">
        <v>385</v>
      </c>
      <c r="F124" s="22">
        <v>46265</v>
      </c>
      <c r="G124" s="23" t="s">
        <v>100</v>
      </c>
      <c r="H124" s="6"/>
      <c r="I124" s="6"/>
      <c r="J124" s="6"/>
      <c r="K124" s="6"/>
      <c r="L124" s="6"/>
      <c r="M124" s="6"/>
      <c r="N124" s="6"/>
      <c r="O124" s="16" t="str">
        <f>IF(COUNT(I124:M124)&lt;5,"",ROUND((I124*Matriz!$C$5+J124*Matriz!$C$6+K124*Matriz!$C$7+L124*Matriz!$C$8+M124*Matriz!$C$9)/SUM(Matriz!$C$5:$C$9),2))</f>
        <v/>
      </c>
      <c r="P124" s="17">
        <f>IFERROR(INDEX(Processos!$F$8:$F$17,MATCH(C124,Processos!$A$8:$A$17,0)),1)</f>
        <v>1.0840000000000001</v>
      </c>
      <c r="Q124" s="24">
        <f>IFERROR(INDEX(Matriz!$C$28:$C$33,MATCH(G124,Matriz!$A$28:$A$33,0)),0)</f>
        <v>0</v>
      </c>
      <c r="R124" s="25" t="str">
        <f t="shared" si="4"/>
        <v/>
      </c>
      <c r="S124" s="10" t="str">
        <f>IF(R124="","",IF(R124&gt;=Matriz!$C$19,4,IF(R124&gt;=Matriz!$C$18,3,IF(R124&gt;=Matriz!$C$17,2,1))))</f>
        <v/>
      </c>
      <c r="T124" s="9" t="str">
        <f>IF(S124="","",MAX(S124,IF(I124=5,Matriz!$C$23,0),IF(N124="Sim",Matriz!$C$24,0)))</f>
        <v/>
      </c>
      <c r="U124" s="9" t="str">
        <f t="shared" si="5"/>
        <v/>
      </c>
      <c r="V124" s="26" t="str">
        <f t="shared" si="6"/>
        <v/>
      </c>
      <c r="W124" s="10" t="str">
        <f t="shared" si="7"/>
        <v/>
      </c>
      <c r="X124" s="4"/>
      <c r="Y124" s="4"/>
    </row>
    <row r="125" spans="1:25" ht="28.05" hidden="1" customHeight="1" x14ac:dyDescent="0.3">
      <c r="A125" s="20" t="s">
        <v>415</v>
      </c>
      <c r="B125" s="21" t="s">
        <v>416</v>
      </c>
      <c r="C125" s="4" t="s">
        <v>126</v>
      </c>
      <c r="D125" s="4" t="s">
        <v>417</v>
      </c>
      <c r="E125" s="4" t="s">
        <v>385</v>
      </c>
      <c r="F125" s="22">
        <v>46265</v>
      </c>
      <c r="G125" s="23" t="s">
        <v>100</v>
      </c>
      <c r="H125" s="6"/>
      <c r="I125" s="6"/>
      <c r="J125" s="6"/>
      <c r="K125" s="6"/>
      <c r="L125" s="6"/>
      <c r="M125" s="6"/>
      <c r="N125" s="6"/>
      <c r="O125" s="16" t="str">
        <f>IF(COUNT(I125:M125)&lt;5,"",ROUND((I125*Matriz!$C$5+J125*Matriz!$C$6+K125*Matriz!$C$7+L125*Matriz!$C$8+M125*Matriz!$C$9)/SUM(Matriz!$C$5:$C$9),2))</f>
        <v/>
      </c>
      <c r="P125" s="17">
        <f>IFERROR(INDEX(Processos!$F$8:$F$17,MATCH(C125,Processos!$A$8:$A$17,0)),1)</f>
        <v>1.0840000000000001</v>
      </c>
      <c r="Q125" s="24">
        <f>IFERROR(INDEX(Matriz!$C$28:$C$33,MATCH(G125,Matriz!$A$28:$A$33,0)),0)</f>
        <v>0</v>
      </c>
      <c r="R125" s="25" t="str">
        <f t="shared" si="4"/>
        <v/>
      </c>
      <c r="S125" s="10" t="str">
        <f>IF(R125="","",IF(R125&gt;=Matriz!$C$19,4,IF(R125&gt;=Matriz!$C$18,3,IF(R125&gt;=Matriz!$C$17,2,1))))</f>
        <v/>
      </c>
      <c r="T125" s="9" t="str">
        <f>IF(S125="","",MAX(S125,IF(I125=5,Matriz!$C$23,0),IF(N125="Sim",Matriz!$C$24,0)))</f>
        <v/>
      </c>
      <c r="U125" s="9" t="str">
        <f t="shared" si="5"/>
        <v/>
      </c>
      <c r="V125" s="26" t="str">
        <f t="shared" si="6"/>
        <v/>
      </c>
      <c r="W125" s="10" t="str">
        <f t="shared" si="7"/>
        <v/>
      </c>
      <c r="X125" s="4"/>
      <c r="Y125" s="4"/>
    </row>
    <row r="126" spans="1:25" ht="28.05" hidden="1" customHeight="1" x14ac:dyDescent="0.3">
      <c r="A126" s="20" t="s">
        <v>418</v>
      </c>
      <c r="B126" s="21" t="s">
        <v>419</v>
      </c>
      <c r="C126" s="4" t="s">
        <v>126</v>
      </c>
      <c r="D126" s="4" t="s">
        <v>223</v>
      </c>
      <c r="E126" s="4" t="s">
        <v>385</v>
      </c>
      <c r="F126" s="22">
        <v>46295</v>
      </c>
      <c r="G126" s="23" t="s">
        <v>100</v>
      </c>
      <c r="H126" s="6"/>
      <c r="I126" s="6"/>
      <c r="J126" s="6"/>
      <c r="K126" s="6"/>
      <c r="L126" s="6"/>
      <c r="M126" s="6"/>
      <c r="N126" s="6"/>
      <c r="O126" s="16" t="str">
        <f>IF(COUNT(I126:M126)&lt;5,"",ROUND((I126*Matriz!$C$5+J126*Matriz!$C$6+K126*Matriz!$C$7+L126*Matriz!$C$8+M126*Matriz!$C$9)/SUM(Matriz!$C$5:$C$9),2))</f>
        <v/>
      </c>
      <c r="P126" s="17">
        <f>IFERROR(INDEX(Processos!$F$8:$F$17,MATCH(C126,Processos!$A$8:$A$17,0)),1)</f>
        <v>1.0840000000000001</v>
      </c>
      <c r="Q126" s="24">
        <f>IFERROR(INDEX(Matriz!$C$28:$C$33,MATCH(G126,Matriz!$A$28:$A$33,0)),0)</f>
        <v>0</v>
      </c>
      <c r="R126" s="25" t="str">
        <f t="shared" si="4"/>
        <v/>
      </c>
      <c r="S126" s="10" t="str">
        <f>IF(R126="","",IF(R126&gt;=Matriz!$C$19,4,IF(R126&gt;=Matriz!$C$18,3,IF(R126&gt;=Matriz!$C$17,2,1))))</f>
        <v/>
      </c>
      <c r="T126" s="9" t="str">
        <f>IF(S126="","",MAX(S126,IF(I126=5,Matriz!$C$23,0),IF(N126="Sim",Matriz!$C$24,0)))</f>
        <v/>
      </c>
      <c r="U126" s="9" t="str">
        <f t="shared" si="5"/>
        <v/>
      </c>
      <c r="V126" s="26" t="str">
        <f t="shared" si="6"/>
        <v/>
      </c>
      <c r="W126" s="10" t="str">
        <f t="shared" si="7"/>
        <v/>
      </c>
      <c r="X126" s="4"/>
      <c r="Y126" s="4"/>
    </row>
    <row r="127" spans="1:25" ht="28.05" hidden="1" customHeight="1" x14ac:dyDescent="0.3">
      <c r="A127" s="20" t="s">
        <v>420</v>
      </c>
      <c r="B127" s="21" t="s">
        <v>421</v>
      </c>
      <c r="C127" s="4" t="s">
        <v>126</v>
      </c>
      <c r="D127" s="4" t="s">
        <v>223</v>
      </c>
      <c r="E127" s="4" t="s">
        <v>385</v>
      </c>
      <c r="F127" s="22">
        <v>46234</v>
      </c>
      <c r="G127" s="23" t="s">
        <v>100</v>
      </c>
      <c r="H127" s="6"/>
      <c r="I127" s="6"/>
      <c r="J127" s="6"/>
      <c r="K127" s="6"/>
      <c r="L127" s="6"/>
      <c r="M127" s="6"/>
      <c r="N127" s="6"/>
      <c r="O127" s="16" t="str">
        <f>IF(COUNT(I127:M127)&lt;5,"",ROUND((I127*Matriz!$C$5+J127*Matriz!$C$6+K127*Matriz!$C$7+L127*Matriz!$C$8+M127*Matriz!$C$9)/SUM(Matriz!$C$5:$C$9),2))</f>
        <v/>
      </c>
      <c r="P127" s="17">
        <f>IFERROR(INDEX(Processos!$F$8:$F$17,MATCH(C127,Processos!$A$8:$A$17,0)),1)</f>
        <v>1.0840000000000001</v>
      </c>
      <c r="Q127" s="24">
        <f>IFERROR(INDEX(Matriz!$C$28:$C$33,MATCH(G127,Matriz!$A$28:$A$33,0)),0)</f>
        <v>0</v>
      </c>
      <c r="R127" s="25" t="str">
        <f t="shared" si="4"/>
        <v/>
      </c>
      <c r="S127" s="10" t="str">
        <f>IF(R127="","",IF(R127&gt;=Matriz!$C$19,4,IF(R127&gt;=Matriz!$C$18,3,IF(R127&gt;=Matriz!$C$17,2,1))))</f>
        <v/>
      </c>
      <c r="T127" s="9" t="str">
        <f>IF(S127="","",MAX(S127,IF(I127=5,Matriz!$C$23,0),IF(N127="Sim",Matriz!$C$24,0)))</f>
        <v/>
      </c>
      <c r="U127" s="9" t="str">
        <f t="shared" si="5"/>
        <v/>
      </c>
      <c r="V127" s="26" t="str">
        <f t="shared" si="6"/>
        <v/>
      </c>
      <c r="W127" s="10" t="str">
        <f t="shared" si="7"/>
        <v/>
      </c>
      <c r="X127" s="4"/>
      <c r="Y127" s="4"/>
    </row>
    <row r="128" spans="1:25" ht="28.05" hidden="1" customHeight="1" x14ac:dyDescent="0.3">
      <c r="A128" s="20" t="s">
        <v>422</v>
      </c>
      <c r="B128" s="21" t="s">
        <v>423</v>
      </c>
      <c r="C128" s="4" t="s">
        <v>126</v>
      </c>
      <c r="D128" s="4" t="s">
        <v>223</v>
      </c>
      <c r="E128" s="4" t="s">
        <v>385</v>
      </c>
      <c r="F128" s="22">
        <v>46265</v>
      </c>
      <c r="G128" s="23" t="s">
        <v>100</v>
      </c>
      <c r="H128" s="6"/>
      <c r="I128" s="6"/>
      <c r="J128" s="6"/>
      <c r="K128" s="6"/>
      <c r="L128" s="6"/>
      <c r="M128" s="6"/>
      <c r="N128" s="6"/>
      <c r="O128" s="16" t="str">
        <f>IF(COUNT(I128:M128)&lt;5,"",ROUND((I128*Matriz!$C$5+J128*Matriz!$C$6+K128*Matriz!$C$7+L128*Matriz!$C$8+M128*Matriz!$C$9)/SUM(Matriz!$C$5:$C$9),2))</f>
        <v/>
      </c>
      <c r="P128" s="17">
        <f>IFERROR(INDEX(Processos!$F$8:$F$17,MATCH(C128,Processos!$A$8:$A$17,0)),1)</f>
        <v>1.0840000000000001</v>
      </c>
      <c r="Q128" s="24">
        <f>IFERROR(INDEX(Matriz!$C$28:$C$33,MATCH(G128,Matriz!$A$28:$A$33,0)),0)</f>
        <v>0</v>
      </c>
      <c r="R128" s="25" t="str">
        <f t="shared" si="4"/>
        <v/>
      </c>
      <c r="S128" s="10" t="str">
        <f>IF(R128="","",IF(R128&gt;=Matriz!$C$19,4,IF(R128&gt;=Matriz!$C$18,3,IF(R128&gt;=Matriz!$C$17,2,1))))</f>
        <v/>
      </c>
      <c r="T128" s="9" t="str">
        <f>IF(S128="","",MAX(S128,IF(I128=5,Matriz!$C$23,0),IF(N128="Sim",Matriz!$C$24,0)))</f>
        <v/>
      </c>
      <c r="U128" s="9" t="str">
        <f t="shared" si="5"/>
        <v/>
      </c>
      <c r="V128" s="26" t="str">
        <f t="shared" si="6"/>
        <v/>
      </c>
      <c r="W128" s="10" t="str">
        <f t="shared" si="7"/>
        <v/>
      </c>
      <c r="X128" s="4"/>
      <c r="Y128" s="4"/>
    </row>
    <row r="129" spans="1:25" ht="28.05" hidden="1" customHeight="1" x14ac:dyDescent="0.3">
      <c r="A129" s="20" t="s">
        <v>424</v>
      </c>
      <c r="B129" s="21" t="s">
        <v>425</v>
      </c>
      <c r="C129" s="4" t="s">
        <v>126</v>
      </c>
      <c r="D129" s="4" t="s">
        <v>202</v>
      </c>
      <c r="E129" s="4" t="s">
        <v>385</v>
      </c>
      <c r="F129" s="22">
        <v>46234</v>
      </c>
      <c r="G129" s="23" t="s">
        <v>104</v>
      </c>
      <c r="H129" s="6"/>
      <c r="I129" s="6"/>
      <c r="J129" s="6"/>
      <c r="K129" s="6"/>
      <c r="L129" s="6"/>
      <c r="M129" s="6"/>
      <c r="N129" s="6"/>
      <c r="O129" s="16" t="str">
        <f>IF(COUNT(I129:M129)&lt;5,"",ROUND((I129*Matriz!$C$5+J129*Matriz!$C$6+K129*Matriz!$C$7+L129*Matriz!$C$8+M129*Matriz!$C$9)/SUM(Matriz!$C$5:$C$9),2))</f>
        <v/>
      </c>
      <c r="P129" s="17">
        <f>IFERROR(INDEX(Processos!$F$8:$F$17,MATCH(C129,Processos!$A$8:$A$17,0)),1)</f>
        <v>1.0840000000000001</v>
      </c>
      <c r="Q129" s="24">
        <f>IFERROR(INDEX(Matriz!$C$28:$C$33,MATCH(G129,Matriz!$A$28:$A$33,0)),0)</f>
        <v>0</v>
      </c>
      <c r="R129" s="25" t="str">
        <f t="shared" si="4"/>
        <v/>
      </c>
      <c r="S129" s="10" t="str">
        <f>IF(R129="","",IF(R129&gt;=Matriz!$C$19,4,IF(R129&gt;=Matriz!$C$18,3,IF(R129&gt;=Matriz!$C$17,2,1))))</f>
        <v/>
      </c>
      <c r="T129" s="9" t="str">
        <f>IF(S129="","",MAX(S129,IF(I129=5,Matriz!$C$23,0),IF(N129="Sim",Matriz!$C$24,0)))</f>
        <v/>
      </c>
      <c r="U129" s="9" t="str">
        <f t="shared" si="5"/>
        <v/>
      </c>
      <c r="V129" s="26" t="str">
        <f t="shared" si="6"/>
        <v/>
      </c>
      <c r="W129" s="10" t="str">
        <f t="shared" si="7"/>
        <v/>
      </c>
      <c r="X129" s="4"/>
      <c r="Y129" s="4"/>
    </row>
    <row r="130" spans="1:25" ht="28.05" hidden="1" customHeight="1" x14ac:dyDescent="0.3">
      <c r="A130" s="20" t="s">
        <v>426</v>
      </c>
      <c r="B130" s="21" t="s">
        <v>427</v>
      </c>
      <c r="C130" s="4" t="s">
        <v>126</v>
      </c>
      <c r="D130" s="4" t="s">
        <v>242</v>
      </c>
      <c r="E130" s="4" t="s">
        <v>385</v>
      </c>
      <c r="F130" s="22">
        <v>46264</v>
      </c>
      <c r="G130" s="23" t="s">
        <v>104</v>
      </c>
      <c r="H130" s="6"/>
      <c r="I130" s="6"/>
      <c r="J130" s="6"/>
      <c r="K130" s="6"/>
      <c r="L130" s="6"/>
      <c r="M130" s="6"/>
      <c r="N130" s="6"/>
      <c r="O130" s="16" t="str">
        <f>IF(COUNT(I130:M130)&lt;5,"",ROUND((I130*Matriz!$C$5+J130*Matriz!$C$6+K130*Matriz!$C$7+L130*Matriz!$C$8+M130*Matriz!$C$9)/SUM(Matriz!$C$5:$C$9),2))</f>
        <v/>
      </c>
      <c r="P130" s="17">
        <f>IFERROR(INDEX(Processos!$F$8:$F$17,MATCH(C130,Processos!$A$8:$A$17,0)),1)</f>
        <v>1.0840000000000001</v>
      </c>
      <c r="Q130" s="24">
        <f>IFERROR(INDEX(Matriz!$C$28:$C$33,MATCH(G130,Matriz!$A$28:$A$33,0)),0)</f>
        <v>0</v>
      </c>
      <c r="R130" s="25" t="str">
        <f t="shared" si="4"/>
        <v/>
      </c>
      <c r="S130" s="10" t="str">
        <f>IF(R130="","",IF(R130&gt;=Matriz!$C$19,4,IF(R130&gt;=Matriz!$C$18,3,IF(R130&gt;=Matriz!$C$17,2,1))))</f>
        <v/>
      </c>
      <c r="T130" s="9" t="str">
        <f>IF(S130="","",MAX(S130,IF(I130=5,Matriz!$C$23,0),IF(N130="Sim",Matriz!$C$24,0)))</f>
        <v/>
      </c>
      <c r="U130" s="9" t="str">
        <f t="shared" si="5"/>
        <v/>
      </c>
      <c r="V130" s="26" t="str">
        <f t="shared" si="6"/>
        <v/>
      </c>
      <c r="W130" s="10" t="str">
        <f t="shared" si="7"/>
        <v/>
      </c>
      <c r="X130" s="4"/>
      <c r="Y130" s="4"/>
    </row>
    <row r="131" spans="1:25" ht="28.05" hidden="1" customHeight="1" x14ac:dyDescent="0.3">
      <c r="A131" s="20" t="s">
        <v>428</v>
      </c>
      <c r="B131" s="21" t="s">
        <v>429</v>
      </c>
      <c r="C131" s="4" t="s">
        <v>126</v>
      </c>
      <c r="D131" s="4" t="s">
        <v>430</v>
      </c>
      <c r="E131" s="4" t="s">
        <v>385</v>
      </c>
      <c r="F131" s="22">
        <v>46265</v>
      </c>
      <c r="G131" s="23" t="s">
        <v>108</v>
      </c>
      <c r="H131" s="6"/>
      <c r="I131" s="6"/>
      <c r="J131" s="6"/>
      <c r="K131" s="6"/>
      <c r="L131" s="6"/>
      <c r="M131" s="6"/>
      <c r="N131" s="6"/>
      <c r="O131" s="16" t="str">
        <f>IF(COUNT(I131:M131)&lt;5,"",ROUND((I131*Matriz!$C$5+J131*Matriz!$C$6+K131*Matriz!$C$7+L131*Matriz!$C$8+M131*Matriz!$C$9)/SUM(Matriz!$C$5:$C$9),2))</f>
        <v/>
      </c>
      <c r="P131" s="17">
        <f>IFERROR(INDEX(Processos!$F$8:$F$17,MATCH(C131,Processos!$A$8:$A$17,0)),1)</f>
        <v>1.0840000000000001</v>
      </c>
      <c r="Q131" s="24">
        <f>IFERROR(INDEX(Matriz!$C$28:$C$33,MATCH(G131,Matriz!$A$28:$A$33,0)),0)</f>
        <v>-0.3</v>
      </c>
      <c r="R131" s="25" t="str">
        <f t="shared" si="4"/>
        <v/>
      </c>
      <c r="S131" s="10" t="str">
        <f>IF(R131="","",IF(R131&gt;=Matriz!$C$19,4,IF(R131&gt;=Matriz!$C$18,3,IF(R131&gt;=Matriz!$C$17,2,1))))</f>
        <v/>
      </c>
      <c r="T131" s="9" t="str">
        <f>IF(S131="","",MAX(S131,IF(I131=5,Matriz!$C$23,0),IF(N131="Sim",Matriz!$C$24,0)))</f>
        <v/>
      </c>
      <c r="U131" s="9" t="str">
        <f t="shared" si="5"/>
        <v/>
      </c>
      <c r="V131" s="26" t="str">
        <f t="shared" si="6"/>
        <v/>
      </c>
      <c r="W131" s="10" t="str">
        <f t="shared" si="7"/>
        <v/>
      </c>
      <c r="X131" s="4"/>
      <c r="Y131" s="4"/>
    </row>
    <row r="132" spans="1:25" ht="28.05" hidden="1" customHeight="1" x14ac:dyDescent="0.3">
      <c r="A132" s="20" t="s">
        <v>431</v>
      </c>
      <c r="B132" s="21" t="s">
        <v>432</v>
      </c>
      <c r="C132" s="4" t="s">
        <v>126</v>
      </c>
      <c r="D132" s="4" t="s">
        <v>433</v>
      </c>
      <c r="E132" s="4" t="s">
        <v>385</v>
      </c>
      <c r="F132" s="22">
        <v>46265</v>
      </c>
      <c r="G132" s="23" t="s">
        <v>108</v>
      </c>
      <c r="H132" s="6"/>
      <c r="I132" s="6"/>
      <c r="J132" s="6"/>
      <c r="K132" s="6"/>
      <c r="L132" s="6"/>
      <c r="M132" s="6"/>
      <c r="N132" s="6"/>
      <c r="O132" s="16" t="str">
        <f>IF(COUNT(I132:M132)&lt;5,"",ROUND((I132*Matriz!$C$5+J132*Matriz!$C$6+K132*Matriz!$C$7+L132*Matriz!$C$8+M132*Matriz!$C$9)/SUM(Matriz!$C$5:$C$9),2))</f>
        <v/>
      </c>
      <c r="P132" s="17">
        <f>IFERROR(INDEX(Processos!$F$8:$F$17,MATCH(C132,Processos!$A$8:$A$17,0)),1)</f>
        <v>1.0840000000000001</v>
      </c>
      <c r="Q132" s="24">
        <f>IFERROR(INDEX(Matriz!$C$28:$C$33,MATCH(G132,Matriz!$A$28:$A$33,0)),0)</f>
        <v>-0.3</v>
      </c>
      <c r="R132" s="25" t="str">
        <f t="shared" si="4"/>
        <v/>
      </c>
      <c r="S132" s="10" t="str">
        <f>IF(R132="","",IF(R132&gt;=Matriz!$C$19,4,IF(R132&gt;=Matriz!$C$18,3,IF(R132&gt;=Matriz!$C$17,2,1))))</f>
        <v/>
      </c>
      <c r="T132" s="9" t="str">
        <f>IF(S132="","",MAX(S132,IF(I132=5,Matriz!$C$23,0),IF(N132="Sim",Matriz!$C$24,0)))</f>
        <v/>
      </c>
      <c r="U132" s="9" t="str">
        <f t="shared" si="5"/>
        <v/>
      </c>
      <c r="V132" s="26" t="str">
        <f t="shared" si="6"/>
        <v/>
      </c>
      <c r="W132" s="10" t="str">
        <f t="shared" si="7"/>
        <v/>
      </c>
      <c r="X132" s="4"/>
      <c r="Y132" s="4"/>
    </row>
    <row r="133" spans="1:25" ht="28.05" hidden="1" customHeight="1" x14ac:dyDescent="0.3">
      <c r="A133" s="20" t="s">
        <v>434</v>
      </c>
      <c r="B133" s="21" t="s">
        <v>435</v>
      </c>
      <c r="C133" s="4" t="s">
        <v>126</v>
      </c>
      <c r="D133" s="4" t="s">
        <v>433</v>
      </c>
      <c r="E133" s="4" t="s">
        <v>385</v>
      </c>
      <c r="F133" s="22">
        <v>46265</v>
      </c>
      <c r="G133" s="23" t="s">
        <v>108</v>
      </c>
      <c r="H133" s="6"/>
      <c r="I133" s="6"/>
      <c r="J133" s="6"/>
      <c r="K133" s="6"/>
      <c r="L133" s="6"/>
      <c r="M133" s="6"/>
      <c r="N133" s="6"/>
      <c r="O133" s="16" t="str">
        <f>IF(COUNT(I133:M133)&lt;5,"",ROUND((I133*Matriz!$C$5+J133*Matriz!$C$6+K133*Matriz!$C$7+L133*Matriz!$C$8+M133*Matriz!$C$9)/SUM(Matriz!$C$5:$C$9),2))</f>
        <v/>
      </c>
      <c r="P133" s="17">
        <f>IFERROR(INDEX(Processos!$F$8:$F$17,MATCH(C133,Processos!$A$8:$A$17,0)),1)</f>
        <v>1.0840000000000001</v>
      </c>
      <c r="Q133" s="24">
        <f>IFERROR(INDEX(Matriz!$C$28:$C$33,MATCH(G133,Matriz!$A$28:$A$33,0)),0)</f>
        <v>-0.3</v>
      </c>
      <c r="R133" s="25" t="str">
        <f t="shared" ref="R133:R196" si="8">IF(O133="","",ROUND(O133*P133+Q133,2))</f>
        <v/>
      </c>
      <c r="S133" s="10" t="str">
        <f>IF(R133="","",IF(R133&gt;=Matriz!$C$19,4,IF(R133&gt;=Matriz!$C$18,3,IF(R133&gt;=Matriz!$C$17,2,1))))</f>
        <v/>
      </c>
      <c r="T133" s="9" t="str">
        <f>IF(S133="","",MAX(S133,IF(I133=5,Matriz!$C$23,0),IF(N133="Sim",Matriz!$C$24,0)))</f>
        <v/>
      </c>
      <c r="U133" s="9" t="str">
        <f t="shared" ref="U133:U196" si="9">IF(T133="","",CHOOSE(T133,"Baixa","Normal","Alta","Urgente"))</f>
        <v/>
      </c>
      <c r="V133" s="26" t="str">
        <f t="shared" ref="V133:V196" si="10">IF(T133="","",T133*1000+R133*10-IF(H133="",3,H133)/10-ROW()/1000000)</f>
        <v/>
      </c>
      <c r="W133" s="10" t="str">
        <f t="shared" ref="W133:W196" si="11">IF(V133="","",COUNTIF($V$5:$V$405,"&gt;"&amp;V133)+1)</f>
        <v/>
      </c>
      <c r="X133" s="4"/>
      <c r="Y133" s="4"/>
    </row>
    <row r="134" spans="1:25" ht="28.05" hidden="1" customHeight="1" x14ac:dyDescent="0.3">
      <c r="A134" s="20" t="s">
        <v>436</v>
      </c>
      <c r="B134" s="21" t="s">
        <v>437</v>
      </c>
      <c r="C134" s="4" t="s">
        <v>126</v>
      </c>
      <c r="D134" s="4" t="s">
        <v>402</v>
      </c>
      <c r="E134" s="4" t="s">
        <v>385</v>
      </c>
      <c r="F134" s="22">
        <v>46265</v>
      </c>
      <c r="G134" s="23" t="s">
        <v>108</v>
      </c>
      <c r="H134" s="6"/>
      <c r="I134" s="6"/>
      <c r="J134" s="6"/>
      <c r="K134" s="6"/>
      <c r="L134" s="6"/>
      <c r="M134" s="6"/>
      <c r="N134" s="6"/>
      <c r="O134" s="16" t="str">
        <f>IF(COUNT(I134:M134)&lt;5,"",ROUND((I134*Matriz!$C$5+J134*Matriz!$C$6+K134*Matriz!$C$7+L134*Matriz!$C$8+M134*Matriz!$C$9)/SUM(Matriz!$C$5:$C$9),2))</f>
        <v/>
      </c>
      <c r="P134" s="17">
        <f>IFERROR(INDEX(Processos!$F$8:$F$17,MATCH(C134,Processos!$A$8:$A$17,0)),1)</f>
        <v>1.0840000000000001</v>
      </c>
      <c r="Q134" s="24">
        <f>IFERROR(INDEX(Matriz!$C$28:$C$33,MATCH(G134,Matriz!$A$28:$A$33,0)),0)</f>
        <v>-0.3</v>
      </c>
      <c r="R134" s="25" t="str">
        <f t="shared" si="8"/>
        <v/>
      </c>
      <c r="S134" s="10" t="str">
        <f>IF(R134="","",IF(R134&gt;=Matriz!$C$19,4,IF(R134&gt;=Matriz!$C$18,3,IF(R134&gt;=Matriz!$C$17,2,1))))</f>
        <v/>
      </c>
      <c r="T134" s="9" t="str">
        <f>IF(S134="","",MAX(S134,IF(I134=5,Matriz!$C$23,0),IF(N134="Sim",Matriz!$C$24,0)))</f>
        <v/>
      </c>
      <c r="U134" s="9" t="str">
        <f t="shared" si="9"/>
        <v/>
      </c>
      <c r="V134" s="26" t="str">
        <f t="shared" si="10"/>
        <v/>
      </c>
      <c r="W134" s="10" t="str">
        <f t="shared" si="11"/>
        <v/>
      </c>
      <c r="X134" s="4"/>
      <c r="Y134" s="4"/>
    </row>
    <row r="135" spans="1:25" ht="28.05" hidden="1" customHeight="1" x14ac:dyDescent="0.3">
      <c r="A135" s="20" t="s">
        <v>438</v>
      </c>
      <c r="B135" s="21" t="s">
        <v>439</v>
      </c>
      <c r="C135" s="4" t="s">
        <v>126</v>
      </c>
      <c r="D135" s="4" t="s">
        <v>402</v>
      </c>
      <c r="E135" s="4" t="s">
        <v>385</v>
      </c>
      <c r="F135" s="22">
        <v>46265</v>
      </c>
      <c r="G135" s="23" t="s">
        <v>108</v>
      </c>
      <c r="H135" s="6"/>
      <c r="I135" s="6"/>
      <c r="J135" s="6"/>
      <c r="K135" s="6"/>
      <c r="L135" s="6"/>
      <c r="M135" s="6"/>
      <c r="N135" s="6"/>
      <c r="O135" s="16" t="str">
        <f>IF(COUNT(I135:M135)&lt;5,"",ROUND((I135*Matriz!$C$5+J135*Matriz!$C$6+K135*Matriz!$C$7+L135*Matriz!$C$8+M135*Matriz!$C$9)/SUM(Matriz!$C$5:$C$9),2))</f>
        <v/>
      </c>
      <c r="P135" s="17">
        <f>IFERROR(INDEX(Processos!$F$8:$F$17,MATCH(C135,Processos!$A$8:$A$17,0)),1)</f>
        <v>1.0840000000000001</v>
      </c>
      <c r="Q135" s="24">
        <f>IFERROR(INDEX(Matriz!$C$28:$C$33,MATCH(G135,Matriz!$A$28:$A$33,0)),0)</f>
        <v>-0.3</v>
      </c>
      <c r="R135" s="25" t="str">
        <f t="shared" si="8"/>
        <v/>
      </c>
      <c r="S135" s="10" t="str">
        <f>IF(R135="","",IF(R135&gt;=Matriz!$C$19,4,IF(R135&gt;=Matriz!$C$18,3,IF(R135&gt;=Matriz!$C$17,2,1))))</f>
        <v/>
      </c>
      <c r="T135" s="9" t="str">
        <f>IF(S135="","",MAX(S135,IF(I135=5,Matriz!$C$23,0),IF(N135="Sim",Matriz!$C$24,0)))</f>
        <v/>
      </c>
      <c r="U135" s="9" t="str">
        <f t="shared" si="9"/>
        <v/>
      </c>
      <c r="V135" s="26" t="str">
        <f t="shared" si="10"/>
        <v/>
      </c>
      <c r="W135" s="10" t="str">
        <f t="shared" si="11"/>
        <v/>
      </c>
      <c r="X135" s="4"/>
      <c r="Y135" s="4"/>
    </row>
    <row r="136" spans="1:25" ht="28.05" hidden="1" customHeight="1" x14ac:dyDescent="0.3">
      <c r="A136" s="20" t="s">
        <v>440</v>
      </c>
      <c r="B136" s="21" t="s">
        <v>441</v>
      </c>
      <c r="C136" s="4" t="s">
        <v>126</v>
      </c>
      <c r="D136" s="4" t="s">
        <v>402</v>
      </c>
      <c r="E136" s="4" t="s">
        <v>385</v>
      </c>
      <c r="F136" s="22">
        <v>46265</v>
      </c>
      <c r="G136" s="23" t="s">
        <v>108</v>
      </c>
      <c r="H136" s="6"/>
      <c r="I136" s="6"/>
      <c r="J136" s="6"/>
      <c r="K136" s="6"/>
      <c r="L136" s="6"/>
      <c r="M136" s="6"/>
      <c r="N136" s="6"/>
      <c r="O136" s="16" t="str">
        <f>IF(COUNT(I136:M136)&lt;5,"",ROUND((I136*Matriz!$C$5+J136*Matriz!$C$6+K136*Matriz!$C$7+L136*Matriz!$C$8+M136*Matriz!$C$9)/SUM(Matriz!$C$5:$C$9),2))</f>
        <v/>
      </c>
      <c r="P136" s="17">
        <f>IFERROR(INDEX(Processos!$F$8:$F$17,MATCH(C136,Processos!$A$8:$A$17,0)),1)</f>
        <v>1.0840000000000001</v>
      </c>
      <c r="Q136" s="24">
        <f>IFERROR(INDEX(Matriz!$C$28:$C$33,MATCH(G136,Matriz!$A$28:$A$33,0)),0)</f>
        <v>-0.3</v>
      </c>
      <c r="R136" s="25" t="str">
        <f t="shared" si="8"/>
        <v/>
      </c>
      <c r="S136" s="10" t="str">
        <f>IF(R136="","",IF(R136&gt;=Matriz!$C$19,4,IF(R136&gt;=Matriz!$C$18,3,IF(R136&gt;=Matriz!$C$17,2,1))))</f>
        <v/>
      </c>
      <c r="T136" s="9" t="str">
        <f>IF(S136="","",MAX(S136,IF(I136=5,Matriz!$C$23,0),IF(N136="Sim",Matriz!$C$24,0)))</f>
        <v/>
      </c>
      <c r="U136" s="9" t="str">
        <f t="shared" si="9"/>
        <v/>
      </c>
      <c r="V136" s="26" t="str">
        <f t="shared" si="10"/>
        <v/>
      </c>
      <c r="W136" s="10" t="str">
        <f t="shared" si="11"/>
        <v/>
      </c>
      <c r="X136" s="4"/>
      <c r="Y136" s="4"/>
    </row>
    <row r="137" spans="1:25" ht="28.05" hidden="1" customHeight="1" x14ac:dyDescent="0.3">
      <c r="A137" s="20" t="s">
        <v>442</v>
      </c>
      <c r="B137" s="21" t="s">
        <v>443</v>
      </c>
      <c r="C137" s="4" t="s">
        <v>126</v>
      </c>
      <c r="D137" s="4" t="s">
        <v>402</v>
      </c>
      <c r="E137" s="4" t="s">
        <v>385</v>
      </c>
      <c r="F137" s="22">
        <v>46265</v>
      </c>
      <c r="G137" s="23" t="s">
        <v>108</v>
      </c>
      <c r="H137" s="6"/>
      <c r="I137" s="6"/>
      <c r="J137" s="6"/>
      <c r="K137" s="6"/>
      <c r="L137" s="6"/>
      <c r="M137" s="6"/>
      <c r="N137" s="6"/>
      <c r="O137" s="16" t="str">
        <f>IF(COUNT(I137:M137)&lt;5,"",ROUND((I137*Matriz!$C$5+J137*Matriz!$C$6+K137*Matriz!$C$7+L137*Matriz!$C$8+M137*Matriz!$C$9)/SUM(Matriz!$C$5:$C$9),2))</f>
        <v/>
      </c>
      <c r="P137" s="17">
        <f>IFERROR(INDEX(Processos!$F$8:$F$17,MATCH(C137,Processos!$A$8:$A$17,0)),1)</f>
        <v>1.0840000000000001</v>
      </c>
      <c r="Q137" s="24">
        <f>IFERROR(INDEX(Matriz!$C$28:$C$33,MATCH(G137,Matriz!$A$28:$A$33,0)),0)</f>
        <v>-0.3</v>
      </c>
      <c r="R137" s="25" t="str">
        <f t="shared" si="8"/>
        <v/>
      </c>
      <c r="S137" s="10" t="str">
        <f>IF(R137="","",IF(R137&gt;=Matriz!$C$19,4,IF(R137&gt;=Matriz!$C$18,3,IF(R137&gt;=Matriz!$C$17,2,1))))</f>
        <v/>
      </c>
      <c r="T137" s="9" t="str">
        <f>IF(S137="","",MAX(S137,IF(I137=5,Matriz!$C$23,0),IF(N137="Sim",Matriz!$C$24,0)))</f>
        <v/>
      </c>
      <c r="U137" s="9" t="str">
        <f t="shared" si="9"/>
        <v/>
      </c>
      <c r="V137" s="26" t="str">
        <f t="shared" si="10"/>
        <v/>
      </c>
      <c r="W137" s="10" t="str">
        <f t="shared" si="11"/>
        <v/>
      </c>
      <c r="X137" s="4"/>
      <c r="Y137" s="4"/>
    </row>
    <row r="138" spans="1:25" ht="28.05" hidden="1" customHeight="1" x14ac:dyDescent="0.3">
      <c r="A138" s="20" t="s">
        <v>444</v>
      </c>
      <c r="B138" s="21" t="s">
        <v>445</v>
      </c>
      <c r="C138" s="4" t="s">
        <v>126</v>
      </c>
      <c r="D138" s="4" t="s">
        <v>223</v>
      </c>
      <c r="E138" s="4" t="s">
        <v>385</v>
      </c>
      <c r="F138" s="22">
        <v>46295</v>
      </c>
      <c r="G138" s="23" t="s">
        <v>104</v>
      </c>
      <c r="H138" s="6"/>
      <c r="I138" s="6"/>
      <c r="J138" s="6"/>
      <c r="K138" s="6"/>
      <c r="L138" s="6"/>
      <c r="M138" s="6"/>
      <c r="N138" s="6"/>
      <c r="O138" s="16" t="str">
        <f>IF(COUNT(I138:M138)&lt;5,"",ROUND((I138*Matriz!$C$5+J138*Matriz!$C$6+K138*Matriz!$C$7+L138*Matriz!$C$8+M138*Matriz!$C$9)/SUM(Matriz!$C$5:$C$9),2))</f>
        <v/>
      </c>
      <c r="P138" s="17">
        <f>IFERROR(INDEX(Processos!$F$8:$F$17,MATCH(C138,Processos!$A$8:$A$17,0)),1)</f>
        <v>1.0840000000000001</v>
      </c>
      <c r="Q138" s="24">
        <f>IFERROR(INDEX(Matriz!$C$28:$C$33,MATCH(G138,Matriz!$A$28:$A$33,0)),0)</f>
        <v>0</v>
      </c>
      <c r="R138" s="25" t="str">
        <f t="shared" si="8"/>
        <v/>
      </c>
      <c r="S138" s="10" t="str">
        <f>IF(R138="","",IF(R138&gt;=Matriz!$C$19,4,IF(R138&gt;=Matriz!$C$18,3,IF(R138&gt;=Matriz!$C$17,2,1))))</f>
        <v/>
      </c>
      <c r="T138" s="9" t="str">
        <f>IF(S138="","",MAX(S138,IF(I138=5,Matriz!$C$23,0),IF(N138="Sim",Matriz!$C$24,0)))</f>
        <v/>
      </c>
      <c r="U138" s="9" t="str">
        <f t="shared" si="9"/>
        <v/>
      </c>
      <c r="V138" s="26" t="str">
        <f t="shared" si="10"/>
        <v/>
      </c>
      <c r="W138" s="10" t="str">
        <f t="shared" si="11"/>
        <v/>
      </c>
      <c r="X138" s="4"/>
      <c r="Y138" s="4"/>
    </row>
    <row r="139" spans="1:25" ht="28.05" hidden="1" customHeight="1" x14ac:dyDescent="0.3">
      <c r="A139" s="20" t="s">
        <v>446</v>
      </c>
      <c r="B139" s="21" t="s">
        <v>447</v>
      </c>
      <c r="C139" s="4" t="s">
        <v>126</v>
      </c>
      <c r="D139" s="4" t="s">
        <v>223</v>
      </c>
      <c r="E139" s="4" t="s">
        <v>385</v>
      </c>
      <c r="F139" s="22">
        <v>46295</v>
      </c>
      <c r="G139" s="23" t="s">
        <v>104</v>
      </c>
      <c r="H139" s="6"/>
      <c r="I139" s="6"/>
      <c r="J139" s="6"/>
      <c r="K139" s="6"/>
      <c r="L139" s="6"/>
      <c r="M139" s="6"/>
      <c r="N139" s="6"/>
      <c r="O139" s="16" t="str">
        <f>IF(COUNT(I139:M139)&lt;5,"",ROUND((I139*Matriz!$C$5+J139*Matriz!$C$6+K139*Matriz!$C$7+L139*Matriz!$C$8+M139*Matriz!$C$9)/SUM(Matriz!$C$5:$C$9),2))</f>
        <v/>
      </c>
      <c r="P139" s="17">
        <f>IFERROR(INDEX(Processos!$F$8:$F$17,MATCH(C139,Processos!$A$8:$A$17,0)),1)</f>
        <v>1.0840000000000001</v>
      </c>
      <c r="Q139" s="24">
        <f>IFERROR(INDEX(Matriz!$C$28:$C$33,MATCH(G139,Matriz!$A$28:$A$33,0)),0)</f>
        <v>0</v>
      </c>
      <c r="R139" s="25" t="str">
        <f t="shared" si="8"/>
        <v/>
      </c>
      <c r="S139" s="10" t="str">
        <f>IF(R139="","",IF(R139&gt;=Matriz!$C$19,4,IF(R139&gt;=Matriz!$C$18,3,IF(R139&gt;=Matriz!$C$17,2,1))))</f>
        <v/>
      </c>
      <c r="T139" s="9" t="str">
        <f>IF(S139="","",MAX(S139,IF(I139=5,Matriz!$C$23,0),IF(N139="Sim",Matriz!$C$24,0)))</f>
        <v/>
      </c>
      <c r="U139" s="9" t="str">
        <f t="shared" si="9"/>
        <v/>
      </c>
      <c r="V139" s="26" t="str">
        <f t="shared" si="10"/>
        <v/>
      </c>
      <c r="W139" s="10" t="str">
        <f t="shared" si="11"/>
        <v/>
      </c>
      <c r="X139" s="4"/>
      <c r="Y139" s="4"/>
    </row>
    <row r="140" spans="1:25" ht="28.05" hidden="1" customHeight="1" x14ac:dyDescent="0.3">
      <c r="A140" s="20" t="s">
        <v>448</v>
      </c>
      <c r="B140" s="21" t="s">
        <v>449</v>
      </c>
      <c r="C140" s="4" t="s">
        <v>126</v>
      </c>
      <c r="D140" s="4" t="s">
        <v>402</v>
      </c>
      <c r="E140" s="4" t="s">
        <v>385</v>
      </c>
      <c r="F140" s="22">
        <v>46142</v>
      </c>
      <c r="G140" s="23" t="s">
        <v>104</v>
      </c>
      <c r="H140" s="6"/>
      <c r="I140" s="6"/>
      <c r="J140" s="6"/>
      <c r="K140" s="6"/>
      <c r="L140" s="6"/>
      <c r="M140" s="6"/>
      <c r="N140" s="6"/>
      <c r="O140" s="16" t="str">
        <f>IF(COUNT(I140:M140)&lt;5,"",ROUND((I140*Matriz!$C$5+J140*Matriz!$C$6+K140*Matriz!$C$7+L140*Matriz!$C$8+M140*Matriz!$C$9)/SUM(Matriz!$C$5:$C$9),2))</f>
        <v/>
      </c>
      <c r="P140" s="17">
        <f>IFERROR(INDEX(Processos!$F$8:$F$17,MATCH(C140,Processos!$A$8:$A$17,0)),1)</f>
        <v>1.0840000000000001</v>
      </c>
      <c r="Q140" s="24">
        <f>IFERROR(INDEX(Matriz!$C$28:$C$33,MATCH(G140,Matriz!$A$28:$A$33,0)),0)</f>
        <v>0</v>
      </c>
      <c r="R140" s="25" t="str">
        <f t="shared" si="8"/>
        <v/>
      </c>
      <c r="S140" s="10" t="str">
        <f>IF(R140="","",IF(R140&gt;=Matriz!$C$19,4,IF(R140&gt;=Matriz!$C$18,3,IF(R140&gt;=Matriz!$C$17,2,1))))</f>
        <v/>
      </c>
      <c r="T140" s="9" t="str">
        <f>IF(S140="","",MAX(S140,IF(I140=5,Matriz!$C$23,0),IF(N140="Sim",Matriz!$C$24,0)))</f>
        <v/>
      </c>
      <c r="U140" s="9" t="str">
        <f t="shared" si="9"/>
        <v/>
      </c>
      <c r="V140" s="26" t="str">
        <f t="shared" si="10"/>
        <v/>
      </c>
      <c r="W140" s="10" t="str">
        <f t="shared" si="11"/>
        <v/>
      </c>
      <c r="X140" s="4"/>
      <c r="Y140" s="4"/>
    </row>
    <row r="141" spans="1:25" ht="28.05" hidden="1" customHeight="1" x14ac:dyDescent="0.3">
      <c r="A141" s="20" t="s">
        <v>450</v>
      </c>
      <c r="B141" s="21" t="s">
        <v>451</v>
      </c>
      <c r="C141" s="4" t="s">
        <v>126</v>
      </c>
      <c r="D141" s="4" t="s">
        <v>402</v>
      </c>
      <c r="E141" s="4" t="s">
        <v>385</v>
      </c>
      <c r="F141" s="22">
        <v>46234</v>
      </c>
      <c r="G141" s="23" t="s">
        <v>104</v>
      </c>
      <c r="H141" s="6"/>
      <c r="I141" s="6"/>
      <c r="J141" s="6"/>
      <c r="K141" s="6"/>
      <c r="L141" s="6"/>
      <c r="M141" s="6"/>
      <c r="N141" s="6"/>
      <c r="O141" s="16" t="str">
        <f>IF(COUNT(I141:M141)&lt;5,"",ROUND((I141*Matriz!$C$5+J141*Matriz!$C$6+K141*Matriz!$C$7+L141*Matriz!$C$8+M141*Matriz!$C$9)/SUM(Matriz!$C$5:$C$9),2))</f>
        <v/>
      </c>
      <c r="P141" s="17">
        <f>IFERROR(INDEX(Processos!$F$8:$F$17,MATCH(C141,Processos!$A$8:$A$17,0)),1)</f>
        <v>1.0840000000000001</v>
      </c>
      <c r="Q141" s="24">
        <f>IFERROR(INDEX(Matriz!$C$28:$C$33,MATCH(G141,Matriz!$A$28:$A$33,0)),0)</f>
        <v>0</v>
      </c>
      <c r="R141" s="25" t="str">
        <f t="shared" si="8"/>
        <v/>
      </c>
      <c r="S141" s="10" t="str">
        <f>IF(R141="","",IF(R141&gt;=Matriz!$C$19,4,IF(R141&gt;=Matriz!$C$18,3,IF(R141&gt;=Matriz!$C$17,2,1))))</f>
        <v/>
      </c>
      <c r="T141" s="9" t="str">
        <f>IF(S141="","",MAX(S141,IF(I141=5,Matriz!$C$23,0),IF(N141="Sim",Matriz!$C$24,0)))</f>
        <v/>
      </c>
      <c r="U141" s="9" t="str">
        <f t="shared" si="9"/>
        <v/>
      </c>
      <c r="V141" s="26" t="str">
        <f t="shared" si="10"/>
        <v/>
      </c>
      <c r="W141" s="10" t="str">
        <f t="shared" si="11"/>
        <v/>
      </c>
      <c r="X141" s="4"/>
      <c r="Y141" s="4"/>
    </row>
    <row r="142" spans="1:25" ht="28.05" hidden="1" customHeight="1" x14ac:dyDescent="0.3">
      <c r="A142" s="20" t="s">
        <v>452</v>
      </c>
      <c r="B142" s="21" t="s">
        <v>453</v>
      </c>
      <c r="C142" s="4" t="s">
        <v>126</v>
      </c>
      <c r="D142" s="4" t="s">
        <v>402</v>
      </c>
      <c r="E142" s="4" t="s">
        <v>385</v>
      </c>
      <c r="F142" s="22">
        <v>46295</v>
      </c>
      <c r="G142" s="23" t="s">
        <v>104</v>
      </c>
      <c r="H142" s="6"/>
      <c r="I142" s="6"/>
      <c r="J142" s="6"/>
      <c r="K142" s="6"/>
      <c r="L142" s="6"/>
      <c r="M142" s="6"/>
      <c r="N142" s="6"/>
      <c r="O142" s="16" t="str">
        <f>IF(COUNT(I142:M142)&lt;5,"",ROUND((I142*Matriz!$C$5+J142*Matriz!$C$6+K142*Matriz!$C$7+L142*Matriz!$C$8+M142*Matriz!$C$9)/SUM(Matriz!$C$5:$C$9),2))</f>
        <v/>
      </c>
      <c r="P142" s="17">
        <f>IFERROR(INDEX(Processos!$F$8:$F$17,MATCH(C142,Processos!$A$8:$A$17,0)),1)</f>
        <v>1.0840000000000001</v>
      </c>
      <c r="Q142" s="24">
        <f>IFERROR(INDEX(Matriz!$C$28:$C$33,MATCH(G142,Matriz!$A$28:$A$33,0)),0)</f>
        <v>0</v>
      </c>
      <c r="R142" s="25" t="str">
        <f t="shared" si="8"/>
        <v/>
      </c>
      <c r="S142" s="10" t="str">
        <f>IF(R142="","",IF(R142&gt;=Matriz!$C$19,4,IF(R142&gt;=Matriz!$C$18,3,IF(R142&gt;=Matriz!$C$17,2,1))))</f>
        <v/>
      </c>
      <c r="T142" s="9" t="str">
        <f>IF(S142="","",MAX(S142,IF(I142=5,Matriz!$C$23,0),IF(N142="Sim",Matriz!$C$24,0)))</f>
        <v/>
      </c>
      <c r="U142" s="9" t="str">
        <f t="shared" si="9"/>
        <v/>
      </c>
      <c r="V142" s="26" t="str">
        <f t="shared" si="10"/>
        <v/>
      </c>
      <c r="W142" s="10" t="str">
        <f t="shared" si="11"/>
        <v/>
      </c>
      <c r="X142" s="4"/>
      <c r="Y142" s="4"/>
    </row>
    <row r="143" spans="1:25" ht="28.05" hidden="1" customHeight="1" x14ac:dyDescent="0.3">
      <c r="A143" s="20" t="s">
        <v>454</v>
      </c>
      <c r="B143" s="21" t="s">
        <v>455</v>
      </c>
      <c r="C143" s="4" t="s">
        <v>126</v>
      </c>
      <c r="D143" s="4" t="s">
        <v>456</v>
      </c>
      <c r="E143" s="4" t="s">
        <v>385</v>
      </c>
      <c r="F143" s="22">
        <v>46295</v>
      </c>
      <c r="G143" s="23" t="s">
        <v>102</v>
      </c>
      <c r="H143" s="6"/>
      <c r="I143" s="6"/>
      <c r="J143" s="6"/>
      <c r="K143" s="6"/>
      <c r="L143" s="6"/>
      <c r="M143" s="6"/>
      <c r="N143" s="6"/>
      <c r="O143" s="16" t="str">
        <f>IF(COUNT(I143:M143)&lt;5,"",ROUND((I143*Matriz!$C$5+J143*Matriz!$C$6+K143*Matriz!$C$7+L143*Matriz!$C$8+M143*Matriz!$C$9)/SUM(Matriz!$C$5:$C$9),2))</f>
        <v/>
      </c>
      <c r="P143" s="17">
        <f>IFERROR(INDEX(Processos!$F$8:$F$17,MATCH(C143,Processos!$A$8:$A$17,0)),1)</f>
        <v>1.0840000000000001</v>
      </c>
      <c r="Q143" s="24">
        <f>IFERROR(INDEX(Matriz!$C$28:$C$33,MATCH(G143,Matriz!$A$28:$A$33,0)),0)</f>
        <v>0</v>
      </c>
      <c r="R143" s="25" t="str">
        <f t="shared" si="8"/>
        <v/>
      </c>
      <c r="S143" s="10" t="str">
        <f>IF(R143="","",IF(R143&gt;=Matriz!$C$19,4,IF(R143&gt;=Matriz!$C$18,3,IF(R143&gt;=Matriz!$C$17,2,1))))</f>
        <v/>
      </c>
      <c r="T143" s="9" t="str">
        <f>IF(S143="","",MAX(S143,IF(I143=5,Matriz!$C$23,0),IF(N143="Sim",Matriz!$C$24,0)))</f>
        <v/>
      </c>
      <c r="U143" s="9" t="str">
        <f t="shared" si="9"/>
        <v/>
      </c>
      <c r="V143" s="26" t="str">
        <f t="shared" si="10"/>
        <v/>
      </c>
      <c r="W143" s="10" t="str">
        <f t="shared" si="11"/>
        <v/>
      </c>
      <c r="X143" s="4"/>
      <c r="Y143" s="4"/>
    </row>
    <row r="144" spans="1:25" ht="28.05" hidden="1" customHeight="1" x14ac:dyDescent="0.3">
      <c r="A144" s="20" t="s">
        <v>457</v>
      </c>
      <c r="B144" s="21" t="s">
        <v>458</v>
      </c>
      <c r="C144" s="4" t="s">
        <v>126</v>
      </c>
      <c r="D144" s="4" t="s">
        <v>223</v>
      </c>
      <c r="E144" s="4" t="s">
        <v>385</v>
      </c>
      <c r="F144" s="22">
        <v>46295</v>
      </c>
      <c r="G144" s="23" t="s">
        <v>104</v>
      </c>
      <c r="H144" s="6"/>
      <c r="I144" s="6"/>
      <c r="J144" s="6"/>
      <c r="K144" s="6"/>
      <c r="L144" s="6"/>
      <c r="M144" s="6"/>
      <c r="N144" s="6"/>
      <c r="O144" s="16" t="str">
        <f>IF(COUNT(I144:M144)&lt;5,"",ROUND((I144*Matriz!$C$5+J144*Matriz!$C$6+K144*Matriz!$C$7+L144*Matriz!$C$8+M144*Matriz!$C$9)/SUM(Matriz!$C$5:$C$9),2))</f>
        <v/>
      </c>
      <c r="P144" s="17">
        <f>IFERROR(INDEX(Processos!$F$8:$F$17,MATCH(C144,Processos!$A$8:$A$17,0)),1)</f>
        <v>1.0840000000000001</v>
      </c>
      <c r="Q144" s="24">
        <f>IFERROR(INDEX(Matriz!$C$28:$C$33,MATCH(G144,Matriz!$A$28:$A$33,0)),0)</f>
        <v>0</v>
      </c>
      <c r="R144" s="25" t="str">
        <f t="shared" si="8"/>
        <v/>
      </c>
      <c r="S144" s="10" t="str">
        <f>IF(R144="","",IF(R144&gt;=Matriz!$C$19,4,IF(R144&gt;=Matriz!$C$18,3,IF(R144&gt;=Matriz!$C$17,2,1))))</f>
        <v/>
      </c>
      <c r="T144" s="9" t="str">
        <f>IF(S144="","",MAX(S144,IF(I144=5,Matriz!$C$23,0),IF(N144="Sim",Matriz!$C$24,0)))</f>
        <v/>
      </c>
      <c r="U144" s="9" t="str">
        <f t="shared" si="9"/>
        <v/>
      </c>
      <c r="V144" s="26" t="str">
        <f t="shared" si="10"/>
        <v/>
      </c>
      <c r="W144" s="10" t="str">
        <f t="shared" si="11"/>
        <v/>
      </c>
      <c r="X144" s="4"/>
      <c r="Y144" s="4"/>
    </row>
    <row r="145" spans="1:25" ht="28.05" hidden="1" customHeight="1" x14ac:dyDescent="0.3">
      <c r="A145" s="20" t="s">
        <v>459</v>
      </c>
      <c r="B145" s="21" t="s">
        <v>460</v>
      </c>
      <c r="C145" s="4" t="s">
        <v>126</v>
      </c>
      <c r="D145" s="4" t="s">
        <v>433</v>
      </c>
      <c r="E145" s="4" t="s">
        <v>186</v>
      </c>
      <c r="F145" s="22">
        <v>46356</v>
      </c>
      <c r="G145" s="23" t="s">
        <v>104</v>
      </c>
      <c r="H145" s="6"/>
      <c r="I145" s="6"/>
      <c r="J145" s="6"/>
      <c r="K145" s="6"/>
      <c r="L145" s="6"/>
      <c r="M145" s="6"/>
      <c r="N145" s="6"/>
      <c r="O145" s="16" t="str">
        <f>IF(COUNT(I145:M145)&lt;5,"",ROUND((I145*Matriz!$C$5+J145*Matriz!$C$6+K145*Matriz!$C$7+L145*Matriz!$C$8+M145*Matriz!$C$9)/SUM(Matriz!$C$5:$C$9),2))</f>
        <v/>
      </c>
      <c r="P145" s="17">
        <f>IFERROR(INDEX(Processos!$F$8:$F$17,MATCH(C145,Processos!$A$8:$A$17,0)),1)</f>
        <v>1.0840000000000001</v>
      </c>
      <c r="Q145" s="24">
        <f>IFERROR(INDEX(Matriz!$C$28:$C$33,MATCH(G145,Matriz!$A$28:$A$33,0)),0)</f>
        <v>0</v>
      </c>
      <c r="R145" s="25" t="str">
        <f t="shared" si="8"/>
        <v/>
      </c>
      <c r="S145" s="10" t="str">
        <f>IF(R145="","",IF(R145&gt;=Matriz!$C$19,4,IF(R145&gt;=Matriz!$C$18,3,IF(R145&gt;=Matriz!$C$17,2,1))))</f>
        <v/>
      </c>
      <c r="T145" s="9" t="str">
        <f>IF(S145="","",MAX(S145,IF(I145=5,Matriz!$C$23,0),IF(N145="Sim",Matriz!$C$24,0)))</f>
        <v/>
      </c>
      <c r="U145" s="9" t="str">
        <f t="shared" si="9"/>
        <v/>
      </c>
      <c r="V145" s="26" t="str">
        <f t="shared" si="10"/>
        <v/>
      </c>
      <c r="W145" s="10" t="str">
        <f t="shared" si="11"/>
        <v/>
      </c>
      <c r="X145" s="4"/>
      <c r="Y145" s="4"/>
    </row>
    <row r="146" spans="1:25" ht="28.05" hidden="1" customHeight="1" x14ac:dyDescent="0.3">
      <c r="A146" s="20" t="s">
        <v>461</v>
      </c>
      <c r="B146" s="21" t="s">
        <v>462</v>
      </c>
      <c r="C146" s="4" t="s">
        <v>126</v>
      </c>
      <c r="D146" s="4" t="s">
        <v>433</v>
      </c>
      <c r="E146" s="4" t="s">
        <v>186</v>
      </c>
      <c r="F146" s="22">
        <v>46387</v>
      </c>
      <c r="G146" s="23" t="s">
        <v>104</v>
      </c>
      <c r="H146" s="6"/>
      <c r="I146" s="6"/>
      <c r="J146" s="6"/>
      <c r="K146" s="6"/>
      <c r="L146" s="6"/>
      <c r="M146" s="6"/>
      <c r="N146" s="6"/>
      <c r="O146" s="16" t="str">
        <f>IF(COUNT(I146:M146)&lt;5,"",ROUND((I146*Matriz!$C$5+J146*Matriz!$C$6+K146*Matriz!$C$7+L146*Matriz!$C$8+M146*Matriz!$C$9)/SUM(Matriz!$C$5:$C$9),2))</f>
        <v/>
      </c>
      <c r="P146" s="17">
        <f>IFERROR(INDEX(Processos!$F$8:$F$17,MATCH(C146,Processos!$A$8:$A$17,0)),1)</f>
        <v>1.0840000000000001</v>
      </c>
      <c r="Q146" s="24">
        <f>IFERROR(INDEX(Matriz!$C$28:$C$33,MATCH(G146,Matriz!$A$28:$A$33,0)),0)</f>
        <v>0</v>
      </c>
      <c r="R146" s="25" t="str">
        <f t="shared" si="8"/>
        <v/>
      </c>
      <c r="S146" s="10" t="str">
        <f>IF(R146="","",IF(R146&gt;=Matriz!$C$19,4,IF(R146&gt;=Matriz!$C$18,3,IF(R146&gt;=Matriz!$C$17,2,1))))</f>
        <v/>
      </c>
      <c r="T146" s="9" t="str">
        <f>IF(S146="","",MAX(S146,IF(I146=5,Matriz!$C$23,0),IF(N146="Sim",Matriz!$C$24,0)))</f>
        <v/>
      </c>
      <c r="U146" s="9" t="str">
        <f t="shared" si="9"/>
        <v/>
      </c>
      <c r="V146" s="26" t="str">
        <f t="shared" si="10"/>
        <v/>
      </c>
      <c r="W146" s="10" t="str">
        <f t="shared" si="11"/>
        <v/>
      </c>
      <c r="X146" s="4"/>
      <c r="Y146" s="4"/>
    </row>
    <row r="147" spans="1:25" ht="28.05" hidden="1" customHeight="1" x14ac:dyDescent="0.3">
      <c r="A147" s="20" t="s">
        <v>463</v>
      </c>
      <c r="B147" s="21" t="s">
        <v>464</v>
      </c>
      <c r="C147" s="4" t="s">
        <v>126</v>
      </c>
      <c r="D147" s="4" t="s">
        <v>229</v>
      </c>
      <c r="E147" s="4" t="s">
        <v>186</v>
      </c>
      <c r="F147" s="22">
        <v>46418</v>
      </c>
      <c r="G147" s="23" t="s">
        <v>102</v>
      </c>
      <c r="H147" s="6"/>
      <c r="I147" s="6"/>
      <c r="J147" s="6"/>
      <c r="K147" s="6"/>
      <c r="L147" s="6"/>
      <c r="M147" s="6"/>
      <c r="N147" s="6"/>
      <c r="O147" s="16" t="str">
        <f>IF(COUNT(I147:M147)&lt;5,"",ROUND((I147*Matriz!$C$5+J147*Matriz!$C$6+K147*Matriz!$C$7+L147*Matriz!$C$8+M147*Matriz!$C$9)/SUM(Matriz!$C$5:$C$9),2))</f>
        <v/>
      </c>
      <c r="P147" s="17">
        <f>IFERROR(INDEX(Processos!$F$8:$F$17,MATCH(C147,Processos!$A$8:$A$17,0)),1)</f>
        <v>1.0840000000000001</v>
      </c>
      <c r="Q147" s="24">
        <f>IFERROR(INDEX(Matriz!$C$28:$C$33,MATCH(G147,Matriz!$A$28:$A$33,0)),0)</f>
        <v>0</v>
      </c>
      <c r="R147" s="25" t="str">
        <f t="shared" si="8"/>
        <v/>
      </c>
      <c r="S147" s="10" t="str">
        <f>IF(R147="","",IF(R147&gt;=Matriz!$C$19,4,IF(R147&gt;=Matriz!$C$18,3,IF(R147&gt;=Matriz!$C$17,2,1))))</f>
        <v/>
      </c>
      <c r="T147" s="9" t="str">
        <f>IF(S147="","",MAX(S147,IF(I147=5,Matriz!$C$23,0),IF(N147="Sim",Matriz!$C$24,0)))</f>
        <v/>
      </c>
      <c r="U147" s="9" t="str">
        <f t="shared" si="9"/>
        <v/>
      </c>
      <c r="V147" s="26" t="str">
        <f t="shared" si="10"/>
        <v/>
      </c>
      <c r="W147" s="10" t="str">
        <f t="shared" si="11"/>
        <v/>
      </c>
      <c r="X147" s="4"/>
      <c r="Y147" s="4"/>
    </row>
    <row r="148" spans="1:25" ht="28.05" hidden="1" customHeight="1" x14ac:dyDescent="0.3">
      <c r="A148" s="20" t="s">
        <v>465</v>
      </c>
      <c r="B148" s="21" t="s">
        <v>466</v>
      </c>
      <c r="C148" s="4" t="s">
        <v>126</v>
      </c>
      <c r="D148" s="4" t="s">
        <v>467</v>
      </c>
      <c r="E148" s="4" t="s">
        <v>186</v>
      </c>
      <c r="F148" s="22">
        <v>46326</v>
      </c>
      <c r="G148" s="23" t="s">
        <v>104</v>
      </c>
      <c r="H148" s="6"/>
      <c r="I148" s="6"/>
      <c r="J148" s="6"/>
      <c r="K148" s="6"/>
      <c r="L148" s="6"/>
      <c r="M148" s="6"/>
      <c r="N148" s="6"/>
      <c r="O148" s="16" t="str">
        <f>IF(COUNT(I148:M148)&lt;5,"",ROUND((I148*Matriz!$C$5+J148*Matriz!$C$6+K148*Matriz!$C$7+L148*Matriz!$C$8+M148*Matriz!$C$9)/SUM(Matriz!$C$5:$C$9),2))</f>
        <v/>
      </c>
      <c r="P148" s="17">
        <f>IFERROR(INDEX(Processos!$F$8:$F$17,MATCH(C148,Processos!$A$8:$A$17,0)),1)</f>
        <v>1.0840000000000001</v>
      </c>
      <c r="Q148" s="24">
        <f>IFERROR(INDEX(Matriz!$C$28:$C$33,MATCH(G148,Matriz!$A$28:$A$33,0)),0)</f>
        <v>0</v>
      </c>
      <c r="R148" s="25" t="str">
        <f t="shared" si="8"/>
        <v/>
      </c>
      <c r="S148" s="10" t="str">
        <f>IF(R148="","",IF(R148&gt;=Matriz!$C$19,4,IF(R148&gt;=Matriz!$C$18,3,IF(R148&gt;=Matriz!$C$17,2,1))))</f>
        <v/>
      </c>
      <c r="T148" s="9" t="str">
        <f>IF(S148="","",MAX(S148,IF(I148=5,Matriz!$C$23,0),IF(N148="Sim",Matriz!$C$24,0)))</f>
        <v/>
      </c>
      <c r="U148" s="9" t="str">
        <f t="shared" si="9"/>
        <v/>
      </c>
      <c r="V148" s="26" t="str">
        <f t="shared" si="10"/>
        <v/>
      </c>
      <c r="W148" s="10" t="str">
        <f t="shared" si="11"/>
        <v/>
      </c>
      <c r="X148" s="4"/>
      <c r="Y148" s="4"/>
    </row>
    <row r="149" spans="1:25" ht="28.05" hidden="1" customHeight="1" x14ac:dyDescent="0.3">
      <c r="A149" s="20" t="s">
        <v>468</v>
      </c>
      <c r="B149" s="21" t="s">
        <v>469</v>
      </c>
      <c r="C149" s="4" t="s">
        <v>126</v>
      </c>
      <c r="D149" s="4" t="s">
        <v>191</v>
      </c>
      <c r="E149" s="4" t="s">
        <v>186</v>
      </c>
      <c r="F149" s="22">
        <v>46356</v>
      </c>
      <c r="G149" s="23" t="s">
        <v>104</v>
      </c>
      <c r="H149" s="6"/>
      <c r="I149" s="6"/>
      <c r="J149" s="6"/>
      <c r="K149" s="6"/>
      <c r="L149" s="6"/>
      <c r="M149" s="6"/>
      <c r="N149" s="6"/>
      <c r="O149" s="16" t="str">
        <f>IF(COUNT(I149:M149)&lt;5,"",ROUND((I149*Matriz!$C$5+J149*Matriz!$C$6+K149*Matriz!$C$7+L149*Matriz!$C$8+M149*Matriz!$C$9)/SUM(Matriz!$C$5:$C$9),2))</f>
        <v/>
      </c>
      <c r="P149" s="17">
        <f>IFERROR(INDEX(Processos!$F$8:$F$17,MATCH(C149,Processos!$A$8:$A$17,0)),1)</f>
        <v>1.0840000000000001</v>
      </c>
      <c r="Q149" s="24">
        <f>IFERROR(INDEX(Matriz!$C$28:$C$33,MATCH(G149,Matriz!$A$28:$A$33,0)),0)</f>
        <v>0</v>
      </c>
      <c r="R149" s="25" t="str">
        <f t="shared" si="8"/>
        <v/>
      </c>
      <c r="S149" s="10" t="str">
        <f>IF(R149="","",IF(R149&gt;=Matriz!$C$19,4,IF(R149&gt;=Matriz!$C$18,3,IF(R149&gt;=Matriz!$C$17,2,1))))</f>
        <v/>
      </c>
      <c r="T149" s="9" t="str">
        <f>IF(S149="","",MAX(S149,IF(I149=5,Matriz!$C$23,0),IF(N149="Sim",Matriz!$C$24,0)))</f>
        <v/>
      </c>
      <c r="U149" s="9" t="str">
        <f t="shared" si="9"/>
        <v/>
      </c>
      <c r="V149" s="26" t="str">
        <f t="shared" si="10"/>
        <v/>
      </c>
      <c r="W149" s="10" t="str">
        <f t="shared" si="11"/>
        <v/>
      </c>
      <c r="X149" s="4"/>
      <c r="Y149" s="4"/>
    </row>
    <row r="150" spans="1:25" ht="28.05" hidden="1" customHeight="1" x14ac:dyDescent="0.3">
      <c r="A150" s="20" t="s">
        <v>470</v>
      </c>
      <c r="B150" s="21" t="s">
        <v>471</v>
      </c>
      <c r="C150" s="4" t="s">
        <v>126</v>
      </c>
      <c r="D150" s="4" t="s">
        <v>393</v>
      </c>
      <c r="E150" s="4" t="s">
        <v>186</v>
      </c>
      <c r="F150" s="22">
        <v>46387</v>
      </c>
      <c r="G150" s="23" t="s">
        <v>104</v>
      </c>
      <c r="H150" s="6"/>
      <c r="I150" s="6"/>
      <c r="J150" s="6"/>
      <c r="K150" s="6"/>
      <c r="L150" s="6"/>
      <c r="M150" s="6"/>
      <c r="N150" s="6"/>
      <c r="O150" s="16" t="str">
        <f>IF(COUNT(I150:M150)&lt;5,"",ROUND((I150*Matriz!$C$5+J150*Matriz!$C$6+K150*Matriz!$C$7+L150*Matriz!$C$8+M150*Matriz!$C$9)/SUM(Matriz!$C$5:$C$9),2))</f>
        <v/>
      </c>
      <c r="P150" s="17">
        <f>IFERROR(INDEX(Processos!$F$8:$F$17,MATCH(C150,Processos!$A$8:$A$17,0)),1)</f>
        <v>1.0840000000000001</v>
      </c>
      <c r="Q150" s="24">
        <f>IFERROR(INDEX(Matriz!$C$28:$C$33,MATCH(G150,Matriz!$A$28:$A$33,0)),0)</f>
        <v>0</v>
      </c>
      <c r="R150" s="25" t="str">
        <f t="shared" si="8"/>
        <v/>
      </c>
      <c r="S150" s="10" t="str">
        <f>IF(R150="","",IF(R150&gt;=Matriz!$C$19,4,IF(R150&gt;=Matriz!$C$18,3,IF(R150&gt;=Matriz!$C$17,2,1))))</f>
        <v/>
      </c>
      <c r="T150" s="9" t="str">
        <f>IF(S150="","",MAX(S150,IF(I150=5,Matriz!$C$23,0),IF(N150="Sim",Matriz!$C$24,0)))</f>
        <v/>
      </c>
      <c r="U150" s="9" t="str">
        <f t="shared" si="9"/>
        <v/>
      </c>
      <c r="V150" s="26" t="str">
        <f t="shared" si="10"/>
        <v/>
      </c>
      <c r="W150" s="10" t="str">
        <f t="shared" si="11"/>
        <v/>
      </c>
      <c r="X150" s="4"/>
      <c r="Y150" s="4"/>
    </row>
    <row r="151" spans="1:25" ht="28.05" hidden="1" customHeight="1" x14ac:dyDescent="0.3">
      <c r="A151" s="20" t="s">
        <v>472</v>
      </c>
      <c r="B151" s="21" t="s">
        <v>473</v>
      </c>
      <c r="C151" s="4" t="s">
        <v>126</v>
      </c>
      <c r="D151" s="4" t="s">
        <v>467</v>
      </c>
      <c r="E151" s="4" t="s">
        <v>186</v>
      </c>
      <c r="F151" s="22">
        <v>46387</v>
      </c>
      <c r="G151" s="23" t="s">
        <v>104</v>
      </c>
      <c r="H151" s="6"/>
      <c r="I151" s="6"/>
      <c r="J151" s="6"/>
      <c r="K151" s="6"/>
      <c r="L151" s="6"/>
      <c r="M151" s="6"/>
      <c r="N151" s="6"/>
      <c r="O151" s="16" t="str">
        <f>IF(COUNT(I151:M151)&lt;5,"",ROUND((I151*Matriz!$C$5+J151*Matriz!$C$6+K151*Matriz!$C$7+L151*Matriz!$C$8+M151*Matriz!$C$9)/SUM(Matriz!$C$5:$C$9),2))</f>
        <v/>
      </c>
      <c r="P151" s="17">
        <f>IFERROR(INDEX(Processos!$F$8:$F$17,MATCH(C151,Processos!$A$8:$A$17,0)),1)</f>
        <v>1.0840000000000001</v>
      </c>
      <c r="Q151" s="24">
        <f>IFERROR(INDEX(Matriz!$C$28:$C$33,MATCH(G151,Matriz!$A$28:$A$33,0)),0)</f>
        <v>0</v>
      </c>
      <c r="R151" s="25" t="str">
        <f t="shared" si="8"/>
        <v/>
      </c>
      <c r="S151" s="10" t="str">
        <f>IF(R151="","",IF(R151&gt;=Matriz!$C$19,4,IF(R151&gt;=Matriz!$C$18,3,IF(R151&gt;=Matriz!$C$17,2,1))))</f>
        <v/>
      </c>
      <c r="T151" s="9" t="str">
        <f>IF(S151="","",MAX(S151,IF(I151=5,Matriz!$C$23,0),IF(N151="Sim",Matriz!$C$24,0)))</f>
        <v/>
      </c>
      <c r="U151" s="9" t="str">
        <f t="shared" si="9"/>
        <v/>
      </c>
      <c r="V151" s="26" t="str">
        <f t="shared" si="10"/>
        <v/>
      </c>
      <c r="W151" s="10" t="str">
        <f t="shared" si="11"/>
        <v/>
      </c>
      <c r="X151" s="4"/>
      <c r="Y151" s="4"/>
    </row>
    <row r="152" spans="1:25" ht="28.05" hidden="1" customHeight="1" x14ac:dyDescent="0.3">
      <c r="A152" s="20" t="s">
        <v>474</v>
      </c>
      <c r="B152" s="21" t="s">
        <v>475</v>
      </c>
      <c r="C152" s="4" t="s">
        <v>126</v>
      </c>
      <c r="D152" s="4" t="s">
        <v>476</v>
      </c>
      <c r="E152" s="4" t="s">
        <v>186</v>
      </c>
      <c r="F152" s="22">
        <v>46326</v>
      </c>
      <c r="G152" s="23" t="s">
        <v>104</v>
      </c>
      <c r="H152" s="6"/>
      <c r="I152" s="6"/>
      <c r="J152" s="6"/>
      <c r="K152" s="6"/>
      <c r="L152" s="6"/>
      <c r="M152" s="6"/>
      <c r="N152" s="6"/>
      <c r="O152" s="16" t="str">
        <f>IF(COUNT(I152:M152)&lt;5,"",ROUND((I152*Matriz!$C$5+J152*Matriz!$C$6+K152*Matriz!$C$7+L152*Matriz!$C$8+M152*Matriz!$C$9)/SUM(Matriz!$C$5:$C$9),2))</f>
        <v/>
      </c>
      <c r="P152" s="17">
        <f>IFERROR(INDEX(Processos!$F$8:$F$17,MATCH(C152,Processos!$A$8:$A$17,0)),1)</f>
        <v>1.0840000000000001</v>
      </c>
      <c r="Q152" s="24">
        <f>IFERROR(INDEX(Matriz!$C$28:$C$33,MATCH(G152,Matriz!$A$28:$A$33,0)),0)</f>
        <v>0</v>
      </c>
      <c r="R152" s="25" t="str">
        <f t="shared" si="8"/>
        <v/>
      </c>
      <c r="S152" s="10" t="str">
        <f>IF(R152="","",IF(R152&gt;=Matriz!$C$19,4,IF(R152&gt;=Matriz!$C$18,3,IF(R152&gt;=Matriz!$C$17,2,1))))</f>
        <v/>
      </c>
      <c r="T152" s="9" t="str">
        <f>IF(S152="","",MAX(S152,IF(I152=5,Matriz!$C$23,0),IF(N152="Sim",Matriz!$C$24,0)))</f>
        <v/>
      </c>
      <c r="U152" s="9" t="str">
        <f t="shared" si="9"/>
        <v/>
      </c>
      <c r="V152" s="26" t="str">
        <f t="shared" si="10"/>
        <v/>
      </c>
      <c r="W152" s="10" t="str">
        <f t="shared" si="11"/>
        <v/>
      </c>
      <c r="X152" s="4"/>
      <c r="Y152" s="4"/>
    </row>
    <row r="153" spans="1:25" ht="28.05" hidden="1" customHeight="1" x14ac:dyDescent="0.3">
      <c r="A153" s="20" t="s">
        <v>477</v>
      </c>
      <c r="B153" s="21" t="s">
        <v>478</v>
      </c>
      <c r="C153" s="4" t="s">
        <v>126</v>
      </c>
      <c r="D153" s="4" t="s">
        <v>479</v>
      </c>
      <c r="E153" s="4" t="s">
        <v>186</v>
      </c>
      <c r="F153" s="22">
        <v>46477</v>
      </c>
      <c r="G153" s="23" t="s">
        <v>104</v>
      </c>
      <c r="H153" s="6"/>
      <c r="I153" s="6"/>
      <c r="J153" s="6"/>
      <c r="K153" s="6"/>
      <c r="L153" s="6"/>
      <c r="M153" s="6"/>
      <c r="N153" s="6"/>
      <c r="O153" s="16" t="str">
        <f>IF(COUNT(I153:M153)&lt;5,"",ROUND((I153*Matriz!$C$5+J153*Matriz!$C$6+K153*Matriz!$C$7+L153*Matriz!$C$8+M153*Matriz!$C$9)/SUM(Matriz!$C$5:$C$9),2))</f>
        <v/>
      </c>
      <c r="P153" s="17">
        <f>IFERROR(INDEX(Processos!$F$8:$F$17,MATCH(C153,Processos!$A$8:$A$17,0)),1)</f>
        <v>1.0840000000000001</v>
      </c>
      <c r="Q153" s="24">
        <f>IFERROR(INDEX(Matriz!$C$28:$C$33,MATCH(G153,Matriz!$A$28:$A$33,0)),0)</f>
        <v>0</v>
      </c>
      <c r="R153" s="25" t="str">
        <f t="shared" si="8"/>
        <v/>
      </c>
      <c r="S153" s="10" t="str">
        <f>IF(R153="","",IF(R153&gt;=Matriz!$C$19,4,IF(R153&gt;=Matriz!$C$18,3,IF(R153&gt;=Matriz!$C$17,2,1))))</f>
        <v/>
      </c>
      <c r="T153" s="9" t="str">
        <f>IF(S153="","",MAX(S153,IF(I153=5,Matriz!$C$23,0),IF(N153="Sim",Matriz!$C$24,0)))</f>
        <v/>
      </c>
      <c r="U153" s="9" t="str">
        <f t="shared" si="9"/>
        <v/>
      </c>
      <c r="V153" s="26" t="str">
        <f t="shared" si="10"/>
        <v/>
      </c>
      <c r="W153" s="10" t="str">
        <f t="shared" si="11"/>
        <v/>
      </c>
      <c r="X153" s="4"/>
      <c r="Y153" s="4"/>
    </row>
    <row r="154" spans="1:25" ht="28.05" hidden="1" customHeight="1" x14ac:dyDescent="0.3">
      <c r="A154" s="20" t="s">
        <v>480</v>
      </c>
      <c r="B154" s="21" t="s">
        <v>481</v>
      </c>
      <c r="C154" s="4" t="s">
        <v>126</v>
      </c>
      <c r="D154" s="4" t="s">
        <v>476</v>
      </c>
      <c r="E154" s="4" t="s">
        <v>186</v>
      </c>
      <c r="F154" s="22">
        <v>46507</v>
      </c>
      <c r="G154" s="23" t="s">
        <v>104</v>
      </c>
      <c r="H154" s="6"/>
      <c r="I154" s="6"/>
      <c r="J154" s="6"/>
      <c r="K154" s="6"/>
      <c r="L154" s="6"/>
      <c r="M154" s="6"/>
      <c r="N154" s="6"/>
      <c r="O154" s="16" t="str">
        <f>IF(COUNT(I154:M154)&lt;5,"",ROUND((I154*Matriz!$C$5+J154*Matriz!$C$6+K154*Matriz!$C$7+L154*Matriz!$C$8+M154*Matriz!$C$9)/SUM(Matriz!$C$5:$C$9),2))</f>
        <v/>
      </c>
      <c r="P154" s="17">
        <f>IFERROR(INDEX(Processos!$F$8:$F$17,MATCH(C154,Processos!$A$8:$A$17,0)),1)</f>
        <v>1.0840000000000001</v>
      </c>
      <c r="Q154" s="24">
        <f>IFERROR(INDEX(Matriz!$C$28:$C$33,MATCH(G154,Matriz!$A$28:$A$33,0)),0)</f>
        <v>0</v>
      </c>
      <c r="R154" s="25" t="str">
        <f t="shared" si="8"/>
        <v/>
      </c>
      <c r="S154" s="10" t="str">
        <f>IF(R154="","",IF(R154&gt;=Matriz!$C$19,4,IF(R154&gt;=Matriz!$C$18,3,IF(R154&gt;=Matriz!$C$17,2,1))))</f>
        <v/>
      </c>
      <c r="T154" s="9" t="str">
        <f>IF(S154="","",MAX(S154,IF(I154=5,Matriz!$C$23,0),IF(N154="Sim",Matriz!$C$24,0)))</f>
        <v/>
      </c>
      <c r="U154" s="9" t="str">
        <f t="shared" si="9"/>
        <v/>
      </c>
      <c r="V154" s="26" t="str">
        <f t="shared" si="10"/>
        <v/>
      </c>
      <c r="W154" s="10" t="str">
        <f t="shared" si="11"/>
        <v/>
      </c>
      <c r="X154" s="4"/>
      <c r="Y154" s="4"/>
    </row>
    <row r="155" spans="1:25" ht="28.05" hidden="1" customHeight="1" x14ac:dyDescent="0.3">
      <c r="A155" s="20" t="s">
        <v>482</v>
      </c>
      <c r="B155" s="21" t="s">
        <v>483</v>
      </c>
      <c r="C155" s="4" t="s">
        <v>126</v>
      </c>
      <c r="D155" s="4" t="s">
        <v>467</v>
      </c>
      <c r="E155" s="4" t="s">
        <v>186</v>
      </c>
      <c r="F155" s="22">
        <v>46387</v>
      </c>
      <c r="G155" s="23" t="s">
        <v>104</v>
      </c>
      <c r="H155" s="6"/>
      <c r="I155" s="6"/>
      <c r="J155" s="6"/>
      <c r="K155" s="6"/>
      <c r="L155" s="6"/>
      <c r="M155" s="6"/>
      <c r="N155" s="6"/>
      <c r="O155" s="16" t="str">
        <f>IF(COUNT(I155:M155)&lt;5,"",ROUND((I155*Matriz!$C$5+J155*Matriz!$C$6+K155*Matriz!$C$7+L155*Matriz!$C$8+M155*Matriz!$C$9)/SUM(Matriz!$C$5:$C$9),2))</f>
        <v/>
      </c>
      <c r="P155" s="17">
        <f>IFERROR(INDEX(Processos!$F$8:$F$17,MATCH(C155,Processos!$A$8:$A$17,0)),1)</f>
        <v>1.0840000000000001</v>
      </c>
      <c r="Q155" s="24">
        <f>IFERROR(INDEX(Matriz!$C$28:$C$33,MATCH(G155,Matriz!$A$28:$A$33,0)),0)</f>
        <v>0</v>
      </c>
      <c r="R155" s="25" t="str">
        <f t="shared" si="8"/>
        <v/>
      </c>
      <c r="S155" s="10" t="str">
        <f>IF(R155="","",IF(R155&gt;=Matriz!$C$19,4,IF(R155&gt;=Matriz!$C$18,3,IF(R155&gt;=Matriz!$C$17,2,1))))</f>
        <v/>
      </c>
      <c r="T155" s="9" t="str">
        <f>IF(S155="","",MAX(S155,IF(I155=5,Matriz!$C$23,0),IF(N155="Sim",Matriz!$C$24,0)))</f>
        <v/>
      </c>
      <c r="U155" s="9" t="str">
        <f t="shared" si="9"/>
        <v/>
      </c>
      <c r="V155" s="26" t="str">
        <f t="shared" si="10"/>
        <v/>
      </c>
      <c r="W155" s="10" t="str">
        <f t="shared" si="11"/>
        <v/>
      </c>
      <c r="X155" s="4"/>
      <c r="Y155" s="4"/>
    </row>
    <row r="156" spans="1:25" ht="28.05" hidden="1" customHeight="1" x14ac:dyDescent="0.3">
      <c r="A156" s="20" t="s">
        <v>484</v>
      </c>
      <c r="B156" s="21" t="s">
        <v>485</v>
      </c>
      <c r="C156" s="4" t="s">
        <v>126</v>
      </c>
      <c r="D156" s="4" t="s">
        <v>402</v>
      </c>
      <c r="E156" s="4" t="s">
        <v>186</v>
      </c>
      <c r="F156" s="22">
        <v>46507</v>
      </c>
      <c r="G156" s="23" t="s">
        <v>104</v>
      </c>
      <c r="H156" s="6"/>
      <c r="I156" s="6"/>
      <c r="J156" s="6"/>
      <c r="K156" s="6"/>
      <c r="L156" s="6"/>
      <c r="M156" s="6"/>
      <c r="N156" s="6"/>
      <c r="O156" s="16" t="str">
        <f>IF(COUNT(I156:M156)&lt;5,"",ROUND((I156*Matriz!$C$5+J156*Matriz!$C$6+K156*Matriz!$C$7+L156*Matriz!$C$8+M156*Matriz!$C$9)/SUM(Matriz!$C$5:$C$9),2))</f>
        <v/>
      </c>
      <c r="P156" s="17">
        <f>IFERROR(INDEX(Processos!$F$8:$F$17,MATCH(C156,Processos!$A$8:$A$17,0)),1)</f>
        <v>1.0840000000000001</v>
      </c>
      <c r="Q156" s="24">
        <f>IFERROR(INDEX(Matriz!$C$28:$C$33,MATCH(G156,Matriz!$A$28:$A$33,0)),0)</f>
        <v>0</v>
      </c>
      <c r="R156" s="25" t="str">
        <f t="shared" si="8"/>
        <v/>
      </c>
      <c r="S156" s="10" t="str">
        <f>IF(R156="","",IF(R156&gt;=Matriz!$C$19,4,IF(R156&gt;=Matriz!$C$18,3,IF(R156&gt;=Matriz!$C$17,2,1))))</f>
        <v/>
      </c>
      <c r="T156" s="9" t="str">
        <f>IF(S156="","",MAX(S156,IF(I156=5,Matriz!$C$23,0),IF(N156="Sim",Matriz!$C$24,0)))</f>
        <v/>
      </c>
      <c r="U156" s="9" t="str">
        <f t="shared" si="9"/>
        <v/>
      </c>
      <c r="V156" s="26" t="str">
        <f t="shared" si="10"/>
        <v/>
      </c>
      <c r="W156" s="10" t="str">
        <f t="shared" si="11"/>
        <v/>
      </c>
      <c r="X156" s="4"/>
      <c r="Y156" s="4"/>
    </row>
    <row r="157" spans="1:25" ht="28.05" hidden="1" customHeight="1" x14ac:dyDescent="0.3">
      <c r="A157" s="20" t="s">
        <v>486</v>
      </c>
      <c r="B157" s="21" t="s">
        <v>487</v>
      </c>
      <c r="C157" s="4" t="s">
        <v>126</v>
      </c>
      <c r="D157" s="4" t="s">
        <v>199</v>
      </c>
      <c r="E157" s="4" t="s">
        <v>186</v>
      </c>
      <c r="F157" s="22">
        <v>46326</v>
      </c>
      <c r="G157" s="23" t="s">
        <v>100</v>
      </c>
      <c r="H157" s="6"/>
      <c r="I157" s="6"/>
      <c r="J157" s="6"/>
      <c r="K157" s="6"/>
      <c r="L157" s="6"/>
      <c r="M157" s="6"/>
      <c r="N157" s="6"/>
      <c r="O157" s="16" t="str">
        <f>IF(COUNT(I157:M157)&lt;5,"",ROUND((I157*Matriz!$C$5+J157*Matriz!$C$6+K157*Matriz!$C$7+L157*Matriz!$C$8+M157*Matriz!$C$9)/SUM(Matriz!$C$5:$C$9),2))</f>
        <v/>
      </c>
      <c r="P157" s="17">
        <f>IFERROR(INDEX(Processos!$F$8:$F$17,MATCH(C157,Processos!$A$8:$A$17,0)),1)</f>
        <v>1.0840000000000001</v>
      </c>
      <c r="Q157" s="24">
        <f>IFERROR(INDEX(Matriz!$C$28:$C$33,MATCH(G157,Matriz!$A$28:$A$33,0)),0)</f>
        <v>0</v>
      </c>
      <c r="R157" s="25" t="str">
        <f t="shared" si="8"/>
        <v/>
      </c>
      <c r="S157" s="10" t="str">
        <f>IF(R157="","",IF(R157&gt;=Matriz!$C$19,4,IF(R157&gt;=Matriz!$C$18,3,IF(R157&gt;=Matriz!$C$17,2,1))))</f>
        <v/>
      </c>
      <c r="T157" s="9" t="str">
        <f>IF(S157="","",MAX(S157,IF(I157=5,Matriz!$C$23,0),IF(N157="Sim",Matriz!$C$24,0)))</f>
        <v/>
      </c>
      <c r="U157" s="9" t="str">
        <f t="shared" si="9"/>
        <v/>
      </c>
      <c r="V157" s="26" t="str">
        <f t="shared" si="10"/>
        <v/>
      </c>
      <c r="W157" s="10" t="str">
        <f t="shared" si="11"/>
        <v/>
      </c>
      <c r="X157" s="4"/>
      <c r="Y157" s="4"/>
    </row>
    <row r="158" spans="1:25" ht="28.05" hidden="1" customHeight="1" x14ac:dyDescent="0.3">
      <c r="A158" s="20" t="s">
        <v>488</v>
      </c>
      <c r="B158" s="21" t="s">
        <v>489</v>
      </c>
      <c r="C158" s="4" t="s">
        <v>126</v>
      </c>
      <c r="D158" s="4" t="s">
        <v>402</v>
      </c>
      <c r="E158" s="4" t="s">
        <v>186</v>
      </c>
      <c r="F158" s="22">
        <v>46325</v>
      </c>
      <c r="G158" s="23" t="s">
        <v>100</v>
      </c>
      <c r="H158" s="6"/>
      <c r="I158" s="6"/>
      <c r="J158" s="6"/>
      <c r="K158" s="6"/>
      <c r="L158" s="6"/>
      <c r="M158" s="6"/>
      <c r="N158" s="6"/>
      <c r="O158" s="16" t="str">
        <f>IF(COUNT(I158:M158)&lt;5,"",ROUND((I158*Matriz!$C$5+J158*Matriz!$C$6+K158*Matriz!$C$7+L158*Matriz!$C$8+M158*Matriz!$C$9)/SUM(Matriz!$C$5:$C$9),2))</f>
        <v/>
      </c>
      <c r="P158" s="17">
        <f>IFERROR(INDEX(Processos!$F$8:$F$17,MATCH(C158,Processos!$A$8:$A$17,0)),1)</f>
        <v>1.0840000000000001</v>
      </c>
      <c r="Q158" s="24">
        <f>IFERROR(INDEX(Matriz!$C$28:$C$33,MATCH(G158,Matriz!$A$28:$A$33,0)),0)</f>
        <v>0</v>
      </c>
      <c r="R158" s="25" t="str">
        <f t="shared" si="8"/>
        <v/>
      </c>
      <c r="S158" s="10" t="str">
        <f>IF(R158="","",IF(R158&gt;=Matriz!$C$19,4,IF(R158&gt;=Matriz!$C$18,3,IF(R158&gt;=Matriz!$C$17,2,1))))</f>
        <v/>
      </c>
      <c r="T158" s="9" t="str">
        <f>IF(S158="","",MAX(S158,IF(I158=5,Matriz!$C$23,0),IF(N158="Sim",Matriz!$C$24,0)))</f>
        <v/>
      </c>
      <c r="U158" s="9" t="str">
        <f t="shared" si="9"/>
        <v/>
      </c>
      <c r="V158" s="26" t="str">
        <f t="shared" si="10"/>
        <v/>
      </c>
      <c r="W158" s="10" t="str">
        <f t="shared" si="11"/>
        <v/>
      </c>
      <c r="X158" s="4"/>
      <c r="Y158" s="4"/>
    </row>
    <row r="159" spans="1:25" ht="28.05" hidden="1" customHeight="1" x14ac:dyDescent="0.3">
      <c r="A159" s="20" t="s">
        <v>490</v>
      </c>
      <c r="B159" s="21" t="s">
        <v>491</v>
      </c>
      <c r="C159" s="4" t="s">
        <v>126</v>
      </c>
      <c r="D159" s="4" t="s">
        <v>402</v>
      </c>
      <c r="E159" s="4" t="s">
        <v>186</v>
      </c>
      <c r="F159" s="22">
        <v>46387</v>
      </c>
      <c r="G159" s="23" t="s">
        <v>100</v>
      </c>
      <c r="H159" s="6"/>
      <c r="I159" s="6"/>
      <c r="J159" s="6"/>
      <c r="K159" s="6"/>
      <c r="L159" s="6"/>
      <c r="M159" s="6"/>
      <c r="N159" s="6"/>
      <c r="O159" s="16" t="str">
        <f>IF(COUNT(I159:M159)&lt;5,"",ROUND((I159*Matriz!$C$5+J159*Matriz!$C$6+K159*Matriz!$C$7+L159*Matriz!$C$8+M159*Matriz!$C$9)/SUM(Matriz!$C$5:$C$9),2))</f>
        <v/>
      </c>
      <c r="P159" s="17">
        <f>IFERROR(INDEX(Processos!$F$8:$F$17,MATCH(C159,Processos!$A$8:$A$17,0)),1)</f>
        <v>1.0840000000000001</v>
      </c>
      <c r="Q159" s="24">
        <f>IFERROR(INDEX(Matriz!$C$28:$C$33,MATCH(G159,Matriz!$A$28:$A$33,0)),0)</f>
        <v>0</v>
      </c>
      <c r="R159" s="25" t="str">
        <f t="shared" si="8"/>
        <v/>
      </c>
      <c r="S159" s="10" t="str">
        <f>IF(R159="","",IF(R159&gt;=Matriz!$C$19,4,IF(R159&gt;=Matriz!$C$18,3,IF(R159&gt;=Matriz!$C$17,2,1))))</f>
        <v/>
      </c>
      <c r="T159" s="9" t="str">
        <f>IF(S159="","",MAX(S159,IF(I159=5,Matriz!$C$23,0),IF(N159="Sim",Matriz!$C$24,0)))</f>
        <v/>
      </c>
      <c r="U159" s="9" t="str">
        <f t="shared" si="9"/>
        <v/>
      </c>
      <c r="V159" s="26" t="str">
        <f t="shared" si="10"/>
        <v/>
      </c>
      <c r="W159" s="10" t="str">
        <f t="shared" si="11"/>
        <v/>
      </c>
      <c r="X159" s="4"/>
      <c r="Y159" s="4"/>
    </row>
    <row r="160" spans="1:25" ht="28.05" hidden="1" customHeight="1" x14ac:dyDescent="0.3">
      <c r="A160" s="20" t="s">
        <v>492</v>
      </c>
      <c r="B160" s="21" t="s">
        <v>493</v>
      </c>
      <c r="C160" s="4" t="s">
        <v>126</v>
      </c>
      <c r="D160" s="4" t="s">
        <v>293</v>
      </c>
      <c r="E160" s="4" t="s">
        <v>186</v>
      </c>
      <c r="F160" s="22">
        <v>46387</v>
      </c>
      <c r="G160" s="23" t="s">
        <v>100</v>
      </c>
      <c r="H160" s="6"/>
      <c r="I160" s="6"/>
      <c r="J160" s="6"/>
      <c r="K160" s="6"/>
      <c r="L160" s="6"/>
      <c r="M160" s="6"/>
      <c r="N160" s="6"/>
      <c r="O160" s="16" t="str">
        <f>IF(COUNT(I160:M160)&lt;5,"",ROUND((I160*Matriz!$C$5+J160*Matriz!$C$6+K160*Matriz!$C$7+L160*Matriz!$C$8+M160*Matriz!$C$9)/SUM(Matriz!$C$5:$C$9),2))</f>
        <v/>
      </c>
      <c r="P160" s="17">
        <f>IFERROR(INDEX(Processos!$F$8:$F$17,MATCH(C160,Processos!$A$8:$A$17,0)),1)</f>
        <v>1.0840000000000001</v>
      </c>
      <c r="Q160" s="24">
        <f>IFERROR(INDEX(Matriz!$C$28:$C$33,MATCH(G160,Matriz!$A$28:$A$33,0)),0)</f>
        <v>0</v>
      </c>
      <c r="R160" s="25" t="str">
        <f t="shared" si="8"/>
        <v/>
      </c>
      <c r="S160" s="10" t="str">
        <f>IF(R160="","",IF(R160&gt;=Matriz!$C$19,4,IF(R160&gt;=Matriz!$C$18,3,IF(R160&gt;=Matriz!$C$17,2,1))))</f>
        <v/>
      </c>
      <c r="T160" s="9" t="str">
        <f>IF(S160="","",MAX(S160,IF(I160=5,Matriz!$C$23,0),IF(N160="Sim",Matriz!$C$24,0)))</f>
        <v/>
      </c>
      <c r="U160" s="9" t="str">
        <f t="shared" si="9"/>
        <v/>
      </c>
      <c r="V160" s="26" t="str">
        <f t="shared" si="10"/>
        <v/>
      </c>
      <c r="W160" s="10" t="str">
        <f t="shared" si="11"/>
        <v/>
      </c>
      <c r="X160" s="4"/>
      <c r="Y160" s="4"/>
    </row>
    <row r="161" spans="1:25" ht="28.05" hidden="1" customHeight="1" x14ac:dyDescent="0.3">
      <c r="A161" s="20" t="s">
        <v>494</v>
      </c>
      <c r="B161" s="21" t="s">
        <v>495</v>
      </c>
      <c r="C161" s="4" t="s">
        <v>126</v>
      </c>
      <c r="D161" s="4" t="s">
        <v>242</v>
      </c>
      <c r="E161" s="4" t="s">
        <v>186</v>
      </c>
      <c r="F161" s="22">
        <v>46418</v>
      </c>
      <c r="G161" s="23" t="s">
        <v>100</v>
      </c>
      <c r="H161" s="6"/>
      <c r="I161" s="6"/>
      <c r="J161" s="6"/>
      <c r="K161" s="6"/>
      <c r="L161" s="6"/>
      <c r="M161" s="6"/>
      <c r="N161" s="6"/>
      <c r="O161" s="16" t="str">
        <f>IF(COUNT(I161:M161)&lt;5,"",ROUND((I161*Matriz!$C$5+J161*Matriz!$C$6+K161*Matriz!$C$7+L161*Matriz!$C$8+M161*Matriz!$C$9)/SUM(Matriz!$C$5:$C$9),2))</f>
        <v/>
      </c>
      <c r="P161" s="17">
        <f>IFERROR(INDEX(Processos!$F$8:$F$17,MATCH(C161,Processos!$A$8:$A$17,0)),1)</f>
        <v>1.0840000000000001</v>
      </c>
      <c r="Q161" s="24">
        <f>IFERROR(INDEX(Matriz!$C$28:$C$33,MATCH(G161,Matriz!$A$28:$A$33,0)),0)</f>
        <v>0</v>
      </c>
      <c r="R161" s="25" t="str">
        <f t="shared" si="8"/>
        <v/>
      </c>
      <c r="S161" s="10" t="str">
        <f>IF(R161="","",IF(R161&gt;=Matriz!$C$19,4,IF(R161&gt;=Matriz!$C$18,3,IF(R161&gt;=Matriz!$C$17,2,1))))</f>
        <v/>
      </c>
      <c r="T161" s="9" t="str">
        <f>IF(S161="","",MAX(S161,IF(I161=5,Matriz!$C$23,0),IF(N161="Sim",Matriz!$C$24,0)))</f>
        <v/>
      </c>
      <c r="U161" s="9" t="str">
        <f t="shared" si="9"/>
        <v/>
      </c>
      <c r="V161" s="26" t="str">
        <f t="shared" si="10"/>
        <v/>
      </c>
      <c r="W161" s="10" t="str">
        <f t="shared" si="11"/>
        <v/>
      </c>
      <c r="X161" s="4"/>
      <c r="Y161" s="4"/>
    </row>
    <row r="162" spans="1:25" ht="28.05" hidden="1" customHeight="1" x14ac:dyDescent="0.3">
      <c r="A162" s="20" t="s">
        <v>496</v>
      </c>
      <c r="B162" s="21" t="s">
        <v>497</v>
      </c>
      <c r="C162" s="4" t="s">
        <v>126</v>
      </c>
      <c r="D162" s="4" t="s">
        <v>199</v>
      </c>
      <c r="E162" s="4" t="s">
        <v>186</v>
      </c>
      <c r="F162" s="22">
        <v>46387</v>
      </c>
      <c r="G162" s="23" t="s">
        <v>100</v>
      </c>
      <c r="H162" s="6"/>
      <c r="I162" s="6"/>
      <c r="J162" s="6"/>
      <c r="K162" s="6"/>
      <c r="L162" s="6"/>
      <c r="M162" s="6"/>
      <c r="N162" s="6"/>
      <c r="O162" s="16" t="str">
        <f>IF(COUNT(I162:M162)&lt;5,"",ROUND((I162*Matriz!$C$5+J162*Matriz!$C$6+K162*Matriz!$C$7+L162*Matriz!$C$8+M162*Matriz!$C$9)/SUM(Matriz!$C$5:$C$9),2))</f>
        <v/>
      </c>
      <c r="P162" s="17">
        <f>IFERROR(INDEX(Processos!$F$8:$F$17,MATCH(C162,Processos!$A$8:$A$17,0)),1)</f>
        <v>1.0840000000000001</v>
      </c>
      <c r="Q162" s="24">
        <f>IFERROR(INDEX(Matriz!$C$28:$C$33,MATCH(G162,Matriz!$A$28:$A$33,0)),0)</f>
        <v>0</v>
      </c>
      <c r="R162" s="25" t="str">
        <f t="shared" si="8"/>
        <v/>
      </c>
      <c r="S162" s="10" t="str">
        <f>IF(R162="","",IF(R162&gt;=Matriz!$C$19,4,IF(R162&gt;=Matriz!$C$18,3,IF(R162&gt;=Matriz!$C$17,2,1))))</f>
        <v/>
      </c>
      <c r="T162" s="9" t="str">
        <f>IF(S162="","",MAX(S162,IF(I162=5,Matriz!$C$23,0),IF(N162="Sim",Matriz!$C$24,0)))</f>
        <v/>
      </c>
      <c r="U162" s="9" t="str">
        <f t="shared" si="9"/>
        <v/>
      </c>
      <c r="V162" s="26" t="str">
        <f t="shared" si="10"/>
        <v/>
      </c>
      <c r="W162" s="10" t="str">
        <f t="shared" si="11"/>
        <v/>
      </c>
      <c r="X162" s="4"/>
      <c r="Y162" s="4"/>
    </row>
    <row r="163" spans="1:25" ht="28.05" hidden="1" customHeight="1" x14ac:dyDescent="0.3">
      <c r="A163" s="20" t="s">
        <v>498</v>
      </c>
      <c r="B163" s="21" t="s">
        <v>499</v>
      </c>
      <c r="C163" s="4" t="s">
        <v>126</v>
      </c>
      <c r="D163" s="4" t="s">
        <v>229</v>
      </c>
      <c r="E163" s="4" t="s">
        <v>186</v>
      </c>
      <c r="F163" s="22">
        <v>46387</v>
      </c>
      <c r="G163" s="23" t="s">
        <v>104</v>
      </c>
      <c r="H163" s="6"/>
      <c r="I163" s="6"/>
      <c r="J163" s="6"/>
      <c r="K163" s="6"/>
      <c r="L163" s="6"/>
      <c r="M163" s="6"/>
      <c r="N163" s="6"/>
      <c r="O163" s="16" t="str">
        <f>IF(COUNT(I163:M163)&lt;5,"",ROUND((I163*Matriz!$C$5+J163*Matriz!$C$6+K163*Matriz!$C$7+L163*Matriz!$C$8+M163*Matriz!$C$9)/SUM(Matriz!$C$5:$C$9),2))</f>
        <v/>
      </c>
      <c r="P163" s="17">
        <f>IFERROR(INDEX(Processos!$F$8:$F$17,MATCH(C163,Processos!$A$8:$A$17,0)),1)</f>
        <v>1.0840000000000001</v>
      </c>
      <c r="Q163" s="24">
        <f>IFERROR(INDEX(Matriz!$C$28:$C$33,MATCH(G163,Matriz!$A$28:$A$33,0)),0)</f>
        <v>0</v>
      </c>
      <c r="R163" s="25" t="str">
        <f t="shared" si="8"/>
        <v/>
      </c>
      <c r="S163" s="10" t="str">
        <f>IF(R163="","",IF(R163&gt;=Matriz!$C$19,4,IF(R163&gt;=Matriz!$C$18,3,IF(R163&gt;=Matriz!$C$17,2,1))))</f>
        <v/>
      </c>
      <c r="T163" s="9" t="str">
        <f>IF(S163="","",MAX(S163,IF(I163=5,Matriz!$C$23,0),IF(N163="Sim",Matriz!$C$24,0)))</f>
        <v/>
      </c>
      <c r="U163" s="9" t="str">
        <f t="shared" si="9"/>
        <v/>
      </c>
      <c r="V163" s="26" t="str">
        <f t="shared" si="10"/>
        <v/>
      </c>
      <c r="W163" s="10" t="str">
        <f t="shared" si="11"/>
        <v/>
      </c>
      <c r="X163" s="4"/>
      <c r="Y163" s="4"/>
    </row>
    <row r="164" spans="1:25" ht="28.05" hidden="1" customHeight="1" x14ac:dyDescent="0.3">
      <c r="A164" s="20" t="s">
        <v>500</v>
      </c>
      <c r="B164" s="21" t="s">
        <v>501</v>
      </c>
      <c r="C164" s="4" t="s">
        <v>126</v>
      </c>
      <c r="D164" s="4" t="s">
        <v>402</v>
      </c>
      <c r="E164" s="4" t="s">
        <v>186</v>
      </c>
      <c r="F164" s="22">
        <v>46568</v>
      </c>
      <c r="G164" s="23" t="s">
        <v>104</v>
      </c>
      <c r="H164" s="6"/>
      <c r="I164" s="6"/>
      <c r="J164" s="6"/>
      <c r="K164" s="6"/>
      <c r="L164" s="6"/>
      <c r="M164" s="6"/>
      <c r="N164" s="6"/>
      <c r="O164" s="16" t="str">
        <f>IF(COUNT(I164:M164)&lt;5,"",ROUND((I164*Matriz!$C$5+J164*Matriz!$C$6+K164*Matriz!$C$7+L164*Matriz!$C$8+M164*Matriz!$C$9)/SUM(Matriz!$C$5:$C$9),2))</f>
        <v/>
      </c>
      <c r="P164" s="17">
        <f>IFERROR(INDEX(Processos!$F$8:$F$17,MATCH(C164,Processos!$A$8:$A$17,0)),1)</f>
        <v>1.0840000000000001</v>
      </c>
      <c r="Q164" s="24">
        <f>IFERROR(INDEX(Matriz!$C$28:$C$33,MATCH(G164,Matriz!$A$28:$A$33,0)),0)</f>
        <v>0</v>
      </c>
      <c r="R164" s="25" t="str">
        <f t="shared" si="8"/>
        <v/>
      </c>
      <c r="S164" s="10" t="str">
        <f>IF(R164="","",IF(R164&gt;=Matriz!$C$19,4,IF(R164&gt;=Matriz!$C$18,3,IF(R164&gt;=Matriz!$C$17,2,1))))</f>
        <v/>
      </c>
      <c r="T164" s="9" t="str">
        <f>IF(S164="","",MAX(S164,IF(I164=5,Matriz!$C$23,0),IF(N164="Sim",Matriz!$C$24,0)))</f>
        <v/>
      </c>
      <c r="U164" s="9" t="str">
        <f t="shared" si="9"/>
        <v/>
      </c>
      <c r="V164" s="26" t="str">
        <f t="shared" si="10"/>
        <v/>
      </c>
      <c r="W164" s="10" t="str">
        <f t="shared" si="11"/>
        <v/>
      </c>
      <c r="X164" s="4"/>
      <c r="Y164" s="4"/>
    </row>
    <row r="165" spans="1:25" ht="28.05" hidden="1" customHeight="1" x14ac:dyDescent="0.3">
      <c r="A165" s="20" t="s">
        <v>502</v>
      </c>
      <c r="B165" s="21" t="s">
        <v>503</v>
      </c>
      <c r="C165" s="4" t="s">
        <v>126</v>
      </c>
      <c r="D165" s="4" t="s">
        <v>402</v>
      </c>
      <c r="E165" s="4" t="s">
        <v>186</v>
      </c>
      <c r="F165" s="22">
        <v>46387</v>
      </c>
      <c r="G165" s="23" t="s">
        <v>108</v>
      </c>
      <c r="H165" s="6"/>
      <c r="I165" s="6"/>
      <c r="J165" s="6"/>
      <c r="K165" s="6"/>
      <c r="L165" s="6"/>
      <c r="M165" s="6"/>
      <c r="N165" s="6"/>
      <c r="O165" s="16" t="str">
        <f>IF(COUNT(I165:M165)&lt;5,"",ROUND((I165*Matriz!$C$5+J165*Matriz!$C$6+K165*Matriz!$C$7+L165*Matriz!$C$8+M165*Matriz!$C$9)/SUM(Matriz!$C$5:$C$9),2))</f>
        <v/>
      </c>
      <c r="P165" s="17">
        <f>IFERROR(INDEX(Processos!$F$8:$F$17,MATCH(C165,Processos!$A$8:$A$17,0)),1)</f>
        <v>1.0840000000000001</v>
      </c>
      <c r="Q165" s="24">
        <f>IFERROR(INDEX(Matriz!$C$28:$C$33,MATCH(G165,Matriz!$A$28:$A$33,0)),0)</f>
        <v>-0.3</v>
      </c>
      <c r="R165" s="25" t="str">
        <f t="shared" si="8"/>
        <v/>
      </c>
      <c r="S165" s="10" t="str">
        <f>IF(R165="","",IF(R165&gt;=Matriz!$C$19,4,IF(R165&gt;=Matriz!$C$18,3,IF(R165&gt;=Matriz!$C$17,2,1))))</f>
        <v/>
      </c>
      <c r="T165" s="9" t="str">
        <f>IF(S165="","",MAX(S165,IF(I165=5,Matriz!$C$23,0),IF(N165="Sim",Matriz!$C$24,0)))</f>
        <v/>
      </c>
      <c r="U165" s="9" t="str">
        <f t="shared" si="9"/>
        <v/>
      </c>
      <c r="V165" s="26" t="str">
        <f t="shared" si="10"/>
        <v/>
      </c>
      <c r="W165" s="10" t="str">
        <f t="shared" si="11"/>
        <v/>
      </c>
      <c r="X165" s="4"/>
      <c r="Y165" s="4"/>
    </row>
    <row r="166" spans="1:25" ht="28.05" hidden="1" customHeight="1" x14ac:dyDescent="0.3">
      <c r="A166" s="20" t="s">
        <v>504</v>
      </c>
      <c r="B166" s="21" t="s">
        <v>505</v>
      </c>
      <c r="C166" s="4" t="s">
        <v>126</v>
      </c>
      <c r="D166" s="4" t="s">
        <v>402</v>
      </c>
      <c r="E166" s="4" t="s">
        <v>186</v>
      </c>
      <c r="F166" s="22">
        <v>46387</v>
      </c>
      <c r="G166" s="23" t="s">
        <v>108</v>
      </c>
      <c r="H166" s="6"/>
      <c r="I166" s="6"/>
      <c r="J166" s="6"/>
      <c r="K166" s="6"/>
      <c r="L166" s="6"/>
      <c r="M166" s="6"/>
      <c r="N166" s="6"/>
      <c r="O166" s="16" t="str">
        <f>IF(COUNT(I166:M166)&lt;5,"",ROUND((I166*Matriz!$C$5+J166*Matriz!$C$6+K166*Matriz!$C$7+L166*Matriz!$C$8+M166*Matriz!$C$9)/SUM(Matriz!$C$5:$C$9),2))</f>
        <v/>
      </c>
      <c r="P166" s="17">
        <f>IFERROR(INDEX(Processos!$F$8:$F$17,MATCH(C166,Processos!$A$8:$A$17,0)),1)</f>
        <v>1.0840000000000001</v>
      </c>
      <c r="Q166" s="24">
        <f>IFERROR(INDEX(Matriz!$C$28:$C$33,MATCH(G166,Matriz!$A$28:$A$33,0)),0)</f>
        <v>-0.3</v>
      </c>
      <c r="R166" s="25" t="str">
        <f t="shared" si="8"/>
        <v/>
      </c>
      <c r="S166" s="10" t="str">
        <f>IF(R166="","",IF(R166&gt;=Matriz!$C$19,4,IF(R166&gt;=Matriz!$C$18,3,IF(R166&gt;=Matriz!$C$17,2,1))))</f>
        <v/>
      </c>
      <c r="T166" s="9" t="str">
        <f>IF(S166="","",MAX(S166,IF(I166=5,Matriz!$C$23,0),IF(N166="Sim",Matriz!$C$24,0)))</f>
        <v/>
      </c>
      <c r="U166" s="9" t="str">
        <f t="shared" si="9"/>
        <v/>
      </c>
      <c r="V166" s="26" t="str">
        <f t="shared" si="10"/>
        <v/>
      </c>
      <c r="W166" s="10" t="str">
        <f t="shared" si="11"/>
        <v/>
      </c>
      <c r="X166" s="4"/>
      <c r="Y166" s="4"/>
    </row>
    <row r="167" spans="1:25" ht="28.05" hidden="1" customHeight="1" x14ac:dyDescent="0.3">
      <c r="A167" s="20" t="s">
        <v>506</v>
      </c>
      <c r="B167" s="21" t="s">
        <v>507</v>
      </c>
      <c r="C167" s="4" t="s">
        <v>126</v>
      </c>
      <c r="D167" s="4" t="s">
        <v>402</v>
      </c>
      <c r="E167" s="4" t="s">
        <v>186</v>
      </c>
      <c r="F167" s="22">
        <v>46387</v>
      </c>
      <c r="G167" s="23" t="s">
        <v>108</v>
      </c>
      <c r="H167" s="6"/>
      <c r="I167" s="6"/>
      <c r="J167" s="6"/>
      <c r="K167" s="6"/>
      <c r="L167" s="6"/>
      <c r="M167" s="6"/>
      <c r="N167" s="6"/>
      <c r="O167" s="16" t="str">
        <f>IF(COUNT(I167:M167)&lt;5,"",ROUND((I167*Matriz!$C$5+J167*Matriz!$C$6+K167*Matriz!$C$7+L167*Matriz!$C$8+M167*Matriz!$C$9)/SUM(Matriz!$C$5:$C$9),2))</f>
        <v/>
      </c>
      <c r="P167" s="17">
        <f>IFERROR(INDEX(Processos!$F$8:$F$17,MATCH(C167,Processos!$A$8:$A$17,0)),1)</f>
        <v>1.0840000000000001</v>
      </c>
      <c r="Q167" s="24">
        <f>IFERROR(INDEX(Matriz!$C$28:$C$33,MATCH(G167,Matriz!$A$28:$A$33,0)),0)</f>
        <v>-0.3</v>
      </c>
      <c r="R167" s="25" t="str">
        <f t="shared" si="8"/>
        <v/>
      </c>
      <c r="S167" s="10" t="str">
        <f>IF(R167="","",IF(R167&gt;=Matriz!$C$19,4,IF(R167&gt;=Matriz!$C$18,3,IF(R167&gt;=Matriz!$C$17,2,1))))</f>
        <v/>
      </c>
      <c r="T167" s="9" t="str">
        <f>IF(S167="","",MAX(S167,IF(I167=5,Matriz!$C$23,0),IF(N167="Sim",Matriz!$C$24,0)))</f>
        <v/>
      </c>
      <c r="U167" s="9" t="str">
        <f t="shared" si="9"/>
        <v/>
      </c>
      <c r="V167" s="26" t="str">
        <f t="shared" si="10"/>
        <v/>
      </c>
      <c r="W167" s="10" t="str">
        <f t="shared" si="11"/>
        <v/>
      </c>
      <c r="X167" s="4"/>
      <c r="Y167" s="4"/>
    </row>
    <row r="168" spans="1:25" ht="28.05" hidden="1" customHeight="1" x14ac:dyDescent="0.3">
      <c r="A168" s="20" t="s">
        <v>508</v>
      </c>
      <c r="B168" s="21" t="s">
        <v>509</v>
      </c>
      <c r="C168" s="4" t="s">
        <v>126</v>
      </c>
      <c r="D168" s="4" t="s">
        <v>402</v>
      </c>
      <c r="E168" s="4" t="s">
        <v>186</v>
      </c>
      <c r="F168" s="22">
        <v>46387</v>
      </c>
      <c r="G168" s="23" t="s">
        <v>108</v>
      </c>
      <c r="H168" s="6"/>
      <c r="I168" s="6"/>
      <c r="J168" s="6"/>
      <c r="K168" s="6"/>
      <c r="L168" s="6"/>
      <c r="M168" s="6"/>
      <c r="N168" s="6"/>
      <c r="O168" s="16" t="str">
        <f>IF(COUNT(I168:M168)&lt;5,"",ROUND((I168*Matriz!$C$5+J168*Matriz!$C$6+K168*Matriz!$C$7+L168*Matriz!$C$8+M168*Matriz!$C$9)/SUM(Matriz!$C$5:$C$9),2))</f>
        <v/>
      </c>
      <c r="P168" s="17">
        <f>IFERROR(INDEX(Processos!$F$8:$F$17,MATCH(C168,Processos!$A$8:$A$17,0)),1)</f>
        <v>1.0840000000000001</v>
      </c>
      <c r="Q168" s="24">
        <f>IFERROR(INDEX(Matriz!$C$28:$C$33,MATCH(G168,Matriz!$A$28:$A$33,0)),0)</f>
        <v>-0.3</v>
      </c>
      <c r="R168" s="25" t="str">
        <f t="shared" si="8"/>
        <v/>
      </c>
      <c r="S168" s="10" t="str">
        <f>IF(R168="","",IF(R168&gt;=Matriz!$C$19,4,IF(R168&gt;=Matriz!$C$18,3,IF(R168&gt;=Matriz!$C$17,2,1))))</f>
        <v/>
      </c>
      <c r="T168" s="9" t="str">
        <f>IF(S168="","",MAX(S168,IF(I168=5,Matriz!$C$23,0),IF(N168="Sim",Matriz!$C$24,0)))</f>
        <v/>
      </c>
      <c r="U168" s="9" t="str">
        <f t="shared" si="9"/>
        <v/>
      </c>
      <c r="V168" s="26" t="str">
        <f t="shared" si="10"/>
        <v/>
      </c>
      <c r="W168" s="10" t="str">
        <f t="shared" si="11"/>
        <v/>
      </c>
      <c r="X168" s="4"/>
      <c r="Y168" s="4"/>
    </row>
    <row r="169" spans="1:25" ht="28.05" hidden="1" customHeight="1" x14ac:dyDescent="0.3">
      <c r="A169" s="20" t="s">
        <v>510</v>
      </c>
      <c r="B169" s="21" t="s">
        <v>511</v>
      </c>
      <c r="C169" s="4" t="s">
        <v>126</v>
      </c>
      <c r="D169" s="4" t="s">
        <v>229</v>
      </c>
      <c r="E169" s="4" t="s">
        <v>186</v>
      </c>
      <c r="F169" s="22">
        <v>46326</v>
      </c>
      <c r="G169" s="23" t="s">
        <v>102</v>
      </c>
      <c r="H169" s="6"/>
      <c r="I169" s="6"/>
      <c r="J169" s="6"/>
      <c r="K169" s="6"/>
      <c r="L169" s="6"/>
      <c r="M169" s="6"/>
      <c r="N169" s="6"/>
      <c r="O169" s="16" t="str">
        <f>IF(COUNT(I169:M169)&lt;5,"",ROUND((I169*Matriz!$C$5+J169*Matriz!$C$6+K169*Matriz!$C$7+L169*Matriz!$C$8+M169*Matriz!$C$9)/SUM(Matriz!$C$5:$C$9),2))</f>
        <v/>
      </c>
      <c r="P169" s="17">
        <f>IFERROR(INDEX(Processos!$F$8:$F$17,MATCH(C169,Processos!$A$8:$A$17,0)),1)</f>
        <v>1.0840000000000001</v>
      </c>
      <c r="Q169" s="24">
        <f>IFERROR(INDEX(Matriz!$C$28:$C$33,MATCH(G169,Matriz!$A$28:$A$33,0)),0)</f>
        <v>0</v>
      </c>
      <c r="R169" s="25" t="str">
        <f t="shared" si="8"/>
        <v/>
      </c>
      <c r="S169" s="10" t="str">
        <f>IF(R169="","",IF(R169&gt;=Matriz!$C$19,4,IF(R169&gt;=Matriz!$C$18,3,IF(R169&gt;=Matriz!$C$17,2,1))))</f>
        <v/>
      </c>
      <c r="T169" s="9" t="str">
        <f>IF(S169="","",MAX(S169,IF(I169=5,Matriz!$C$23,0),IF(N169="Sim",Matriz!$C$24,0)))</f>
        <v/>
      </c>
      <c r="U169" s="9" t="str">
        <f t="shared" si="9"/>
        <v/>
      </c>
      <c r="V169" s="26" t="str">
        <f t="shared" si="10"/>
        <v/>
      </c>
      <c r="W169" s="10" t="str">
        <f t="shared" si="11"/>
        <v/>
      </c>
      <c r="X169" s="4"/>
      <c r="Y169" s="4"/>
    </row>
    <row r="170" spans="1:25" ht="28.05" hidden="1" customHeight="1" x14ac:dyDescent="0.3">
      <c r="A170" s="20" t="s">
        <v>512</v>
      </c>
      <c r="B170" s="21" t="s">
        <v>513</v>
      </c>
      <c r="C170" s="4" t="s">
        <v>126</v>
      </c>
      <c r="D170" s="4" t="s">
        <v>479</v>
      </c>
      <c r="E170" s="4" t="s">
        <v>186</v>
      </c>
      <c r="F170" s="22">
        <v>46477</v>
      </c>
      <c r="G170" s="23" t="s">
        <v>104</v>
      </c>
      <c r="H170" s="6"/>
      <c r="I170" s="6"/>
      <c r="J170" s="6"/>
      <c r="K170" s="6"/>
      <c r="L170" s="6"/>
      <c r="M170" s="6"/>
      <c r="N170" s="6"/>
      <c r="O170" s="16" t="str">
        <f>IF(COUNT(I170:M170)&lt;5,"",ROUND((I170*Matriz!$C$5+J170*Matriz!$C$6+K170*Matriz!$C$7+L170*Matriz!$C$8+M170*Matriz!$C$9)/SUM(Matriz!$C$5:$C$9),2))</f>
        <v/>
      </c>
      <c r="P170" s="17">
        <f>IFERROR(INDEX(Processos!$F$8:$F$17,MATCH(C170,Processos!$A$8:$A$17,0)),1)</f>
        <v>1.0840000000000001</v>
      </c>
      <c r="Q170" s="24">
        <f>IFERROR(INDEX(Matriz!$C$28:$C$33,MATCH(G170,Matriz!$A$28:$A$33,0)),0)</f>
        <v>0</v>
      </c>
      <c r="R170" s="25" t="str">
        <f t="shared" si="8"/>
        <v/>
      </c>
      <c r="S170" s="10" t="str">
        <f>IF(R170="","",IF(R170&gt;=Matriz!$C$19,4,IF(R170&gt;=Matriz!$C$18,3,IF(R170&gt;=Matriz!$C$17,2,1))))</f>
        <v/>
      </c>
      <c r="T170" s="9" t="str">
        <f>IF(S170="","",MAX(S170,IF(I170=5,Matriz!$C$23,0),IF(N170="Sim",Matriz!$C$24,0)))</f>
        <v/>
      </c>
      <c r="U170" s="9" t="str">
        <f t="shared" si="9"/>
        <v/>
      </c>
      <c r="V170" s="26" t="str">
        <f t="shared" si="10"/>
        <v/>
      </c>
      <c r="W170" s="10" t="str">
        <f t="shared" si="11"/>
        <v/>
      </c>
      <c r="X170" s="4"/>
      <c r="Y170" s="4"/>
    </row>
    <row r="171" spans="1:25" ht="28.05" hidden="1" customHeight="1" x14ac:dyDescent="0.3">
      <c r="A171" s="20" t="s">
        <v>514</v>
      </c>
      <c r="B171" s="21" t="s">
        <v>515</v>
      </c>
      <c r="C171" s="4" t="s">
        <v>126</v>
      </c>
      <c r="D171" s="4" t="s">
        <v>242</v>
      </c>
      <c r="E171" s="4" t="s">
        <v>186</v>
      </c>
      <c r="F171" s="22">
        <v>46387</v>
      </c>
      <c r="G171" s="23" t="s">
        <v>102</v>
      </c>
      <c r="H171" s="6"/>
      <c r="I171" s="6"/>
      <c r="J171" s="6"/>
      <c r="K171" s="6"/>
      <c r="L171" s="6"/>
      <c r="M171" s="6"/>
      <c r="N171" s="6"/>
      <c r="O171" s="16" t="str">
        <f>IF(COUNT(I171:M171)&lt;5,"",ROUND((I171*Matriz!$C$5+J171*Matriz!$C$6+K171*Matriz!$C$7+L171*Matriz!$C$8+M171*Matriz!$C$9)/SUM(Matriz!$C$5:$C$9),2))</f>
        <v/>
      </c>
      <c r="P171" s="17">
        <f>IFERROR(INDEX(Processos!$F$8:$F$17,MATCH(C171,Processos!$A$8:$A$17,0)),1)</f>
        <v>1.0840000000000001</v>
      </c>
      <c r="Q171" s="24">
        <f>IFERROR(INDEX(Matriz!$C$28:$C$33,MATCH(G171,Matriz!$A$28:$A$33,0)),0)</f>
        <v>0</v>
      </c>
      <c r="R171" s="25" t="str">
        <f t="shared" si="8"/>
        <v/>
      </c>
      <c r="S171" s="10" t="str">
        <f>IF(R171="","",IF(R171&gt;=Matriz!$C$19,4,IF(R171&gt;=Matriz!$C$18,3,IF(R171&gt;=Matriz!$C$17,2,1))))</f>
        <v/>
      </c>
      <c r="T171" s="9" t="str">
        <f>IF(S171="","",MAX(S171,IF(I171=5,Matriz!$C$23,0),IF(N171="Sim",Matriz!$C$24,0)))</f>
        <v/>
      </c>
      <c r="U171" s="9" t="str">
        <f t="shared" si="9"/>
        <v/>
      </c>
      <c r="V171" s="26" t="str">
        <f t="shared" si="10"/>
        <v/>
      </c>
      <c r="W171" s="10" t="str">
        <f t="shared" si="11"/>
        <v/>
      </c>
      <c r="X171" s="4"/>
      <c r="Y171" s="4"/>
    </row>
    <row r="172" spans="1:25" ht="28.05" hidden="1" customHeight="1" x14ac:dyDescent="0.3">
      <c r="A172" s="20" t="s">
        <v>516</v>
      </c>
      <c r="B172" s="21" t="s">
        <v>517</v>
      </c>
      <c r="C172" s="4" t="s">
        <v>126</v>
      </c>
      <c r="D172" s="4" t="s">
        <v>229</v>
      </c>
      <c r="E172" s="4" t="s">
        <v>186</v>
      </c>
      <c r="F172" s="22">
        <v>46387</v>
      </c>
      <c r="G172" s="23" t="s">
        <v>102</v>
      </c>
      <c r="H172" s="6"/>
      <c r="I172" s="6"/>
      <c r="J172" s="6"/>
      <c r="K172" s="6"/>
      <c r="L172" s="6"/>
      <c r="M172" s="6"/>
      <c r="N172" s="6"/>
      <c r="O172" s="16" t="str">
        <f>IF(COUNT(I172:M172)&lt;5,"",ROUND((I172*Matriz!$C$5+J172*Matriz!$C$6+K172*Matriz!$C$7+L172*Matriz!$C$8+M172*Matriz!$C$9)/SUM(Matriz!$C$5:$C$9),2))</f>
        <v/>
      </c>
      <c r="P172" s="17">
        <f>IFERROR(INDEX(Processos!$F$8:$F$17,MATCH(C172,Processos!$A$8:$A$17,0)),1)</f>
        <v>1.0840000000000001</v>
      </c>
      <c r="Q172" s="24">
        <f>IFERROR(INDEX(Matriz!$C$28:$C$33,MATCH(G172,Matriz!$A$28:$A$33,0)),0)</f>
        <v>0</v>
      </c>
      <c r="R172" s="25" t="str">
        <f t="shared" si="8"/>
        <v/>
      </c>
      <c r="S172" s="10" t="str">
        <f>IF(R172="","",IF(R172&gt;=Matriz!$C$19,4,IF(R172&gt;=Matriz!$C$18,3,IF(R172&gt;=Matriz!$C$17,2,1))))</f>
        <v/>
      </c>
      <c r="T172" s="9" t="str">
        <f>IF(S172="","",MAX(S172,IF(I172=5,Matriz!$C$23,0),IF(N172="Sim",Matriz!$C$24,0)))</f>
        <v/>
      </c>
      <c r="U172" s="9" t="str">
        <f t="shared" si="9"/>
        <v/>
      </c>
      <c r="V172" s="26" t="str">
        <f t="shared" si="10"/>
        <v/>
      </c>
      <c r="W172" s="10" t="str">
        <f t="shared" si="11"/>
        <v/>
      </c>
      <c r="X172" s="4"/>
      <c r="Y172" s="4"/>
    </row>
    <row r="173" spans="1:25" ht="28.05" hidden="1" customHeight="1" x14ac:dyDescent="0.3">
      <c r="A173" s="20" t="s">
        <v>518</v>
      </c>
      <c r="B173" s="21" t="s">
        <v>519</v>
      </c>
      <c r="C173" s="4" t="s">
        <v>126</v>
      </c>
      <c r="D173" s="4" t="s">
        <v>467</v>
      </c>
      <c r="E173" s="4" t="s">
        <v>186</v>
      </c>
      <c r="F173" s="22">
        <v>46326</v>
      </c>
      <c r="G173" s="23" t="s">
        <v>104</v>
      </c>
      <c r="H173" s="6"/>
      <c r="I173" s="6"/>
      <c r="J173" s="6"/>
      <c r="K173" s="6"/>
      <c r="L173" s="6"/>
      <c r="M173" s="6"/>
      <c r="N173" s="6"/>
      <c r="O173" s="16" t="str">
        <f>IF(COUNT(I173:M173)&lt;5,"",ROUND((I173*Matriz!$C$5+J173*Matriz!$C$6+K173*Matriz!$C$7+L173*Matriz!$C$8+M173*Matriz!$C$9)/SUM(Matriz!$C$5:$C$9),2))</f>
        <v/>
      </c>
      <c r="P173" s="17">
        <f>IFERROR(INDEX(Processos!$F$8:$F$17,MATCH(C173,Processos!$A$8:$A$17,0)),1)</f>
        <v>1.0840000000000001</v>
      </c>
      <c r="Q173" s="24">
        <f>IFERROR(INDEX(Matriz!$C$28:$C$33,MATCH(G173,Matriz!$A$28:$A$33,0)),0)</f>
        <v>0</v>
      </c>
      <c r="R173" s="25" t="str">
        <f t="shared" si="8"/>
        <v/>
      </c>
      <c r="S173" s="10" t="str">
        <f>IF(R173="","",IF(R173&gt;=Matriz!$C$19,4,IF(R173&gt;=Matriz!$C$18,3,IF(R173&gt;=Matriz!$C$17,2,1))))</f>
        <v/>
      </c>
      <c r="T173" s="9" t="str">
        <f>IF(S173="","",MAX(S173,IF(I173=5,Matriz!$C$23,0),IF(N173="Sim",Matriz!$C$24,0)))</f>
        <v/>
      </c>
      <c r="U173" s="9" t="str">
        <f t="shared" si="9"/>
        <v/>
      </c>
      <c r="V173" s="26" t="str">
        <f t="shared" si="10"/>
        <v/>
      </c>
      <c r="W173" s="10" t="str">
        <f t="shared" si="11"/>
        <v/>
      </c>
      <c r="X173" s="4"/>
      <c r="Y173" s="4"/>
    </row>
    <row r="174" spans="1:25" ht="28.05" hidden="1" customHeight="1" x14ac:dyDescent="0.3">
      <c r="A174" s="20" t="s">
        <v>520</v>
      </c>
      <c r="B174" s="21" t="s">
        <v>521</v>
      </c>
      <c r="C174" s="4" t="s">
        <v>126</v>
      </c>
      <c r="D174" s="4" t="s">
        <v>242</v>
      </c>
      <c r="E174" s="4" t="s">
        <v>186</v>
      </c>
      <c r="F174" s="22">
        <v>46418</v>
      </c>
      <c r="G174" s="23" t="s">
        <v>104</v>
      </c>
      <c r="H174" s="6"/>
      <c r="I174" s="6"/>
      <c r="J174" s="6"/>
      <c r="K174" s="6"/>
      <c r="L174" s="6"/>
      <c r="M174" s="6"/>
      <c r="N174" s="6"/>
      <c r="O174" s="16" t="str">
        <f>IF(COUNT(I174:M174)&lt;5,"",ROUND((I174*Matriz!$C$5+J174*Matriz!$C$6+K174*Matriz!$C$7+L174*Matriz!$C$8+M174*Matriz!$C$9)/SUM(Matriz!$C$5:$C$9),2))</f>
        <v/>
      </c>
      <c r="P174" s="17">
        <f>IFERROR(INDEX(Processos!$F$8:$F$17,MATCH(C174,Processos!$A$8:$A$17,0)),1)</f>
        <v>1.0840000000000001</v>
      </c>
      <c r="Q174" s="24">
        <f>IFERROR(INDEX(Matriz!$C$28:$C$33,MATCH(G174,Matriz!$A$28:$A$33,0)),0)</f>
        <v>0</v>
      </c>
      <c r="R174" s="25" t="str">
        <f t="shared" si="8"/>
        <v/>
      </c>
      <c r="S174" s="10" t="str">
        <f>IF(R174="","",IF(R174&gt;=Matriz!$C$19,4,IF(R174&gt;=Matriz!$C$18,3,IF(R174&gt;=Matriz!$C$17,2,1))))</f>
        <v/>
      </c>
      <c r="T174" s="9" t="str">
        <f>IF(S174="","",MAX(S174,IF(I174=5,Matriz!$C$23,0),IF(N174="Sim",Matriz!$C$24,0)))</f>
        <v/>
      </c>
      <c r="U174" s="9" t="str">
        <f t="shared" si="9"/>
        <v/>
      </c>
      <c r="V174" s="26" t="str">
        <f t="shared" si="10"/>
        <v/>
      </c>
      <c r="W174" s="10" t="str">
        <f t="shared" si="11"/>
        <v/>
      </c>
      <c r="X174" s="4"/>
      <c r="Y174" s="4"/>
    </row>
    <row r="175" spans="1:25" ht="28.05" hidden="1" customHeight="1" x14ac:dyDescent="0.3">
      <c r="A175" s="20" t="s">
        <v>522</v>
      </c>
      <c r="B175" s="21" t="s">
        <v>523</v>
      </c>
      <c r="C175" s="4" t="s">
        <v>126</v>
      </c>
      <c r="D175" s="4" t="s">
        <v>229</v>
      </c>
      <c r="E175" s="4" t="s">
        <v>226</v>
      </c>
      <c r="F175" s="22"/>
      <c r="G175" s="23" t="s">
        <v>102</v>
      </c>
      <c r="H175" s="6"/>
      <c r="I175" s="6"/>
      <c r="J175" s="6"/>
      <c r="K175" s="6"/>
      <c r="L175" s="6"/>
      <c r="M175" s="6"/>
      <c r="N175" s="6"/>
      <c r="O175" s="16" t="str">
        <f>IF(COUNT(I175:M175)&lt;5,"",ROUND((I175*Matriz!$C$5+J175*Matriz!$C$6+K175*Matriz!$C$7+L175*Matriz!$C$8+M175*Matriz!$C$9)/SUM(Matriz!$C$5:$C$9),2))</f>
        <v/>
      </c>
      <c r="P175" s="17">
        <f>IFERROR(INDEX(Processos!$F$8:$F$17,MATCH(C175,Processos!$A$8:$A$17,0)),1)</f>
        <v>1.0840000000000001</v>
      </c>
      <c r="Q175" s="24">
        <f>IFERROR(INDEX(Matriz!$C$28:$C$33,MATCH(G175,Matriz!$A$28:$A$33,0)),0)</f>
        <v>0</v>
      </c>
      <c r="R175" s="25" t="str">
        <f t="shared" si="8"/>
        <v/>
      </c>
      <c r="S175" s="10" t="str">
        <f>IF(R175="","",IF(R175&gt;=Matriz!$C$19,4,IF(R175&gt;=Matriz!$C$18,3,IF(R175&gt;=Matriz!$C$17,2,1))))</f>
        <v/>
      </c>
      <c r="T175" s="9" t="str">
        <f>IF(S175="","",MAX(S175,IF(I175=5,Matriz!$C$23,0),IF(N175="Sim",Matriz!$C$24,0)))</f>
        <v/>
      </c>
      <c r="U175" s="9" t="str">
        <f t="shared" si="9"/>
        <v/>
      </c>
      <c r="V175" s="26" t="str">
        <f t="shared" si="10"/>
        <v/>
      </c>
      <c r="W175" s="10" t="str">
        <f t="shared" si="11"/>
        <v/>
      </c>
      <c r="X175" s="4"/>
      <c r="Y175" s="4"/>
    </row>
    <row r="176" spans="1:25" ht="28.05" hidden="1" customHeight="1" x14ac:dyDescent="0.3">
      <c r="A176" s="20" t="s">
        <v>524</v>
      </c>
      <c r="B176" s="21" t="s">
        <v>525</v>
      </c>
      <c r="C176" s="4" t="s">
        <v>126</v>
      </c>
      <c r="D176" s="4" t="s">
        <v>229</v>
      </c>
      <c r="E176" s="4" t="s">
        <v>226</v>
      </c>
      <c r="F176" s="22"/>
      <c r="G176" s="23" t="s">
        <v>102</v>
      </c>
      <c r="H176" s="6"/>
      <c r="I176" s="6"/>
      <c r="J176" s="6"/>
      <c r="K176" s="6"/>
      <c r="L176" s="6"/>
      <c r="M176" s="6"/>
      <c r="N176" s="6"/>
      <c r="O176" s="16" t="str">
        <f>IF(COUNT(I176:M176)&lt;5,"",ROUND((I176*Matriz!$C$5+J176*Matriz!$C$6+K176*Matriz!$C$7+L176*Matriz!$C$8+M176*Matriz!$C$9)/SUM(Matriz!$C$5:$C$9),2))</f>
        <v/>
      </c>
      <c r="P176" s="17">
        <f>IFERROR(INDEX(Processos!$F$8:$F$17,MATCH(C176,Processos!$A$8:$A$17,0)),1)</f>
        <v>1.0840000000000001</v>
      </c>
      <c r="Q176" s="24">
        <f>IFERROR(INDEX(Matriz!$C$28:$C$33,MATCH(G176,Matriz!$A$28:$A$33,0)),0)</f>
        <v>0</v>
      </c>
      <c r="R176" s="25" t="str">
        <f t="shared" si="8"/>
        <v/>
      </c>
      <c r="S176" s="10" t="str">
        <f>IF(R176="","",IF(R176&gt;=Matriz!$C$19,4,IF(R176&gt;=Matriz!$C$18,3,IF(R176&gt;=Matriz!$C$17,2,1))))</f>
        <v/>
      </c>
      <c r="T176" s="9" t="str">
        <f>IF(S176="","",MAX(S176,IF(I176=5,Matriz!$C$23,0),IF(N176="Sim",Matriz!$C$24,0)))</f>
        <v/>
      </c>
      <c r="U176" s="9" t="str">
        <f t="shared" si="9"/>
        <v/>
      </c>
      <c r="V176" s="26" t="str">
        <f t="shared" si="10"/>
        <v/>
      </c>
      <c r="W176" s="10" t="str">
        <f t="shared" si="11"/>
        <v/>
      </c>
      <c r="X176" s="4"/>
      <c r="Y176" s="4"/>
    </row>
    <row r="177" spans="1:25" ht="28.05" hidden="1" customHeight="1" x14ac:dyDescent="0.3">
      <c r="A177" s="20" t="s">
        <v>526</v>
      </c>
      <c r="B177" s="21" t="s">
        <v>527</v>
      </c>
      <c r="C177" s="4" t="s">
        <v>126</v>
      </c>
      <c r="D177" s="4" t="s">
        <v>255</v>
      </c>
      <c r="E177" s="4" t="s">
        <v>226</v>
      </c>
      <c r="F177" s="22"/>
      <c r="G177" s="23" t="s">
        <v>104</v>
      </c>
      <c r="H177" s="6"/>
      <c r="I177" s="6"/>
      <c r="J177" s="6"/>
      <c r="K177" s="6"/>
      <c r="L177" s="6"/>
      <c r="M177" s="6"/>
      <c r="N177" s="6"/>
      <c r="O177" s="16" t="str">
        <f>IF(COUNT(I177:M177)&lt;5,"",ROUND((I177*Matriz!$C$5+J177*Matriz!$C$6+K177*Matriz!$C$7+L177*Matriz!$C$8+M177*Matriz!$C$9)/SUM(Matriz!$C$5:$C$9),2))</f>
        <v/>
      </c>
      <c r="P177" s="17">
        <f>IFERROR(INDEX(Processos!$F$8:$F$17,MATCH(C177,Processos!$A$8:$A$17,0)),1)</f>
        <v>1.0840000000000001</v>
      </c>
      <c r="Q177" s="24">
        <f>IFERROR(INDEX(Matriz!$C$28:$C$33,MATCH(G177,Matriz!$A$28:$A$33,0)),0)</f>
        <v>0</v>
      </c>
      <c r="R177" s="25" t="str">
        <f t="shared" si="8"/>
        <v/>
      </c>
      <c r="S177" s="10" t="str">
        <f>IF(R177="","",IF(R177&gt;=Matriz!$C$19,4,IF(R177&gt;=Matriz!$C$18,3,IF(R177&gt;=Matriz!$C$17,2,1))))</f>
        <v/>
      </c>
      <c r="T177" s="9" t="str">
        <f>IF(S177="","",MAX(S177,IF(I177=5,Matriz!$C$23,0),IF(N177="Sim",Matriz!$C$24,0)))</f>
        <v/>
      </c>
      <c r="U177" s="9" t="str">
        <f t="shared" si="9"/>
        <v/>
      </c>
      <c r="V177" s="26" t="str">
        <f t="shared" si="10"/>
        <v/>
      </c>
      <c r="W177" s="10" t="str">
        <f t="shared" si="11"/>
        <v/>
      </c>
      <c r="X177" s="4"/>
      <c r="Y177" s="4"/>
    </row>
    <row r="178" spans="1:25" ht="28.05" hidden="1" customHeight="1" x14ac:dyDescent="0.3">
      <c r="A178" s="20" t="s">
        <v>528</v>
      </c>
      <c r="B178" s="21" t="s">
        <v>529</v>
      </c>
      <c r="C178" s="4" t="s">
        <v>126</v>
      </c>
      <c r="D178" s="4" t="s">
        <v>393</v>
      </c>
      <c r="E178" s="4" t="s">
        <v>226</v>
      </c>
      <c r="F178" s="22"/>
      <c r="G178" s="23" t="s">
        <v>104</v>
      </c>
      <c r="H178" s="6"/>
      <c r="I178" s="6"/>
      <c r="J178" s="6"/>
      <c r="K178" s="6"/>
      <c r="L178" s="6"/>
      <c r="M178" s="6"/>
      <c r="N178" s="6"/>
      <c r="O178" s="16" t="str">
        <f>IF(COUNT(I178:M178)&lt;5,"",ROUND((I178*Matriz!$C$5+J178*Matriz!$C$6+K178*Matriz!$C$7+L178*Matriz!$C$8+M178*Matriz!$C$9)/SUM(Matriz!$C$5:$C$9),2))</f>
        <v/>
      </c>
      <c r="P178" s="17">
        <f>IFERROR(INDEX(Processos!$F$8:$F$17,MATCH(C178,Processos!$A$8:$A$17,0)),1)</f>
        <v>1.0840000000000001</v>
      </c>
      <c r="Q178" s="24">
        <f>IFERROR(INDEX(Matriz!$C$28:$C$33,MATCH(G178,Matriz!$A$28:$A$33,0)),0)</f>
        <v>0</v>
      </c>
      <c r="R178" s="25" t="str">
        <f t="shared" si="8"/>
        <v/>
      </c>
      <c r="S178" s="10" t="str">
        <f>IF(R178="","",IF(R178&gt;=Matriz!$C$19,4,IF(R178&gt;=Matriz!$C$18,3,IF(R178&gt;=Matriz!$C$17,2,1))))</f>
        <v/>
      </c>
      <c r="T178" s="9" t="str">
        <f>IF(S178="","",MAX(S178,IF(I178=5,Matriz!$C$23,0),IF(N178="Sim",Matriz!$C$24,0)))</f>
        <v/>
      </c>
      <c r="U178" s="9" t="str">
        <f t="shared" si="9"/>
        <v/>
      </c>
      <c r="V178" s="26" t="str">
        <f t="shared" si="10"/>
        <v/>
      </c>
      <c r="W178" s="10" t="str">
        <f t="shared" si="11"/>
        <v/>
      </c>
      <c r="X178" s="4"/>
      <c r="Y178" s="4"/>
    </row>
    <row r="179" spans="1:25" ht="28.05" hidden="1" customHeight="1" x14ac:dyDescent="0.3">
      <c r="A179" s="20" t="s">
        <v>530</v>
      </c>
      <c r="B179" s="21" t="s">
        <v>531</v>
      </c>
      <c r="C179" s="4" t="s">
        <v>126</v>
      </c>
      <c r="D179" s="4" t="s">
        <v>229</v>
      </c>
      <c r="E179" s="4" t="s">
        <v>226</v>
      </c>
      <c r="F179" s="22"/>
      <c r="G179" s="23" t="s">
        <v>102</v>
      </c>
      <c r="H179" s="6"/>
      <c r="I179" s="6"/>
      <c r="J179" s="6"/>
      <c r="K179" s="6"/>
      <c r="L179" s="6"/>
      <c r="M179" s="6"/>
      <c r="N179" s="6"/>
      <c r="O179" s="16" t="str">
        <f>IF(COUNT(I179:M179)&lt;5,"",ROUND((I179*Matriz!$C$5+J179*Matriz!$C$6+K179*Matriz!$C$7+L179*Matriz!$C$8+M179*Matriz!$C$9)/SUM(Matriz!$C$5:$C$9),2))</f>
        <v/>
      </c>
      <c r="P179" s="17">
        <f>IFERROR(INDEX(Processos!$F$8:$F$17,MATCH(C179,Processos!$A$8:$A$17,0)),1)</f>
        <v>1.0840000000000001</v>
      </c>
      <c r="Q179" s="24">
        <f>IFERROR(INDEX(Matriz!$C$28:$C$33,MATCH(G179,Matriz!$A$28:$A$33,0)),0)</f>
        <v>0</v>
      </c>
      <c r="R179" s="25" t="str">
        <f t="shared" si="8"/>
        <v/>
      </c>
      <c r="S179" s="10" t="str">
        <f>IF(R179="","",IF(R179&gt;=Matriz!$C$19,4,IF(R179&gt;=Matriz!$C$18,3,IF(R179&gt;=Matriz!$C$17,2,1))))</f>
        <v/>
      </c>
      <c r="T179" s="9" t="str">
        <f>IF(S179="","",MAX(S179,IF(I179=5,Matriz!$C$23,0),IF(N179="Sim",Matriz!$C$24,0)))</f>
        <v/>
      </c>
      <c r="U179" s="9" t="str">
        <f t="shared" si="9"/>
        <v/>
      </c>
      <c r="V179" s="26" t="str">
        <f t="shared" si="10"/>
        <v/>
      </c>
      <c r="W179" s="10" t="str">
        <f t="shared" si="11"/>
        <v/>
      </c>
      <c r="X179" s="4"/>
      <c r="Y179" s="4"/>
    </row>
    <row r="180" spans="1:25" ht="28.05" hidden="1" customHeight="1" x14ac:dyDescent="0.3">
      <c r="A180" s="20" t="s">
        <v>532</v>
      </c>
      <c r="B180" s="21" t="s">
        <v>533</v>
      </c>
      <c r="C180" s="4" t="s">
        <v>126</v>
      </c>
      <c r="D180" s="4" t="s">
        <v>229</v>
      </c>
      <c r="E180" s="4" t="s">
        <v>226</v>
      </c>
      <c r="F180" s="22"/>
      <c r="G180" s="23" t="s">
        <v>104</v>
      </c>
      <c r="H180" s="6"/>
      <c r="I180" s="6"/>
      <c r="J180" s="6"/>
      <c r="K180" s="6"/>
      <c r="L180" s="6"/>
      <c r="M180" s="6"/>
      <c r="N180" s="6"/>
      <c r="O180" s="16" t="str">
        <f>IF(COUNT(I180:M180)&lt;5,"",ROUND((I180*Matriz!$C$5+J180*Matriz!$C$6+K180*Matriz!$C$7+L180*Matriz!$C$8+M180*Matriz!$C$9)/SUM(Matriz!$C$5:$C$9),2))</f>
        <v/>
      </c>
      <c r="P180" s="17">
        <f>IFERROR(INDEX(Processos!$F$8:$F$17,MATCH(C180,Processos!$A$8:$A$17,0)),1)</f>
        <v>1.0840000000000001</v>
      </c>
      <c r="Q180" s="24">
        <f>IFERROR(INDEX(Matriz!$C$28:$C$33,MATCH(G180,Matriz!$A$28:$A$33,0)),0)</f>
        <v>0</v>
      </c>
      <c r="R180" s="25" t="str">
        <f t="shared" si="8"/>
        <v/>
      </c>
      <c r="S180" s="10" t="str">
        <f>IF(R180="","",IF(R180&gt;=Matriz!$C$19,4,IF(R180&gt;=Matriz!$C$18,3,IF(R180&gt;=Matriz!$C$17,2,1))))</f>
        <v/>
      </c>
      <c r="T180" s="9" t="str">
        <f>IF(S180="","",MAX(S180,IF(I180=5,Matriz!$C$23,0),IF(N180="Sim",Matriz!$C$24,0)))</f>
        <v/>
      </c>
      <c r="U180" s="9" t="str">
        <f t="shared" si="9"/>
        <v/>
      </c>
      <c r="V180" s="26" t="str">
        <f t="shared" si="10"/>
        <v/>
      </c>
      <c r="W180" s="10" t="str">
        <f t="shared" si="11"/>
        <v/>
      </c>
      <c r="X180" s="4"/>
      <c r="Y180" s="4"/>
    </row>
    <row r="181" spans="1:25" ht="28.05" hidden="1" customHeight="1" x14ac:dyDescent="0.3">
      <c r="A181" s="20" t="s">
        <v>534</v>
      </c>
      <c r="B181" s="21" t="s">
        <v>535</v>
      </c>
      <c r="C181" s="4" t="s">
        <v>126</v>
      </c>
      <c r="D181" s="4" t="s">
        <v>229</v>
      </c>
      <c r="E181" s="4" t="s">
        <v>226</v>
      </c>
      <c r="F181" s="22"/>
      <c r="G181" s="23" t="s">
        <v>104</v>
      </c>
      <c r="H181" s="6"/>
      <c r="I181" s="6"/>
      <c r="J181" s="6"/>
      <c r="K181" s="6"/>
      <c r="L181" s="6"/>
      <c r="M181" s="6"/>
      <c r="N181" s="6"/>
      <c r="O181" s="16" t="str">
        <f>IF(COUNT(I181:M181)&lt;5,"",ROUND((I181*Matriz!$C$5+J181*Matriz!$C$6+K181*Matriz!$C$7+L181*Matriz!$C$8+M181*Matriz!$C$9)/SUM(Matriz!$C$5:$C$9),2))</f>
        <v/>
      </c>
      <c r="P181" s="17">
        <f>IFERROR(INDEX(Processos!$F$8:$F$17,MATCH(C181,Processos!$A$8:$A$17,0)),1)</f>
        <v>1.0840000000000001</v>
      </c>
      <c r="Q181" s="24">
        <f>IFERROR(INDEX(Matriz!$C$28:$C$33,MATCH(G181,Matriz!$A$28:$A$33,0)),0)</f>
        <v>0</v>
      </c>
      <c r="R181" s="25" t="str">
        <f t="shared" si="8"/>
        <v/>
      </c>
      <c r="S181" s="10" t="str">
        <f>IF(R181="","",IF(R181&gt;=Matriz!$C$19,4,IF(R181&gt;=Matriz!$C$18,3,IF(R181&gt;=Matriz!$C$17,2,1))))</f>
        <v/>
      </c>
      <c r="T181" s="9" t="str">
        <f>IF(S181="","",MAX(S181,IF(I181=5,Matriz!$C$23,0),IF(N181="Sim",Matriz!$C$24,0)))</f>
        <v/>
      </c>
      <c r="U181" s="9" t="str">
        <f t="shared" si="9"/>
        <v/>
      </c>
      <c r="V181" s="26" t="str">
        <f t="shared" si="10"/>
        <v/>
      </c>
      <c r="W181" s="10" t="str">
        <f t="shared" si="11"/>
        <v/>
      </c>
      <c r="X181" s="4"/>
      <c r="Y181" s="4"/>
    </row>
    <row r="182" spans="1:25" ht="28.05" hidden="1" customHeight="1" x14ac:dyDescent="0.3">
      <c r="A182" s="20" t="s">
        <v>536</v>
      </c>
      <c r="B182" s="21" t="s">
        <v>537</v>
      </c>
      <c r="C182" s="4" t="s">
        <v>126</v>
      </c>
      <c r="D182" s="4" t="s">
        <v>229</v>
      </c>
      <c r="E182" s="4" t="s">
        <v>226</v>
      </c>
      <c r="F182" s="22"/>
      <c r="G182" s="23" t="s">
        <v>102</v>
      </c>
      <c r="H182" s="6"/>
      <c r="I182" s="6"/>
      <c r="J182" s="6"/>
      <c r="K182" s="6"/>
      <c r="L182" s="6"/>
      <c r="M182" s="6"/>
      <c r="N182" s="6"/>
      <c r="O182" s="16" t="str">
        <f>IF(COUNT(I182:M182)&lt;5,"",ROUND((I182*Matriz!$C$5+J182*Matriz!$C$6+K182*Matriz!$C$7+L182*Matriz!$C$8+M182*Matriz!$C$9)/SUM(Matriz!$C$5:$C$9),2))</f>
        <v/>
      </c>
      <c r="P182" s="17">
        <f>IFERROR(INDEX(Processos!$F$8:$F$17,MATCH(C182,Processos!$A$8:$A$17,0)),1)</f>
        <v>1.0840000000000001</v>
      </c>
      <c r="Q182" s="24">
        <f>IFERROR(INDEX(Matriz!$C$28:$C$33,MATCH(G182,Matriz!$A$28:$A$33,0)),0)</f>
        <v>0</v>
      </c>
      <c r="R182" s="25" t="str">
        <f t="shared" si="8"/>
        <v/>
      </c>
      <c r="S182" s="10" t="str">
        <f>IF(R182="","",IF(R182&gt;=Matriz!$C$19,4,IF(R182&gt;=Matriz!$C$18,3,IF(R182&gt;=Matriz!$C$17,2,1))))</f>
        <v/>
      </c>
      <c r="T182" s="9" t="str">
        <f>IF(S182="","",MAX(S182,IF(I182=5,Matriz!$C$23,0),IF(N182="Sim",Matriz!$C$24,0)))</f>
        <v/>
      </c>
      <c r="U182" s="9" t="str">
        <f t="shared" si="9"/>
        <v/>
      </c>
      <c r="V182" s="26" t="str">
        <f t="shared" si="10"/>
        <v/>
      </c>
      <c r="W182" s="10" t="str">
        <f t="shared" si="11"/>
        <v/>
      </c>
      <c r="X182" s="4"/>
      <c r="Y182" s="4"/>
    </row>
    <row r="183" spans="1:25" ht="28.05" hidden="1" customHeight="1" x14ac:dyDescent="0.3">
      <c r="A183" s="20" t="s">
        <v>538</v>
      </c>
      <c r="B183" s="21" t="s">
        <v>539</v>
      </c>
      <c r="C183" s="4" t="s">
        <v>126</v>
      </c>
      <c r="D183" s="4" t="s">
        <v>223</v>
      </c>
      <c r="E183" s="4" t="s">
        <v>226</v>
      </c>
      <c r="F183" s="22"/>
      <c r="G183" s="23" t="s">
        <v>104</v>
      </c>
      <c r="H183" s="6"/>
      <c r="I183" s="6"/>
      <c r="J183" s="6"/>
      <c r="K183" s="6"/>
      <c r="L183" s="6"/>
      <c r="M183" s="6"/>
      <c r="N183" s="6"/>
      <c r="O183" s="16" t="str">
        <f>IF(COUNT(I183:M183)&lt;5,"",ROUND((I183*Matriz!$C$5+J183*Matriz!$C$6+K183*Matriz!$C$7+L183*Matriz!$C$8+M183*Matriz!$C$9)/SUM(Matriz!$C$5:$C$9),2))</f>
        <v/>
      </c>
      <c r="P183" s="17">
        <f>IFERROR(INDEX(Processos!$F$8:$F$17,MATCH(C183,Processos!$A$8:$A$17,0)),1)</f>
        <v>1.0840000000000001</v>
      </c>
      <c r="Q183" s="24">
        <f>IFERROR(INDEX(Matriz!$C$28:$C$33,MATCH(G183,Matriz!$A$28:$A$33,0)),0)</f>
        <v>0</v>
      </c>
      <c r="R183" s="25" t="str">
        <f t="shared" si="8"/>
        <v/>
      </c>
      <c r="S183" s="10" t="str">
        <f>IF(R183="","",IF(R183&gt;=Matriz!$C$19,4,IF(R183&gt;=Matriz!$C$18,3,IF(R183&gt;=Matriz!$C$17,2,1))))</f>
        <v/>
      </c>
      <c r="T183" s="9" t="str">
        <f>IF(S183="","",MAX(S183,IF(I183=5,Matriz!$C$23,0),IF(N183="Sim",Matriz!$C$24,0)))</f>
        <v/>
      </c>
      <c r="U183" s="9" t="str">
        <f t="shared" si="9"/>
        <v/>
      </c>
      <c r="V183" s="26" t="str">
        <f t="shared" si="10"/>
        <v/>
      </c>
      <c r="W183" s="10" t="str">
        <f t="shared" si="11"/>
        <v/>
      </c>
      <c r="X183" s="4"/>
      <c r="Y183" s="4"/>
    </row>
    <row r="184" spans="1:25" ht="28.05" hidden="1" customHeight="1" x14ac:dyDescent="0.3">
      <c r="A184" s="20" t="s">
        <v>540</v>
      </c>
      <c r="B184" s="21" t="s">
        <v>541</v>
      </c>
      <c r="C184" s="4" t="s">
        <v>126</v>
      </c>
      <c r="D184" s="4" t="s">
        <v>542</v>
      </c>
      <c r="E184" s="4" t="s">
        <v>226</v>
      </c>
      <c r="F184" s="22"/>
      <c r="G184" s="23" t="s">
        <v>104</v>
      </c>
      <c r="H184" s="6"/>
      <c r="I184" s="6"/>
      <c r="J184" s="6"/>
      <c r="K184" s="6"/>
      <c r="L184" s="6"/>
      <c r="M184" s="6"/>
      <c r="N184" s="6"/>
      <c r="O184" s="16" t="str">
        <f>IF(COUNT(I184:M184)&lt;5,"",ROUND((I184*Matriz!$C$5+J184*Matriz!$C$6+K184*Matriz!$C$7+L184*Matriz!$C$8+M184*Matriz!$C$9)/SUM(Matriz!$C$5:$C$9),2))</f>
        <v/>
      </c>
      <c r="P184" s="17">
        <f>IFERROR(INDEX(Processos!$F$8:$F$17,MATCH(C184,Processos!$A$8:$A$17,0)),1)</f>
        <v>1.0840000000000001</v>
      </c>
      <c r="Q184" s="24">
        <f>IFERROR(INDEX(Matriz!$C$28:$C$33,MATCH(G184,Matriz!$A$28:$A$33,0)),0)</f>
        <v>0</v>
      </c>
      <c r="R184" s="25" t="str">
        <f t="shared" si="8"/>
        <v/>
      </c>
      <c r="S184" s="10" t="str">
        <f>IF(R184="","",IF(R184&gt;=Matriz!$C$19,4,IF(R184&gt;=Matriz!$C$18,3,IF(R184&gt;=Matriz!$C$17,2,1))))</f>
        <v/>
      </c>
      <c r="T184" s="9" t="str">
        <f>IF(S184="","",MAX(S184,IF(I184=5,Matriz!$C$23,0),IF(N184="Sim",Matriz!$C$24,0)))</f>
        <v/>
      </c>
      <c r="U184" s="9" t="str">
        <f t="shared" si="9"/>
        <v/>
      </c>
      <c r="V184" s="26" t="str">
        <f t="shared" si="10"/>
        <v/>
      </c>
      <c r="W184" s="10" t="str">
        <f t="shared" si="11"/>
        <v/>
      </c>
      <c r="X184" s="4"/>
      <c r="Y184" s="4"/>
    </row>
    <row r="185" spans="1:25" ht="28.05" hidden="1" customHeight="1" x14ac:dyDescent="0.3">
      <c r="A185" s="20" t="s">
        <v>543</v>
      </c>
      <c r="B185" s="21" t="s">
        <v>544</v>
      </c>
      <c r="C185" s="4" t="s">
        <v>126</v>
      </c>
      <c r="D185" s="4" t="s">
        <v>393</v>
      </c>
      <c r="E185" s="4" t="s">
        <v>326</v>
      </c>
      <c r="F185" s="22"/>
      <c r="G185" s="23" t="s">
        <v>104</v>
      </c>
      <c r="H185" s="6"/>
      <c r="I185" s="6"/>
      <c r="J185" s="6"/>
      <c r="K185" s="6"/>
      <c r="L185" s="6"/>
      <c r="M185" s="6"/>
      <c r="N185" s="6"/>
      <c r="O185" s="16" t="str">
        <f>IF(COUNT(I185:M185)&lt;5,"",ROUND((I185*Matriz!$C$5+J185*Matriz!$C$6+K185*Matriz!$C$7+L185*Matriz!$C$8+M185*Matriz!$C$9)/SUM(Matriz!$C$5:$C$9),2))</f>
        <v/>
      </c>
      <c r="P185" s="17">
        <f>IFERROR(INDEX(Processos!$F$8:$F$17,MATCH(C185,Processos!$A$8:$A$17,0)),1)</f>
        <v>1.0840000000000001</v>
      </c>
      <c r="Q185" s="24">
        <f>IFERROR(INDEX(Matriz!$C$28:$C$33,MATCH(G185,Matriz!$A$28:$A$33,0)),0)</f>
        <v>0</v>
      </c>
      <c r="R185" s="25" t="str">
        <f t="shared" si="8"/>
        <v/>
      </c>
      <c r="S185" s="10" t="str">
        <f>IF(R185="","",IF(R185&gt;=Matriz!$C$19,4,IF(R185&gt;=Matriz!$C$18,3,IF(R185&gt;=Matriz!$C$17,2,1))))</f>
        <v/>
      </c>
      <c r="T185" s="9" t="str">
        <f>IF(S185="","",MAX(S185,IF(I185=5,Matriz!$C$23,0),IF(N185="Sim",Matriz!$C$24,0)))</f>
        <v/>
      </c>
      <c r="U185" s="9" t="str">
        <f t="shared" si="9"/>
        <v/>
      </c>
      <c r="V185" s="26" t="str">
        <f t="shared" si="10"/>
        <v/>
      </c>
      <c r="W185" s="10" t="str">
        <f t="shared" si="11"/>
        <v/>
      </c>
      <c r="X185" s="4"/>
      <c r="Y185" s="4"/>
    </row>
    <row r="186" spans="1:25" ht="28.05" hidden="1" customHeight="1" x14ac:dyDescent="0.3">
      <c r="A186" s="20" t="s">
        <v>545</v>
      </c>
      <c r="B186" s="21" t="s">
        <v>546</v>
      </c>
      <c r="C186" s="4" t="s">
        <v>126</v>
      </c>
      <c r="D186" s="4" t="s">
        <v>229</v>
      </c>
      <c r="E186" s="4" t="s">
        <v>326</v>
      </c>
      <c r="F186" s="22"/>
      <c r="G186" s="23" t="s">
        <v>102</v>
      </c>
      <c r="H186" s="6"/>
      <c r="I186" s="6"/>
      <c r="J186" s="6"/>
      <c r="K186" s="6"/>
      <c r="L186" s="6"/>
      <c r="M186" s="6"/>
      <c r="N186" s="6"/>
      <c r="O186" s="16" t="str">
        <f>IF(COUNT(I186:M186)&lt;5,"",ROUND((I186*Matriz!$C$5+J186*Matriz!$C$6+K186*Matriz!$C$7+L186*Matriz!$C$8+M186*Matriz!$C$9)/SUM(Matriz!$C$5:$C$9),2))</f>
        <v/>
      </c>
      <c r="P186" s="17">
        <f>IFERROR(INDEX(Processos!$F$8:$F$17,MATCH(C186,Processos!$A$8:$A$17,0)),1)</f>
        <v>1.0840000000000001</v>
      </c>
      <c r="Q186" s="24">
        <f>IFERROR(INDEX(Matriz!$C$28:$C$33,MATCH(G186,Matriz!$A$28:$A$33,0)),0)</f>
        <v>0</v>
      </c>
      <c r="R186" s="25" t="str">
        <f t="shared" si="8"/>
        <v/>
      </c>
      <c r="S186" s="10" t="str">
        <f>IF(R186="","",IF(R186&gt;=Matriz!$C$19,4,IF(R186&gt;=Matriz!$C$18,3,IF(R186&gt;=Matriz!$C$17,2,1))))</f>
        <v/>
      </c>
      <c r="T186" s="9" t="str">
        <f>IF(S186="","",MAX(S186,IF(I186=5,Matriz!$C$23,0),IF(N186="Sim",Matriz!$C$24,0)))</f>
        <v/>
      </c>
      <c r="U186" s="9" t="str">
        <f t="shared" si="9"/>
        <v/>
      </c>
      <c r="V186" s="26" t="str">
        <f t="shared" si="10"/>
        <v/>
      </c>
      <c r="W186" s="10" t="str">
        <f t="shared" si="11"/>
        <v/>
      </c>
      <c r="X186" s="4"/>
      <c r="Y186" s="4"/>
    </row>
    <row r="187" spans="1:25" ht="28.05" hidden="1" customHeight="1" x14ac:dyDescent="0.3">
      <c r="A187" s="20" t="s">
        <v>547</v>
      </c>
      <c r="B187" s="21" t="s">
        <v>548</v>
      </c>
      <c r="C187" s="4" t="s">
        <v>126</v>
      </c>
      <c r="D187" s="4" t="s">
        <v>433</v>
      </c>
      <c r="E187" s="4" t="s">
        <v>326</v>
      </c>
      <c r="F187" s="22">
        <v>46295</v>
      </c>
      <c r="G187" s="23" t="s">
        <v>104</v>
      </c>
      <c r="H187" s="6"/>
      <c r="I187" s="6"/>
      <c r="J187" s="6"/>
      <c r="K187" s="6"/>
      <c r="L187" s="6"/>
      <c r="M187" s="6"/>
      <c r="N187" s="6"/>
      <c r="O187" s="16" t="str">
        <f>IF(COUNT(I187:M187)&lt;5,"",ROUND((I187*Matriz!$C$5+J187*Matriz!$C$6+K187*Matriz!$C$7+L187*Matriz!$C$8+M187*Matriz!$C$9)/SUM(Matriz!$C$5:$C$9),2))</f>
        <v/>
      </c>
      <c r="P187" s="17">
        <f>IFERROR(INDEX(Processos!$F$8:$F$17,MATCH(C187,Processos!$A$8:$A$17,0)),1)</f>
        <v>1.0840000000000001</v>
      </c>
      <c r="Q187" s="24">
        <f>IFERROR(INDEX(Matriz!$C$28:$C$33,MATCH(G187,Matriz!$A$28:$A$33,0)),0)</f>
        <v>0</v>
      </c>
      <c r="R187" s="25" t="str">
        <f t="shared" si="8"/>
        <v/>
      </c>
      <c r="S187" s="10" t="str">
        <f>IF(R187="","",IF(R187&gt;=Matriz!$C$19,4,IF(R187&gt;=Matriz!$C$18,3,IF(R187&gt;=Matriz!$C$17,2,1))))</f>
        <v/>
      </c>
      <c r="T187" s="9" t="str">
        <f>IF(S187="","",MAX(S187,IF(I187=5,Matriz!$C$23,0),IF(N187="Sim",Matriz!$C$24,0)))</f>
        <v/>
      </c>
      <c r="U187" s="9" t="str">
        <f t="shared" si="9"/>
        <v/>
      </c>
      <c r="V187" s="26" t="str">
        <f t="shared" si="10"/>
        <v/>
      </c>
      <c r="W187" s="10" t="str">
        <f t="shared" si="11"/>
        <v/>
      </c>
      <c r="X187" s="4"/>
      <c r="Y187" s="4"/>
    </row>
    <row r="188" spans="1:25" ht="28.05" hidden="1" customHeight="1" x14ac:dyDescent="0.3">
      <c r="A188" s="20" t="s">
        <v>549</v>
      </c>
      <c r="B188" s="21" t="s">
        <v>550</v>
      </c>
      <c r="C188" s="4" t="s">
        <v>126</v>
      </c>
      <c r="D188" s="4" t="s">
        <v>223</v>
      </c>
      <c r="E188" s="4" t="s">
        <v>326</v>
      </c>
      <c r="F188" s="22">
        <v>46234</v>
      </c>
      <c r="G188" s="23" t="s">
        <v>100</v>
      </c>
      <c r="H188" s="6"/>
      <c r="I188" s="6"/>
      <c r="J188" s="6"/>
      <c r="K188" s="6"/>
      <c r="L188" s="6"/>
      <c r="M188" s="6"/>
      <c r="N188" s="6"/>
      <c r="O188" s="16" t="str">
        <f>IF(COUNT(I188:M188)&lt;5,"",ROUND((I188*Matriz!$C$5+J188*Matriz!$C$6+K188*Matriz!$C$7+L188*Matriz!$C$8+M188*Matriz!$C$9)/SUM(Matriz!$C$5:$C$9),2))</f>
        <v/>
      </c>
      <c r="P188" s="17">
        <f>IFERROR(INDEX(Processos!$F$8:$F$17,MATCH(C188,Processos!$A$8:$A$17,0)),1)</f>
        <v>1.0840000000000001</v>
      </c>
      <c r="Q188" s="24">
        <f>IFERROR(INDEX(Matriz!$C$28:$C$33,MATCH(G188,Matriz!$A$28:$A$33,0)),0)</f>
        <v>0</v>
      </c>
      <c r="R188" s="25" t="str">
        <f t="shared" si="8"/>
        <v/>
      </c>
      <c r="S188" s="10" t="str">
        <f>IF(R188="","",IF(R188&gt;=Matriz!$C$19,4,IF(R188&gt;=Matriz!$C$18,3,IF(R188&gt;=Matriz!$C$17,2,1))))</f>
        <v/>
      </c>
      <c r="T188" s="9" t="str">
        <f>IF(S188="","",MAX(S188,IF(I188=5,Matriz!$C$23,0),IF(N188="Sim",Matriz!$C$24,0)))</f>
        <v/>
      </c>
      <c r="U188" s="9" t="str">
        <f t="shared" si="9"/>
        <v/>
      </c>
      <c r="V188" s="26" t="str">
        <f t="shared" si="10"/>
        <v/>
      </c>
      <c r="W188" s="10" t="str">
        <f t="shared" si="11"/>
        <v/>
      </c>
      <c r="X188" s="4"/>
      <c r="Y188" s="4"/>
    </row>
    <row r="189" spans="1:25" ht="40.049999999999997" hidden="1" customHeight="1" x14ac:dyDescent="0.3">
      <c r="A189" s="20" t="s">
        <v>551</v>
      </c>
      <c r="B189" s="21" t="s">
        <v>552</v>
      </c>
      <c r="C189" s="4" t="s">
        <v>126</v>
      </c>
      <c r="D189" s="4" t="s">
        <v>242</v>
      </c>
      <c r="E189" s="4" t="s">
        <v>326</v>
      </c>
      <c r="F189" s="22"/>
      <c r="G189" s="23" t="s">
        <v>98</v>
      </c>
      <c r="H189" s="6">
        <v>3</v>
      </c>
      <c r="I189" s="6">
        <v>4</v>
      </c>
      <c r="J189" s="6">
        <v>4</v>
      </c>
      <c r="K189" s="6">
        <v>4</v>
      </c>
      <c r="L189" s="6">
        <v>2</v>
      </c>
      <c r="M189" s="6">
        <v>2</v>
      </c>
      <c r="N189" s="6" t="s">
        <v>261</v>
      </c>
      <c r="O189" s="16">
        <f>IF(COUNT(I189:M189)&lt;5,"",ROUND((I189*Matriz!$C$5+J189*Matriz!$C$6+K189*Matriz!$C$7+L189*Matriz!$C$8+M189*Matriz!$C$9)/SUM(Matriz!$C$5:$C$9),2))</f>
        <v>3.4</v>
      </c>
      <c r="P189" s="17">
        <f>IFERROR(INDEX(Processos!$F$8:$F$17,MATCH(C189,Processos!$A$8:$A$17,0)),1)</f>
        <v>1.0840000000000001</v>
      </c>
      <c r="Q189" s="24">
        <f>IFERROR(INDEX(Matriz!$C$28:$C$33,MATCH(G189,Matriz!$A$28:$A$33,0)),0)</f>
        <v>0.3</v>
      </c>
      <c r="R189" s="25">
        <f t="shared" si="8"/>
        <v>3.99</v>
      </c>
      <c r="S189" s="10">
        <f>IF(R189="","",IF(R189&gt;=Matriz!$C$19,4,IF(R189&gt;=Matriz!$C$18,3,IF(R189&gt;=Matriz!$C$17,2,1))))</f>
        <v>3</v>
      </c>
      <c r="T189" s="9">
        <f>IF(S189="","",MAX(S189,IF(I189=5,Matriz!$C$23,0),IF(N189="Sim",Matriz!$C$24,0)))</f>
        <v>3</v>
      </c>
      <c r="U189" s="9" t="str">
        <f t="shared" si="9"/>
        <v>Alta</v>
      </c>
      <c r="V189" s="26">
        <f t="shared" si="10"/>
        <v>3039.599811</v>
      </c>
      <c r="W189" s="10">
        <f t="shared" si="11"/>
        <v>3</v>
      </c>
      <c r="X189" s="4" t="s">
        <v>262</v>
      </c>
      <c r="Y189" s="4" t="s">
        <v>553</v>
      </c>
    </row>
    <row r="190" spans="1:25" ht="28.05" hidden="1" customHeight="1" x14ac:dyDescent="0.3">
      <c r="A190" s="20" t="s">
        <v>554</v>
      </c>
      <c r="B190" s="21" t="s">
        <v>555</v>
      </c>
      <c r="C190" s="4" t="s">
        <v>126</v>
      </c>
      <c r="D190" s="4" t="s">
        <v>242</v>
      </c>
      <c r="E190" s="4" t="s">
        <v>326</v>
      </c>
      <c r="F190" s="22"/>
      <c r="G190" s="23" t="s">
        <v>108</v>
      </c>
      <c r="H190" s="6"/>
      <c r="I190" s="6"/>
      <c r="J190" s="6"/>
      <c r="K190" s="6"/>
      <c r="L190" s="6"/>
      <c r="M190" s="6"/>
      <c r="N190" s="6"/>
      <c r="O190" s="16" t="str">
        <f>IF(COUNT(I190:M190)&lt;5,"",ROUND((I190*Matriz!$C$5+J190*Matriz!$C$6+K190*Matriz!$C$7+L190*Matriz!$C$8+M190*Matriz!$C$9)/SUM(Matriz!$C$5:$C$9),2))</f>
        <v/>
      </c>
      <c r="P190" s="17">
        <f>IFERROR(INDEX(Processos!$F$8:$F$17,MATCH(C190,Processos!$A$8:$A$17,0)),1)</f>
        <v>1.0840000000000001</v>
      </c>
      <c r="Q190" s="24">
        <f>IFERROR(INDEX(Matriz!$C$28:$C$33,MATCH(G190,Matriz!$A$28:$A$33,0)),0)</f>
        <v>-0.3</v>
      </c>
      <c r="R190" s="25" t="str">
        <f t="shared" si="8"/>
        <v/>
      </c>
      <c r="S190" s="10" t="str">
        <f>IF(R190="","",IF(R190&gt;=Matriz!$C$19,4,IF(R190&gt;=Matriz!$C$18,3,IF(R190&gt;=Matriz!$C$17,2,1))))</f>
        <v/>
      </c>
      <c r="T190" s="9" t="str">
        <f>IF(S190="","",MAX(S190,IF(I190=5,Matriz!$C$23,0),IF(N190="Sim",Matriz!$C$24,0)))</f>
        <v/>
      </c>
      <c r="U190" s="9" t="str">
        <f t="shared" si="9"/>
        <v/>
      </c>
      <c r="V190" s="26" t="str">
        <f t="shared" si="10"/>
        <v/>
      </c>
      <c r="W190" s="10" t="str">
        <f t="shared" si="11"/>
        <v/>
      </c>
      <c r="X190" s="4"/>
      <c r="Y190" s="4"/>
    </row>
    <row r="191" spans="1:25" ht="28.05" hidden="1" customHeight="1" x14ac:dyDescent="0.3">
      <c r="A191" s="20" t="s">
        <v>556</v>
      </c>
      <c r="B191" s="21" t="s">
        <v>557</v>
      </c>
      <c r="C191" s="4" t="s">
        <v>126</v>
      </c>
      <c r="D191" s="4" t="s">
        <v>402</v>
      </c>
      <c r="E191" s="4" t="s">
        <v>326</v>
      </c>
      <c r="F191" s="22">
        <v>46297</v>
      </c>
      <c r="G191" s="23" t="s">
        <v>102</v>
      </c>
      <c r="H191" s="6"/>
      <c r="I191" s="6"/>
      <c r="J191" s="6"/>
      <c r="K191" s="6"/>
      <c r="L191" s="6"/>
      <c r="M191" s="6"/>
      <c r="N191" s="6"/>
      <c r="O191" s="16" t="str">
        <f>IF(COUNT(I191:M191)&lt;5,"",ROUND((I191*Matriz!$C$5+J191*Matriz!$C$6+K191*Matriz!$C$7+L191*Matriz!$C$8+M191*Matriz!$C$9)/SUM(Matriz!$C$5:$C$9),2))</f>
        <v/>
      </c>
      <c r="P191" s="17">
        <f>IFERROR(INDEX(Processos!$F$8:$F$17,MATCH(C191,Processos!$A$8:$A$17,0)),1)</f>
        <v>1.0840000000000001</v>
      </c>
      <c r="Q191" s="24">
        <f>IFERROR(INDEX(Matriz!$C$28:$C$33,MATCH(G191,Matriz!$A$28:$A$33,0)),0)</f>
        <v>0</v>
      </c>
      <c r="R191" s="25" t="str">
        <f t="shared" si="8"/>
        <v/>
      </c>
      <c r="S191" s="10" t="str">
        <f>IF(R191="","",IF(R191&gt;=Matriz!$C$19,4,IF(R191&gt;=Matriz!$C$18,3,IF(R191&gt;=Matriz!$C$17,2,1))))</f>
        <v/>
      </c>
      <c r="T191" s="9" t="str">
        <f>IF(S191="","",MAX(S191,IF(I191=5,Matriz!$C$23,0),IF(N191="Sim",Matriz!$C$24,0)))</f>
        <v/>
      </c>
      <c r="U191" s="9" t="str">
        <f t="shared" si="9"/>
        <v/>
      </c>
      <c r="V191" s="26" t="str">
        <f t="shared" si="10"/>
        <v/>
      </c>
      <c r="W191" s="10" t="str">
        <f t="shared" si="11"/>
        <v/>
      </c>
      <c r="X191" s="4"/>
      <c r="Y191" s="4"/>
    </row>
    <row r="192" spans="1:25" ht="28.05" hidden="1" customHeight="1" x14ac:dyDescent="0.3">
      <c r="A192" s="20" t="s">
        <v>558</v>
      </c>
      <c r="B192" s="21" t="s">
        <v>559</v>
      </c>
      <c r="C192" s="4" t="s">
        <v>126</v>
      </c>
      <c r="D192" s="4" t="s">
        <v>560</v>
      </c>
      <c r="E192" s="4" t="s">
        <v>326</v>
      </c>
      <c r="F192" s="22">
        <v>46142</v>
      </c>
      <c r="G192" s="23" t="s">
        <v>106</v>
      </c>
      <c r="H192" s="6"/>
      <c r="I192" s="6"/>
      <c r="J192" s="6"/>
      <c r="K192" s="6"/>
      <c r="L192" s="6"/>
      <c r="M192" s="6"/>
      <c r="N192" s="6"/>
      <c r="O192" s="16" t="str">
        <f>IF(COUNT(I192:M192)&lt;5,"",ROUND((I192*Matriz!$C$5+J192*Matriz!$C$6+K192*Matriz!$C$7+L192*Matriz!$C$8+M192*Matriz!$C$9)/SUM(Matriz!$C$5:$C$9),2))</f>
        <v/>
      </c>
      <c r="P192" s="17">
        <f>IFERROR(INDEX(Processos!$F$8:$F$17,MATCH(C192,Processos!$A$8:$A$17,0)),1)</f>
        <v>1.0840000000000001</v>
      </c>
      <c r="Q192" s="24">
        <f>IFERROR(INDEX(Matriz!$C$28:$C$33,MATCH(G192,Matriz!$A$28:$A$33,0)),0)</f>
        <v>-0.2</v>
      </c>
      <c r="R192" s="25" t="str">
        <f t="shared" si="8"/>
        <v/>
      </c>
      <c r="S192" s="10" t="str">
        <f>IF(R192="","",IF(R192&gt;=Matriz!$C$19,4,IF(R192&gt;=Matriz!$C$18,3,IF(R192&gt;=Matriz!$C$17,2,1))))</f>
        <v/>
      </c>
      <c r="T192" s="9" t="str">
        <f>IF(S192="","",MAX(S192,IF(I192=5,Matriz!$C$23,0),IF(N192="Sim",Matriz!$C$24,0)))</f>
        <v/>
      </c>
      <c r="U192" s="9" t="str">
        <f t="shared" si="9"/>
        <v/>
      </c>
      <c r="V192" s="26" t="str">
        <f t="shared" si="10"/>
        <v/>
      </c>
      <c r="W192" s="10" t="str">
        <f t="shared" si="11"/>
        <v/>
      </c>
      <c r="X192" s="4"/>
      <c r="Y192" s="4"/>
    </row>
    <row r="193" spans="1:25" ht="28.05" hidden="1" customHeight="1" x14ac:dyDescent="0.3">
      <c r="A193" s="20" t="s">
        <v>561</v>
      </c>
      <c r="B193" s="21" t="s">
        <v>562</v>
      </c>
      <c r="C193" s="4" t="s">
        <v>132</v>
      </c>
      <c r="D193" s="4" t="s">
        <v>563</v>
      </c>
      <c r="E193" s="4" t="s">
        <v>385</v>
      </c>
      <c r="F193" s="22">
        <v>46234</v>
      </c>
      <c r="G193" s="23" t="s">
        <v>104</v>
      </c>
      <c r="H193" s="6"/>
      <c r="I193" s="6"/>
      <c r="J193" s="6"/>
      <c r="K193" s="6"/>
      <c r="L193" s="6"/>
      <c r="M193" s="6"/>
      <c r="N193" s="6"/>
      <c r="O193" s="16" t="str">
        <f>IF(COUNT(I193:M193)&lt;5,"",ROUND((I193*Matriz!$C$5+J193*Matriz!$C$6+K193*Matriz!$C$7+L193*Matriz!$C$8+M193*Matriz!$C$9)/SUM(Matriz!$C$5:$C$9),2))</f>
        <v/>
      </c>
      <c r="P193" s="17">
        <f>IFERROR(INDEX(Processos!$F$8:$F$17,MATCH(C193,Processos!$A$8:$A$17,0)),1)</f>
        <v>1.05</v>
      </c>
      <c r="Q193" s="24">
        <f>IFERROR(INDEX(Matriz!$C$28:$C$33,MATCH(G193,Matriz!$A$28:$A$33,0)),0)</f>
        <v>0</v>
      </c>
      <c r="R193" s="25" t="str">
        <f t="shared" si="8"/>
        <v/>
      </c>
      <c r="S193" s="10" t="str">
        <f>IF(R193="","",IF(R193&gt;=Matriz!$C$19,4,IF(R193&gt;=Matriz!$C$18,3,IF(R193&gt;=Matriz!$C$17,2,1))))</f>
        <v/>
      </c>
      <c r="T193" s="9" t="str">
        <f>IF(S193="","",MAX(S193,IF(I193=5,Matriz!$C$23,0),IF(N193="Sim",Matriz!$C$24,0)))</f>
        <v/>
      </c>
      <c r="U193" s="9" t="str">
        <f t="shared" si="9"/>
        <v/>
      </c>
      <c r="V193" s="26" t="str">
        <f t="shared" si="10"/>
        <v/>
      </c>
      <c r="W193" s="10" t="str">
        <f t="shared" si="11"/>
        <v/>
      </c>
      <c r="X193" s="4"/>
      <c r="Y193" s="4"/>
    </row>
    <row r="194" spans="1:25" ht="40.049999999999997" hidden="1" customHeight="1" x14ac:dyDescent="0.3">
      <c r="A194" s="20" t="s">
        <v>564</v>
      </c>
      <c r="B194" s="21" t="s">
        <v>565</v>
      </c>
      <c r="C194" s="4" t="s">
        <v>132</v>
      </c>
      <c r="D194" s="4" t="s">
        <v>566</v>
      </c>
      <c r="E194" s="4" t="s">
        <v>385</v>
      </c>
      <c r="F194" s="22">
        <v>46234</v>
      </c>
      <c r="G194" s="23" t="s">
        <v>98</v>
      </c>
      <c r="H194" s="6">
        <v>3</v>
      </c>
      <c r="I194" s="6">
        <v>5</v>
      </c>
      <c r="J194" s="6">
        <v>3</v>
      </c>
      <c r="K194" s="6">
        <v>1</v>
      </c>
      <c r="L194" s="6">
        <v>3</v>
      </c>
      <c r="M194" s="6">
        <v>3</v>
      </c>
      <c r="N194" s="6" t="s">
        <v>261</v>
      </c>
      <c r="O194" s="16">
        <f>IF(COUNT(I194:M194)&lt;5,"",ROUND((I194*Matriz!$C$5+J194*Matriz!$C$6+K194*Matriz!$C$7+L194*Matriz!$C$8+M194*Matriz!$C$9)/SUM(Matriz!$C$5:$C$9),2))</f>
        <v>3.2</v>
      </c>
      <c r="P194" s="17">
        <f>IFERROR(INDEX(Processos!$F$8:$F$17,MATCH(C194,Processos!$A$8:$A$17,0)),1)</f>
        <v>1.05</v>
      </c>
      <c r="Q194" s="24">
        <f>IFERROR(INDEX(Matriz!$C$28:$C$33,MATCH(G194,Matriz!$A$28:$A$33,0)),0)</f>
        <v>0.3</v>
      </c>
      <c r="R194" s="25">
        <f t="shared" si="8"/>
        <v>3.66</v>
      </c>
      <c r="S194" s="10">
        <f>IF(R194="","",IF(R194&gt;=Matriz!$C$19,4,IF(R194&gt;=Matriz!$C$18,3,IF(R194&gt;=Matriz!$C$17,2,1))))</f>
        <v>3</v>
      </c>
      <c r="T194" s="9">
        <f>IF(S194="","",MAX(S194,IF(I194=5,Matriz!$C$23,0),IF(N194="Sim",Matriz!$C$24,0)))</f>
        <v>3</v>
      </c>
      <c r="U194" s="9" t="str">
        <f t="shared" si="9"/>
        <v>Alta</v>
      </c>
      <c r="V194" s="26">
        <f t="shared" si="10"/>
        <v>3036.2998059999995</v>
      </c>
      <c r="W194" s="10">
        <f t="shared" si="11"/>
        <v>4</v>
      </c>
      <c r="X194" s="4" t="s">
        <v>262</v>
      </c>
      <c r="Y194" s="4" t="s">
        <v>567</v>
      </c>
    </row>
    <row r="195" spans="1:25" ht="28.05" hidden="1" customHeight="1" x14ac:dyDescent="0.3">
      <c r="A195" s="20" t="s">
        <v>568</v>
      </c>
      <c r="B195" s="21" t="s">
        <v>569</v>
      </c>
      <c r="C195" s="4" t="s">
        <v>132</v>
      </c>
      <c r="D195" s="4" t="s">
        <v>255</v>
      </c>
      <c r="E195" s="4" t="s">
        <v>385</v>
      </c>
      <c r="F195" s="22">
        <v>46265</v>
      </c>
      <c r="G195" s="23" t="s">
        <v>100</v>
      </c>
      <c r="H195" s="6"/>
      <c r="I195" s="6"/>
      <c r="J195" s="6"/>
      <c r="K195" s="6"/>
      <c r="L195" s="6"/>
      <c r="M195" s="6"/>
      <c r="N195" s="6"/>
      <c r="O195" s="16" t="str">
        <f>IF(COUNT(I195:M195)&lt;5,"",ROUND((I195*Matriz!$C$5+J195*Matriz!$C$6+K195*Matriz!$C$7+L195*Matriz!$C$8+M195*Matriz!$C$9)/SUM(Matriz!$C$5:$C$9),2))</f>
        <v/>
      </c>
      <c r="P195" s="17">
        <f>IFERROR(INDEX(Processos!$F$8:$F$17,MATCH(C195,Processos!$A$8:$A$17,0)),1)</f>
        <v>1.05</v>
      </c>
      <c r="Q195" s="24">
        <f>IFERROR(INDEX(Matriz!$C$28:$C$33,MATCH(G195,Matriz!$A$28:$A$33,0)),0)</f>
        <v>0</v>
      </c>
      <c r="R195" s="25" t="str">
        <f t="shared" si="8"/>
        <v/>
      </c>
      <c r="S195" s="10" t="str">
        <f>IF(R195="","",IF(R195&gt;=Matriz!$C$19,4,IF(R195&gt;=Matriz!$C$18,3,IF(R195&gt;=Matriz!$C$17,2,1))))</f>
        <v/>
      </c>
      <c r="T195" s="9" t="str">
        <f>IF(S195="","",MAX(S195,IF(I195=5,Matriz!$C$23,0),IF(N195="Sim",Matriz!$C$24,0)))</f>
        <v/>
      </c>
      <c r="U195" s="9" t="str">
        <f t="shared" si="9"/>
        <v/>
      </c>
      <c r="V195" s="26" t="str">
        <f t="shared" si="10"/>
        <v/>
      </c>
      <c r="W195" s="10" t="str">
        <f t="shared" si="11"/>
        <v/>
      </c>
      <c r="X195" s="4"/>
      <c r="Y195" s="4"/>
    </row>
    <row r="196" spans="1:25" ht="28.05" hidden="1" customHeight="1" x14ac:dyDescent="0.3">
      <c r="A196" s="20" t="s">
        <v>570</v>
      </c>
      <c r="B196" s="21" t="s">
        <v>571</v>
      </c>
      <c r="C196" s="4" t="s">
        <v>132</v>
      </c>
      <c r="D196" s="4" t="s">
        <v>229</v>
      </c>
      <c r="E196" s="4" t="s">
        <v>385</v>
      </c>
      <c r="F196" s="22">
        <v>46203</v>
      </c>
      <c r="G196" s="23" t="s">
        <v>104</v>
      </c>
      <c r="H196" s="6"/>
      <c r="I196" s="6"/>
      <c r="J196" s="6"/>
      <c r="K196" s="6"/>
      <c r="L196" s="6"/>
      <c r="M196" s="6"/>
      <c r="N196" s="6"/>
      <c r="O196" s="16" t="str">
        <f>IF(COUNT(I196:M196)&lt;5,"",ROUND((I196*Matriz!$C$5+J196*Matriz!$C$6+K196*Matriz!$C$7+L196*Matriz!$C$8+M196*Matriz!$C$9)/SUM(Matriz!$C$5:$C$9),2))</f>
        <v/>
      </c>
      <c r="P196" s="17">
        <f>IFERROR(INDEX(Processos!$F$8:$F$17,MATCH(C196,Processos!$A$8:$A$17,0)),1)</f>
        <v>1.05</v>
      </c>
      <c r="Q196" s="24">
        <f>IFERROR(INDEX(Matriz!$C$28:$C$33,MATCH(G196,Matriz!$A$28:$A$33,0)),0)</f>
        <v>0</v>
      </c>
      <c r="R196" s="25" t="str">
        <f t="shared" si="8"/>
        <v/>
      </c>
      <c r="S196" s="10" t="str">
        <f>IF(R196="","",IF(R196&gt;=Matriz!$C$19,4,IF(R196&gt;=Matriz!$C$18,3,IF(R196&gt;=Matriz!$C$17,2,1))))</f>
        <v/>
      </c>
      <c r="T196" s="9" t="str">
        <f>IF(S196="","",MAX(S196,IF(I196=5,Matriz!$C$23,0),IF(N196="Sim",Matriz!$C$24,0)))</f>
        <v/>
      </c>
      <c r="U196" s="9" t="str">
        <f t="shared" si="9"/>
        <v/>
      </c>
      <c r="V196" s="26" t="str">
        <f t="shared" si="10"/>
        <v/>
      </c>
      <c r="W196" s="10" t="str">
        <f t="shared" si="11"/>
        <v/>
      </c>
      <c r="X196" s="4"/>
      <c r="Y196" s="4"/>
    </row>
    <row r="197" spans="1:25" ht="28.05" hidden="1" customHeight="1" x14ac:dyDescent="0.3">
      <c r="A197" s="20" t="s">
        <v>572</v>
      </c>
      <c r="B197" s="21" t="s">
        <v>573</v>
      </c>
      <c r="C197" s="4" t="s">
        <v>132</v>
      </c>
      <c r="D197" s="4" t="s">
        <v>255</v>
      </c>
      <c r="E197" s="4" t="s">
        <v>385</v>
      </c>
      <c r="F197" s="22">
        <v>46295</v>
      </c>
      <c r="G197" s="23" t="s">
        <v>102</v>
      </c>
      <c r="H197" s="6"/>
      <c r="I197" s="6"/>
      <c r="J197" s="6"/>
      <c r="K197" s="6"/>
      <c r="L197" s="6"/>
      <c r="M197" s="6"/>
      <c r="N197" s="6"/>
      <c r="O197" s="16" t="str">
        <f>IF(COUNT(I197:M197)&lt;5,"",ROUND((I197*Matriz!$C$5+J197*Matriz!$C$6+K197*Matriz!$C$7+L197*Matriz!$C$8+M197*Matriz!$C$9)/SUM(Matriz!$C$5:$C$9),2))</f>
        <v/>
      </c>
      <c r="P197" s="17">
        <f>IFERROR(INDEX(Processos!$F$8:$F$17,MATCH(C197,Processos!$A$8:$A$17,0)),1)</f>
        <v>1.05</v>
      </c>
      <c r="Q197" s="24">
        <f>IFERROR(INDEX(Matriz!$C$28:$C$33,MATCH(G197,Matriz!$A$28:$A$33,0)),0)</f>
        <v>0</v>
      </c>
      <c r="R197" s="25" t="str">
        <f t="shared" ref="R197:R260" si="12">IF(O197="","",ROUND(O197*P197+Q197,2))</f>
        <v/>
      </c>
      <c r="S197" s="10" t="str">
        <f>IF(R197="","",IF(R197&gt;=Matriz!$C$19,4,IF(R197&gt;=Matriz!$C$18,3,IF(R197&gt;=Matriz!$C$17,2,1))))</f>
        <v/>
      </c>
      <c r="T197" s="9" t="str">
        <f>IF(S197="","",MAX(S197,IF(I197=5,Matriz!$C$23,0),IF(N197="Sim",Matriz!$C$24,0)))</f>
        <v/>
      </c>
      <c r="U197" s="9" t="str">
        <f t="shared" ref="U197:U260" si="13">IF(T197="","",CHOOSE(T197,"Baixa","Normal","Alta","Urgente"))</f>
        <v/>
      </c>
      <c r="V197" s="26" t="str">
        <f t="shared" ref="V197:V260" si="14">IF(T197="","",T197*1000+R197*10-IF(H197="",3,H197)/10-ROW()/1000000)</f>
        <v/>
      </c>
      <c r="W197" s="10" t="str">
        <f t="shared" ref="W197:W260" si="15">IF(V197="","",COUNTIF($V$5:$V$405,"&gt;"&amp;V197)+1)</f>
        <v/>
      </c>
      <c r="X197" s="4"/>
      <c r="Y197" s="4"/>
    </row>
    <row r="198" spans="1:25" ht="28.05" hidden="1" customHeight="1" x14ac:dyDescent="0.3">
      <c r="A198" s="20" t="s">
        <v>574</v>
      </c>
      <c r="B198" s="21" t="s">
        <v>575</v>
      </c>
      <c r="C198" s="4" t="s">
        <v>132</v>
      </c>
      <c r="D198" s="4" t="s">
        <v>191</v>
      </c>
      <c r="E198" s="4" t="s">
        <v>385</v>
      </c>
      <c r="F198" s="22">
        <v>46295</v>
      </c>
      <c r="G198" s="23" t="s">
        <v>104</v>
      </c>
      <c r="H198" s="6"/>
      <c r="I198" s="6"/>
      <c r="J198" s="6"/>
      <c r="K198" s="6"/>
      <c r="L198" s="6"/>
      <c r="M198" s="6"/>
      <c r="N198" s="6"/>
      <c r="O198" s="16" t="str">
        <f>IF(COUNT(I198:M198)&lt;5,"",ROUND((I198*Matriz!$C$5+J198*Matriz!$C$6+K198*Matriz!$C$7+L198*Matriz!$C$8+M198*Matriz!$C$9)/SUM(Matriz!$C$5:$C$9),2))</f>
        <v/>
      </c>
      <c r="P198" s="17">
        <f>IFERROR(INDEX(Processos!$F$8:$F$17,MATCH(C198,Processos!$A$8:$A$17,0)),1)</f>
        <v>1.05</v>
      </c>
      <c r="Q198" s="24">
        <f>IFERROR(INDEX(Matriz!$C$28:$C$33,MATCH(G198,Matriz!$A$28:$A$33,0)),0)</f>
        <v>0</v>
      </c>
      <c r="R198" s="25" t="str">
        <f t="shared" si="12"/>
        <v/>
      </c>
      <c r="S198" s="10" t="str">
        <f>IF(R198="","",IF(R198&gt;=Matriz!$C$19,4,IF(R198&gt;=Matriz!$C$18,3,IF(R198&gt;=Matriz!$C$17,2,1))))</f>
        <v/>
      </c>
      <c r="T198" s="9" t="str">
        <f>IF(S198="","",MAX(S198,IF(I198=5,Matriz!$C$23,0),IF(N198="Sim",Matriz!$C$24,0)))</f>
        <v/>
      </c>
      <c r="U198" s="9" t="str">
        <f t="shared" si="13"/>
        <v/>
      </c>
      <c r="V198" s="26" t="str">
        <f t="shared" si="14"/>
        <v/>
      </c>
      <c r="W198" s="10" t="str">
        <f t="shared" si="15"/>
        <v/>
      </c>
      <c r="X198" s="4"/>
      <c r="Y198" s="4"/>
    </row>
    <row r="199" spans="1:25" ht="28.05" hidden="1" customHeight="1" x14ac:dyDescent="0.3">
      <c r="A199" s="20" t="s">
        <v>576</v>
      </c>
      <c r="B199" s="21" t="s">
        <v>577</v>
      </c>
      <c r="C199" s="4" t="s">
        <v>132</v>
      </c>
      <c r="D199" s="4" t="s">
        <v>255</v>
      </c>
      <c r="E199" s="4" t="s">
        <v>385</v>
      </c>
      <c r="F199" s="22">
        <v>46173</v>
      </c>
      <c r="G199" s="23" t="s">
        <v>104</v>
      </c>
      <c r="H199" s="6"/>
      <c r="I199" s="6"/>
      <c r="J199" s="6"/>
      <c r="K199" s="6"/>
      <c r="L199" s="6"/>
      <c r="M199" s="6"/>
      <c r="N199" s="6"/>
      <c r="O199" s="16" t="str">
        <f>IF(COUNT(I199:M199)&lt;5,"",ROUND((I199*Matriz!$C$5+J199*Matriz!$C$6+K199*Matriz!$C$7+L199*Matriz!$C$8+M199*Matriz!$C$9)/SUM(Matriz!$C$5:$C$9),2))</f>
        <v/>
      </c>
      <c r="P199" s="17">
        <f>IFERROR(INDEX(Processos!$F$8:$F$17,MATCH(C199,Processos!$A$8:$A$17,0)),1)</f>
        <v>1.05</v>
      </c>
      <c r="Q199" s="24">
        <f>IFERROR(INDEX(Matriz!$C$28:$C$33,MATCH(G199,Matriz!$A$28:$A$33,0)),0)</f>
        <v>0</v>
      </c>
      <c r="R199" s="25" t="str">
        <f t="shared" si="12"/>
        <v/>
      </c>
      <c r="S199" s="10" t="str">
        <f>IF(R199="","",IF(R199&gt;=Matriz!$C$19,4,IF(R199&gt;=Matriz!$C$18,3,IF(R199&gt;=Matriz!$C$17,2,1))))</f>
        <v/>
      </c>
      <c r="T199" s="9" t="str">
        <f>IF(S199="","",MAX(S199,IF(I199=5,Matriz!$C$23,0),IF(N199="Sim",Matriz!$C$24,0)))</f>
        <v/>
      </c>
      <c r="U199" s="9" t="str">
        <f t="shared" si="13"/>
        <v/>
      </c>
      <c r="V199" s="26" t="str">
        <f t="shared" si="14"/>
        <v/>
      </c>
      <c r="W199" s="10" t="str">
        <f t="shared" si="15"/>
        <v/>
      </c>
      <c r="X199" s="4"/>
      <c r="Y199" s="4"/>
    </row>
    <row r="200" spans="1:25" ht="28.05" hidden="1" customHeight="1" x14ac:dyDescent="0.3">
      <c r="A200" s="20" t="s">
        <v>578</v>
      </c>
      <c r="B200" s="21" t="s">
        <v>579</v>
      </c>
      <c r="C200" s="4" t="s">
        <v>132</v>
      </c>
      <c r="D200" s="4" t="s">
        <v>255</v>
      </c>
      <c r="E200" s="4" t="s">
        <v>186</v>
      </c>
      <c r="F200" s="22">
        <v>46326</v>
      </c>
      <c r="G200" s="23" t="s">
        <v>104</v>
      </c>
      <c r="H200" s="6"/>
      <c r="I200" s="6"/>
      <c r="J200" s="6"/>
      <c r="K200" s="6"/>
      <c r="L200" s="6"/>
      <c r="M200" s="6"/>
      <c r="N200" s="6"/>
      <c r="O200" s="16" t="str">
        <f>IF(COUNT(I200:M200)&lt;5,"",ROUND((I200*Matriz!$C$5+J200*Matriz!$C$6+K200*Matriz!$C$7+L200*Matriz!$C$8+M200*Matriz!$C$9)/SUM(Matriz!$C$5:$C$9),2))</f>
        <v/>
      </c>
      <c r="P200" s="17">
        <f>IFERROR(INDEX(Processos!$F$8:$F$17,MATCH(C200,Processos!$A$8:$A$17,0)),1)</f>
        <v>1.05</v>
      </c>
      <c r="Q200" s="24">
        <f>IFERROR(INDEX(Matriz!$C$28:$C$33,MATCH(G200,Matriz!$A$28:$A$33,0)),0)</f>
        <v>0</v>
      </c>
      <c r="R200" s="25" t="str">
        <f t="shared" si="12"/>
        <v/>
      </c>
      <c r="S200" s="10" t="str">
        <f>IF(R200="","",IF(R200&gt;=Matriz!$C$19,4,IF(R200&gt;=Matriz!$C$18,3,IF(R200&gt;=Matriz!$C$17,2,1))))</f>
        <v/>
      </c>
      <c r="T200" s="9" t="str">
        <f>IF(S200="","",MAX(S200,IF(I200=5,Matriz!$C$23,0),IF(N200="Sim",Matriz!$C$24,0)))</f>
        <v/>
      </c>
      <c r="U200" s="9" t="str">
        <f t="shared" si="13"/>
        <v/>
      </c>
      <c r="V200" s="26" t="str">
        <f t="shared" si="14"/>
        <v/>
      </c>
      <c r="W200" s="10" t="str">
        <f t="shared" si="15"/>
        <v/>
      </c>
      <c r="X200" s="4"/>
      <c r="Y200" s="4"/>
    </row>
    <row r="201" spans="1:25" ht="28.05" hidden="1" customHeight="1" x14ac:dyDescent="0.3">
      <c r="A201" s="20" t="s">
        <v>580</v>
      </c>
      <c r="B201" s="21" t="s">
        <v>581</v>
      </c>
      <c r="C201" s="4" t="s">
        <v>132</v>
      </c>
      <c r="D201" s="4" t="s">
        <v>191</v>
      </c>
      <c r="E201" s="4" t="s">
        <v>186</v>
      </c>
      <c r="F201" s="22">
        <v>46387</v>
      </c>
      <c r="G201" s="23" t="s">
        <v>104</v>
      </c>
      <c r="H201" s="6"/>
      <c r="I201" s="6"/>
      <c r="J201" s="6"/>
      <c r="K201" s="6"/>
      <c r="L201" s="6"/>
      <c r="M201" s="6"/>
      <c r="N201" s="6"/>
      <c r="O201" s="16" t="str">
        <f>IF(COUNT(I201:M201)&lt;5,"",ROUND((I201*Matriz!$C$5+J201*Matriz!$C$6+K201*Matriz!$C$7+L201*Matriz!$C$8+M201*Matriz!$C$9)/SUM(Matriz!$C$5:$C$9),2))</f>
        <v/>
      </c>
      <c r="P201" s="17">
        <f>IFERROR(INDEX(Processos!$F$8:$F$17,MATCH(C201,Processos!$A$8:$A$17,0)),1)</f>
        <v>1.05</v>
      </c>
      <c r="Q201" s="24">
        <f>IFERROR(INDEX(Matriz!$C$28:$C$33,MATCH(G201,Matriz!$A$28:$A$33,0)),0)</f>
        <v>0</v>
      </c>
      <c r="R201" s="25" t="str">
        <f t="shared" si="12"/>
        <v/>
      </c>
      <c r="S201" s="10" t="str">
        <f>IF(R201="","",IF(R201&gt;=Matriz!$C$19,4,IF(R201&gt;=Matriz!$C$18,3,IF(R201&gt;=Matriz!$C$17,2,1))))</f>
        <v/>
      </c>
      <c r="T201" s="9" t="str">
        <f>IF(S201="","",MAX(S201,IF(I201=5,Matriz!$C$23,0),IF(N201="Sim",Matriz!$C$24,0)))</f>
        <v/>
      </c>
      <c r="U201" s="9" t="str">
        <f t="shared" si="13"/>
        <v/>
      </c>
      <c r="V201" s="26" t="str">
        <f t="shared" si="14"/>
        <v/>
      </c>
      <c r="W201" s="10" t="str">
        <f t="shared" si="15"/>
        <v/>
      </c>
      <c r="X201" s="4"/>
      <c r="Y201" s="4"/>
    </row>
    <row r="202" spans="1:25" ht="28.05" hidden="1" customHeight="1" x14ac:dyDescent="0.3">
      <c r="A202" s="20" t="s">
        <v>582</v>
      </c>
      <c r="B202" s="21" t="s">
        <v>583</v>
      </c>
      <c r="C202" s="4" t="s">
        <v>132</v>
      </c>
      <c r="D202" s="4" t="s">
        <v>229</v>
      </c>
      <c r="E202" s="4" t="s">
        <v>186</v>
      </c>
      <c r="F202" s="22">
        <v>46477</v>
      </c>
      <c r="G202" s="23" t="s">
        <v>98</v>
      </c>
      <c r="H202" s="6"/>
      <c r="I202" s="6"/>
      <c r="J202" s="6"/>
      <c r="K202" s="6"/>
      <c r="L202" s="6"/>
      <c r="M202" s="6"/>
      <c r="N202" s="6"/>
      <c r="O202" s="16" t="str">
        <f>IF(COUNT(I202:M202)&lt;5,"",ROUND((I202*Matriz!$C$5+J202*Matriz!$C$6+K202*Matriz!$C$7+L202*Matriz!$C$8+M202*Matriz!$C$9)/SUM(Matriz!$C$5:$C$9),2))</f>
        <v/>
      </c>
      <c r="P202" s="17">
        <f>IFERROR(INDEX(Processos!$F$8:$F$17,MATCH(C202,Processos!$A$8:$A$17,0)),1)</f>
        <v>1.05</v>
      </c>
      <c r="Q202" s="24">
        <f>IFERROR(INDEX(Matriz!$C$28:$C$33,MATCH(G202,Matriz!$A$28:$A$33,0)),0)</f>
        <v>0.3</v>
      </c>
      <c r="R202" s="25" t="str">
        <f t="shared" si="12"/>
        <v/>
      </c>
      <c r="S202" s="10" t="str">
        <f>IF(R202="","",IF(R202&gt;=Matriz!$C$19,4,IF(R202&gt;=Matriz!$C$18,3,IF(R202&gt;=Matriz!$C$17,2,1))))</f>
        <v/>
      </c>
      <c r="T202" s="9" t="str">
        <f>IF(S202="","",MAX(S202,IF(I202=5,Matriz!$C$23,0),IF(N202="Sim",Matriz!$C$24,0)))</f>
        <v/>
      </c>
      <c r="U202" s="9" t="str">
        <f t="shared" si="13"/>
        <v/>
      </c>
      <c r="V202" s="26" t="str">
        <f t="shared" si="14"/>
        <v/>
      </c>
      <c r="W202" s="10" t="str">
        <f t="shared" si="15"/>
        <v/>
      </c>
      <c r="X202" s="4"/>
      <c r="Y202" s="4"/>
    </row>
    <row r="203" spans="1:25" ht="28.05" hidden="1" customHeight="1" x14ac:dyDescent="0.3">
      <c r="A203" s="20" t="s">
        <v>584</v>
      </c>
      <c r="B203" s="21" t="s">
        <v>585</v>
      </c>
      <c r="C203" s="4" t="s">
        <v>132</v>
      </c>
      <c r="D203" s="4" t="s">
        <v>255</v>
      </c>
      <c r="E203" s="4" t="s">
        <v>186</v>
      </c>
      <c r="F203" s="22">
        <v>46356</v>
      </c>
      <c r="G203" s="23" t="s">
        <v>102</v>
      </c>
      <c r="H203" s="6"/>
      <c r="I203" s="6"/>
      <c r="J203" s="6"/>
      <c r="K203" s="6"/>
      <c r="L203" s="6"/>
      <c r="M203" s="6"/>
      <c r="N203" s="6"/>
      <c r="O203" s="16" t="str">
        <f>IF(COUNT(I203:M203)&lt;5,"",ROUND((I203*Matriz!$C$5+J203*Matriz!$C$6+K203*Matriz!$C$7+L203*Matriz!$C$8+M203*Matriz!$C$9)/SUM(Matriz!$C$5:$C$9),2))</f>
        <v/>
      </c>
      <c r="P203" s="17">
        <f>IFERROR(INDEX(Processos!$F$8:$F$17,MATCH(C203,Processos!$A$8:$A$17,0)),1)</f>
        <v>1.05</v>
      </c>
      <c r="Q203" s="24">
        <f>IFERROR(INDEX(Matriz!$C$28:$C$33,MATCH(G203,Matriz!$A$28:$A$33,0)),0)</f>
        <v>0</v>
      </c>
      <c r="R203" s="25" t="str">
        <f t="shared" si="12"/>
        <v/>
      </c>
      <c r="S203" s="10" t="str">
        <f>IF(R203="","",IF(R203&gt;=Matriz!$C$19,4,IF(R203&gt;=Matriz!$C$18,3,IF(R203&gt;=Matriz!$C$17,2,1))))</f>
        <v/>
      </c>
      <c r="T203" s="9" t="str">
        <f>IF(S203="","",MAX(S203,IF(I203=5,Matriz!$C$23,0),IF(N203="Sim",Matriz!$C$24,0)))</f>
        <v/>
      </c>
      <c r="U203" s="9" t="str">
        <f t="shared" si="13"/>
        <v/>
      </c>
      <c r="V203" s="26" t="str">
        <f t="shared" si="14"/>
        <v/>
      </c>
      <c r="W203" s="10" t="str">
        <f t="shared" si="15"/>
        <v/>
      </c>
      <c r="X203" s="4"/>
      <c r="Y203" s="4"/>
    </row>
    <row r="204" spans="1:25" ht="28.05" hidden="1" customHeight="1" x14ac:dyDescent="0.3">
      <c r="A204" s="20" t="s">
        <v>586</v>
      </c>
      <c r="B204" s="21" t="s">
        <v>587</v>
      </c>
      <c r="C204" s="4" t="s">
        <v>132</v>
      </c>
      <c r="D204" s="4" t="s">
        <v>255</v>
      </c>
      <c r="E204" s="4" t="s">
        <v>186</v>
      </c>
      <c r="F204" s="22">
        <v>46326</v>
      </c>
      <c r="G204" s="23" t="s">
        <v>100</v>
      </c>
      <c r="H204" s="6"/>
      <c r="I204" s="6"/>
      <c r="J204" s="6"/>
      <c r="K204" s="6"/>
      <c r="L204" s="6"/>
      <c r="M204" s="6"/>
      <c r="N204" s="6"/>
      <c r="O204" s="16" t="str">
        <f>IF(COUNT(I204:M204)&lt;5,"",ROUND((I204*Matriz!$C$5+J204*Matriz!$C$6+K204*Matriz!$C$7+L204*Matriz!$C$8+M204*Matriz!$C$9)/SUM(Matriz!$C$5:$C$9),2))</f>
        <v/>
      </c>
      <c r="P204" s="17">
        <f>IFERROR(INDEX(Processos!$F$8:$F$17,MATCH(C204,Processos!$A$8:$A$17,0)),1)</f>
        <v>1.05</v>
      </c>
      <c r="Q204" s="24">
        <f>IFERROR(INDEX(Matriz!$C$28:$C$33,MATCH(G204,Matriz!$A$28:$A$33,0)),0)</f>
        <v>0</v>
      </c>
      <c r="R204" s="25" t="str">
        <f t="shared" si="12"/>
        <v/>
      </c>
      <c r="S204" s="10" t="str">
        <f>IF(R204="","",IF(R204&gt;=Matriz!$C$19,4,IF(R204&gt;=Matriz!$C$18,3,IF(R204&gt;=Matriz!$C$17,2,1))))</f>
        <v/>
      </c>
      <c r="T204" s="9" t="str">
        <f>IF(S204="","",MAX(S204,IF(I204=5,Matriz!$C$23,0),IF(N204="Sim",Matriz!$C$24,0)))</f>
        <v/>
      </c>
      <c r="U204" s="9" t="str">
        <f t="shared" si="13"/>
        <v/>
      </c>
      <c r="V204" s="26" t="str">
        <f t="shared" si="14"/>
        <v/>
      </c>
      <c r="W204" s="10" t="str">
        <f t="shared" si="15"/>
        <v/>
      </c>
      <c r="X204" s="4"/>
      <c r="Y204" s="4"/>
    </row>
    <row r="205" spans="1:25" ht="28.05" hidden="1" customHeight="1" x14ac:dyDescent="0.3">
      <c r="A205" s="20" t="s">
        <v>588</v>
      </c>
      <c r="B205" s="21" t="s">
        <v>589</v>
      </c>
      <c r="C205" s="4" t="s">
        <v>132</v>
      </c>
      <c r="D205" s="4" t="s">
        <v>191</v>
      </c>
      <c r="E205" s="4" t="s">
        <v>186</v>
      </c>
      <c r="F205" s="22">
        <v>46356</v>
      </c>
      <c r="G205" s="23" t="s">
        <v>100</v>
      </c>
      <c r="H205" s="6"/>
      <c r="I205" s="6"/>
      <c r="J205" s="6"/>
      <c r="K205" s="6"/>
      <c r="L205" s="6"/>
      <c r="M205" s="6"/>
      <c r="N205" s="6"/>
      <c r="O205" s="16" t="str">
        <f>IF(COUNT(I205:M205)&lt;5,"",ROUND((I205*Matriz!$C$5+J205*Matriz!$C$6+K205*Matriz!$C$7+L205*Matriz!$C$8+M205*Matriz!$C$9)/SUM(Matriz!$C$5:$C$9),2))</f>
        <v/>
      </c>
      <c r="P205" s="17">
        <f>IFERROR(INDEX(Processos!$F$8:$F$17,MATCH(C205,Processos!$A$8:$A$17,0)),1)</f>
        <v>1.05</v>
      </c>
      <c r="Q205" s="24">
        <f>IFERROR(INDEX(Matriz!$C$28:$C$33,MATCH(G205,Matriz!$A$28:$A$33,0)),0)</f>
        <v>0</v>
      </c>
      <c r="R205" s="25" t="str">
        <f t="shared" si="12"/>
        <v/>
      </c>
      <c r="S205" s="10" t="str">
        <f>IF(R205="","",IF(R205&gt;=Matriz!$C$19,4,IF(R205&gt;=Matriz!$C$18,3,IF(R205&gt;=Matriz!$C$17,2,1))))</f>
        <v/>
      </c>
      <c r="T205" s="9" t="str">
        <f>IF(S205="","",MAX(S205,IF(I205=5,Matriz!$C$23,0),IF(N205="Sim",Matriz!$C$24,0)))</f>
        <v/>
      </c>
      <c r="U205" s="9" t="str">
        <f t="shared" si="13"/>
        <v/>
      </c>
      <c r="V205" s="26" t="str">
        <f t="shared" si="14"/>
        <v/>
      </c>
      <c r="W205" s="10" t="str">
        <f t="shared" si="15"/>
        <v/>
      </c>
      <c r="X205" s="4"/>
      <c r="Y205" s="4"/>
    </row>
    <row r="206" spans="1:25" ht="28.05" hidden="1" customHeight="1" x14ac:dyDescent="0.3">
      <c r="A206" s="20" t="s">
        <v>590</v>
      </c>
      <c r="B206" s="21" t="s">
        <v>591</v>
      </c>
      <c r="C206" s="4" t="s">
        <v>132</v>
      </c>
      <c r="D206" s="4" t="s">
        <v>191</v>
      </c>
      <c r="E206" s="4" t="s">
        <v>186</v>
      </c>
      <c r="F206" s="22">
        <v>46326</v>
      </c>
      <c r="G206" s="23" t="s">
        <v>100</v>
      </c>
      <c r="H206" s="6"/>
      <c r="I206" s="6"/>
      <c r="J206" s="6"/>
      <c r="K206" s="6"/>
      <c r="L206" s="6"/>
      <c r="M206" s="6"/>
      <c r="N206" s="6"/>
      <c r="O206" s="16" t="str">
        <f>IF(COUNT(I206:M206)&lt;5,"",ROUND((I206*Matriz!$C$5+J206*Matriz!$C$6+K206*Matriz!$C$7+L206*Matriz!$C$8+M206*Matriz!$C$9)/SUM(Matriz!$C$5:$C$9),2))</f>
        <v/>
      </c>
      <c r="P206" s="17">
        <f>IFERROR(INDEX(Processos!$F$8:$F$17,MATCH(C206,Processos!$A$8:$A$17,0)),1)</f>
        <v>1.05</v>
      </c>
      <c r="Q206" s="24">
        <f>IFERROR(INDEX(Matriz!$C$28:$C$33,MATCH(G206,Matriz!$A$28:$A$33,0)),0)</f>
        <v>0</v>
      </c>
      <c r="R206" s="25" t="str">
        <f t="shared" si="12"/>
        <v/>
      </c>
      <c r="S206" s="10" t="str">
        <f>IF(R206="","",IF(R206&gt;=Matriz!$C$19,4,IF(R206&gt;=Matriz!$C$18,3,IF(R206&gt;=Matriz!$C$17,2,1))))</f>
        <v/>
      </c>
      <c r="T206" s="9" t="str">
        <f>IF(S206="","",MAX(S206,IF(I206=5,Matriz!$C$23,0),IF(N206="Sim",Matriz!$C$24,0)))</f>
        <v/>
      </c>
      <c r="U206" s="9" t="str">
        <f t="shared" si="13"/>
        <v/>
      </c>
      <c r="V206" s="26" t="str">
        <f t="shared" si="14"/>
        <v/>
      </c>
      <c r="W206" s="10" t="str">
        <f t="shared" si="15"/>
        <v/>
      </c>
      <c r="X206" s="4"/>
      <c r="Y206" s="4"/>
    </row>
    <row r="207" spans="1:25" ht="28.05" hidden="1" customHeight="1" x14ac:dyDescent="0.3">
      <c r="A207" s="20" t="s">
        <v>592</v>
      </c>
      <c r="B207" s="21" t="s">
        <v>593</v>
      </c>
      <c r="C207" s="4" t="s">
        <v>132</v>
      </c>
      <c r="D207" s="4" t="s">
        <v>191</v>
      </c>
      <c r="E207" s="4" t="s">
        <v>186</v>
      </c>
      <c r="F207" s="22">
        <v>46356</v>
      </c>
      <c r="G207" s="23" t="s">
        <v>100</v>
      </c>
      <c r="H207" s="6"/>
      <c r="I207" s="6"/>
      <c r="J207" s="6"/>
      <c r="K207" s="6"/>
      <c r="L207" s="6"/>
      <c r="M207" s="6"/>
      <c r="N207" s="6"/>
      <c r="O207" s="16" t="str">
        <f>IF(COUNT(I207:M207)&lt;5,"",ROUND((I207*Matriz!$C$5+J207*Matriz!$C$6+K207*Matriz!$C$7+L207*Matriz!$C$8+M207*Matriz!$C$9)/SUM(Matriz!$C$5:$C$9),2))</f>
        <v/>
      </c>
      <c r="P207" s="17">
        <f>IFERROR(INDEX(Processos!$F$8:$F$17,MATCH(C207,Processos!$A$8:$A$17,0)),1)</f>
        <v>1.05</v>
      </c>
      <c r="Q207" s="24">
        <f>IFERROR(INDEX(Matriz!$C$28:$C$33,MATCH(G207,Matriz!$A$28:$A$33,0)),0)</f>
        <v>0</v>
      </c>
      <c r="R207" s="25" t="str">
        <f t="shared" si="12"/>
        <v/>
      </c>
      <c r="S207" s="10" t="str">
        <f>IF(R207="","",IF(R207&gt;=Matriz!$C$19,4,IF(R207&gt;=Matriz!$C$18,3,IF(R207&gt;=Matriz!$C$17,2,1))))</f>
        <v/>
      </c>
      <c r="T207" s="9" t="str">
        <f>IF(S207="","",MAX(S207,IF(I207=5,Matriz!$C$23,0),IF(N207="Sim",Matriz!$C$24,0)))</f>
        <v/>
      </c>
      <c r="U207" s="9" t="str">
        <f t="shared" si="13"/>
        <v/>
      </c>
      <c r="V207" s="26" t="str">
        <f t="shared" si="14"/>
        <v/>
      </c>
      <c r="W207" s="10" t="str">
        <f t="shared" si="15"/>
        <v/>
      </c>
      <c r="X207" s="4"/>
      <c r="Y207" s="4"/>
    </row>
    <row r="208" spans="1:25" ht="28.05" hidden="1" customHeight="1" x14ac:dyDescent="0.3">
      <c r="A208" s="20" t="s">
        <v>594</v>
      </c>
      <c r="B208" s="21" t="s">
        <v>595</v>
      </c>
      <c r="C208" s="4" t="s">
        <v>132</v>
      </c>
      <c r="D208" s="4" t="s">
        <v>191</v>
      </c>
      <c r="E208" s="4" t="s">
        <v>186</v>
      </c>
      <c r="F208" s="22">
        <v>46387</v>
      </c>
      <c r="G208" s="23" t="s">
        <v>100</v>
      </c>
      <c r="H208" s="6"/>
      <c r="I208" s="6"/>
      <c r="J208" s="6"/>
      <c r="K208" s="6"/>
      <c r="L208" s="6"/>
      <c r="M208" s="6"/>
      <c r="N208" s="6"/>
      <c r="O208" s="16" t="str">
        <f>IF(COUNT(I208:M208)&lt;5,"",ROUND((I208*Matriz!$C$5+J208*Matriz!$C$6+K208*Matriz!$C$7+L208*Matriz!$C$8+M208*Matriz!$C$9)/SUM(Matriz!$C$5:$C$9),2))</f>
        <v/>
      </c>
      <c r="P208" s="17">
        <f>IFERROR(INDEX(Processos!$F$8:$F$17,MATCH(C208,Processos!$A$8:$A$17,0)),1)</f>
        <v>1.05</v>
      </c>
      <c r="Q208" s="24">
        <f>IFERROR(INDEX(Matriz!$C$28:$C$33,MATCH(G208,Matriz!$A$28:$A$33,0)),0)</f>
        <v>0</v>
      </c>
      <c r="R208" s="25" t="str">
        <f t="shared" si="12"/>
        <v/>
      </c>
      <c r="S208" s="10" t="str">
        <f>IF(R208="","",IF(R208&gt;=Matriz!$C$19,4,IF(R208&gt;=Matriz!$C$18,3,IF(R208&gt;=Matriz!$C$17,2,1))))</f>
        <v/>
      </c>
      <c r="T208" s="9" t="str">
        <f>IF(S208="","",MAX(S208,IF(I208=5,Matriz!$C$23,0),IF(N208="Sim",Matriz!$C$24,0)))</f>
        <v/>
      </c>
      <c r="U208" s="9" t="str">
        <f t="shared" si="13"/>
        <v/>
      </c>
      <c r="V208" s="26" t="str">
        <f t="shared" si="14"/>
        <v/>
      </c>
      <c r="W208" s="10" t="str">
        <f t="shared" si="15"/>
        <v/>
      </c>
      <c r="X208" s="4"/>
      <c r="Y208" s="4"/>
    </row>
    <row r="209" spans="1:25" ht="28.05" hidden="1" customHeight="1" x14ac:dyDescent="0.3">
      <c r="A209" s="20" t="s">
        <v>596</v>
      </c>
      <c r="B209" s="21" t="s">
        <v>597</v>
      </c>
      <c r="C209" s="4" t="s">
        <v>132</v>
      </c>
      <c r="D209" s="4" t="s">
        <v>191</v>
      </c>
      <c r="E209" s="4" t="s">
        <v>186</v>
      </c>
      <c r="F209" s="22">
        <v>46326</v>
      </c>
      <c r="G209" s="23" t="s">
        <v>100</v>
      </c>
      <c r="H209" s="6"/>
      <c r="I209" s="6"/>
      <c r="J209" s="6"/>
      <c r="K209" s="6"/>
      <c r="L209" s="6"/>
      <c r="M209" s="6"/>
      <c r="N209" s="6"/>
      <c r="O209" s="16" t="str">
        <f>IF(COUNT(I209:M209)&lt;5,"",ROUND((I209*Matriz!$C$5+J209*Matriz!$C$6+K209*Matriz!$C$7+L209*Matriz!$C$8+M209*Matriz!$C$9)/SUM(Matriz!$C$5:$C$9),2))</f>
        <v/>
      </c>
      <c r="P209" s="17">
        <f>IFERROR(INDEX(Processos!$F$8:$F$17,MATCH(C209,Processos!$A$8:$A$17,0)),1)</f>
        <v>1.05</v>
      </c>
      <c r="Q209" s="24">
        <f>IFERROR(INDEX(Matriz!$C$28:$C$33,MATCH(G209,Matriz!$A$28:$A$33,0)),0)</f>
        <v>0</v>
      </c>
      <c r="R209" s="25" t="str">
        <f t="shared" si="12"/>
        <v/>
      </c>
      <c r="S209" s="10" t="str">
        <f>IF(R209="","",IF(R209&gt;=Matriz!$C$19,4,IF(R209&gt;=Matriz!$C$18,3,IF(R209&gt;=Matriz!$C$17,2,1))))</f>
        <v/>
      </c>
      <c r="T209" s="9" t="str">
        <f>IF(S209="","",MAX(S209,IF(I209=5,Matriz!$C$23,0),IF(N209="Sim",Matriz!$C$24,0)))</f>
        <v/>
      </c>
      <c r="U209" s="9" t="str">
        <f t="shared" si="13"/>
        <v/>
      </c>
      <c r="V209" s="26" t="str">
        <f t="shared" si="14"/>
        <v/>
      </c>
      <c r="W209" s="10" t="str">
        <f t="shared" si="15"/>
        <v/>
      </c>
      <c r="X209" s="4"/>
      <c r="Y209" s="4"/>
    </row>
    <row r="210" spans="1:25" ht="40.049999999999997" hidden="1" customHeight="1" x14ac:dyDescent="0.3">
      <c r="A210" s="20" t="s">
        <v>598</v>
      </c>
      <c r="B210" s="21" t="s">
        <v>599</v>
      </c>
      <c r="C210" s="4" t="s">
        <v>132</v>
      </c>
      <c r="D210" s="4" t="s">
        <v>191</v>
      </c>
      <c r="E210" s="4" t="s">
        <v>186</v>
      </c>
      <c r="F210" s="22">
        <v>46356</v>
      </c>
      <c r="G210" s="23" t="s">
        <v>100</v>
      </c>
      <c r="H210" s="6">
        <v>3</v>
      </c>
      <c r="I210" s="6">
        <v>5</v>
      </c>
      <c r="J210" s="6">
        <v>4</v>
      </c>
      <c r="K210" s="6">
        <v>1</v>
      </c>
      <c r="L210" s="6">
        <v>2</v>
      </c>
      <c r="M210" s="6">
        <v>2</v>
      </c>
      <c r="N210" s="6" t="s">
        <v>261</v>
      </c>
      <c r="O210" s="16">
        <f>IF(COUNT(I210:M210)&lt;5,"",ROUND((I210*Matriz!$C$5+J210*Matriz!$C$6+K210*Matriz!$C$7+L210*Matriz!$C$8+M210*Matriz!$C$9)/SUM(Matriz!$C$5:$C$9),2))</f>
        <v>3.1</v>
      </c>
      <c r="P210" s="17">
        <f>IFERROR(INDEX(Processos!$F$8:$F$17,MATCH(C210,Processos!$A$8:$A$17,0)),1)</f>
        <v>1.05</v>
      </c>
      <c r="Q210" s="24">
        <f>IFERROR(INDEX(Matriz!$C$28:$C$33,MATCH(G210,Matriz!$A$28:$A$33,0)),0)</f>
        <v>0</v>
      </c>
      <c r="R210" s="25">
        <f t="shared" si="12"/>
        <v>3.26</v>
      </c>
      <c r="S210" s="10">
        <f>IF(R210="","",IF(R210&gt;=Matriz!$C$19,4,IF(R210&gt;=Matriz!$C$18,3,IF(R210&gt;=Matriz!$C$17,2,1))))</f>
        <v>2</v>
      </c>
      <c r="T210" s="9">
        <f>IF(S210="","",MAX(S210,IF(I210=5,Matriz!$C$23,0),IF(N210="Sim",Matriz!$C$24,0)))</f>
        <v>3</v>
      </c>
      <c r="U210" s="9" t="str">
        <f t="shared" si="13"/>
        <v>Alta</v>
      </c>
      <c r="V210" s="26">
        <f t="shared" si="14"/>
        <v>3032.2997899999996</v>
      </c>
      <c r="W210" s="10">
        <f t="shared" si="15"/>
        <v>8</v>
      </c>
      <c r="X210" s="4" t="s">
        <v>262</v>
      </c>
      <c r="Y210" s="4" t="s">
        <v>600</v>
      </c>
    </row>
    <row r="211" spans="1:25" ht="28.05" hidden="1" customHeight="1" x14ac:dyDescent="0.3">
      <c r="A211" s="20" t="s">
        <v>601</v>
      </c>
      <c r="B211" s="21" t="s">
        <v>602</v>
      </c>
      <c r="C211" s="4" t="s">
        <v>132</v>
      </c>
      <c r="D211" s="4" t="s">
        <v>191</v>
      </c>
      <c r="E211" s="4" t="s">
        <v>186</v>
      </c>
      <c r="F211" s="22">
        <v>46326</v>
      </c>
      <c r="G211" s="23" t="s">
        <v>108</v>
      </c>
      <c r="H211" s="6"/>
      <c r="I211" s="6"/>
      <c r="J211" s="6"/>
      <c r="K211" s="6"/>
      <c r="L211" s="6"/>
      <c r="M211" s="6"/>
      <c r="N211" s="6"/>
      <c r="O211" s="16" t="str">
        <f>IF(COUNT(I211:M211)&lt;5,"",ROUND((I211*Matriz!$C$5+J211*Matriz!$C$6+K211*Matriz!$C$7+L211*Matriz!$C$8+M211*Matriz!$C$9)/SUM(Matriz!$C$5:$C$9),2))</f>
        <v/>
      </c>
      <c r="P211" s="17">
        <f>IFERROR(INDEX(Processos!$F$8:$F$17,MATCH(C211,Processos!$A$8:$A$17,0)),1)</f>
        <v>1.05</v>
      </c>
      <c r="Q211" s="24">
        <f>IFERROR(INDEX(Matriz!$C$28:$C$33,MATCH(G211,Matriz!$A$28:$A$33,0)),0)</f>
        <v>-0.3</v>
      </c>
      <c r="R211" s="25" t="str">
        <f t="shared" si="12"/>
        <v/>
      </c>
      <c r="S211" s="10" t="str">
        <f>IF(R211="","",IF(R211&gt;=Matriz!$C$19,4,IF(R211&gt;=Matriz!$C$18,3,IF(R211&gt;=Matriz!$C$17,2,1))))</f>
        <v/>
      </c>
      <c r="T211" s="9" t="str">
        <f>IF(S211="","",MAX(S211,IF(I211=5,Matriz!$C$23,0),IF(N211="Sim",Matriz!$C$24,0)))</f>
        <v/>
      </c>
      <c r="U211" s="9" t="str">
        <f t="shared" si="13"/>
        <v/>
      </c>
      <c r="V211" s="26" t="str">
        <f t="shared" si="14"/>
        <v/>
      </c>
      <c r="W211" s="10" t="str">
        <f t="shared" si="15"/>
        <v/>
      </c>
      <c r="X211" s="4"/>
      <c r="Y211" s="4"/>
    </row>
    <row r="212" spans="1:25" ht="28.05" hidden="1" customHeight="1" x14ac:dyDescent="0.3">
      <c r="A212" s="20" t="s">
        <v>603</v>
      </c>
      <c r="B212" s="21" t="s">
        <v>604</v>
      </c>
      <c r="C212" s="4" t="s">
        <v>132</v>
      </c>
      <c r="D212" s="4" t="s">
        <v>191</v>
      </c>
      <c r="E212" s="4" t="s">
        <v>186</v>
      </c>
      <c r="F212" s="22">
        <v>46387</v>
      </c>
      <c r="G212" s="23" t="s">
        <v>108</v>
      </c>
      <c r="H212" s="6"/>
      <c r="I212" s="6"/>
      <c r="J212" s="6"/>
      <c r="K212" s="6"/>
      <c r="L212" s="6"/>
      <c r="M212" s="6"/>
      <c r="N212" s="6"/>
      <c r="O212" s="16" t="str">
        <f>IF(COUNT(I212:M212)&lt;5,"",ROUND((I212*Matriz!$C$5+J212*Matriz!$C$6+K212*Matriz!$C$7+L212*Matriz!$C$8+M212*Matriz!$C$9)/SUM(Matriz!$C$5:$C$9),2))</f>
        <v/>
      </c>
      <c r="P212" s="17">
        <f>IFERROR(INDEX(Processos!$F$8:$F$17,MATCH(C212,Processos!$A$8:$A$17,0)),1)</f>
        <v>1.05</v>
      </c>
      <c r="Q212" s="24">
        <f>IFERROR(INDEX(Matriz!$C$28:$C$33,MATCH(G212,Matriz!$A$28:$A$33,0)),0)</f>
        <v>-0.3</v>
      </c>
      <c r="R212" s="25" t="str">
        <f t="shared" si="12"/>
        <v/>
      </c>
      <c r="S212" s="10" t="str">
        <f>IF(R212="","",IF(R212&gt;=Matriz!$C$19,4,IF(R212&gt;=Matriz!$C$18,3,IF(R212&gt;=Matriz!$C$17,2,1))))</f>
        <v/>
      </c>
      <c r="T212" s="9" t="str">
        <f>IF(S212="","",MAX(S212,IF(I212=5,Matriz!$C$23,0),IF(N212="Sim",Matriz!$C$24,0)))</f>
        <v/>
      </c>
      <c r="U212" s="9" t="str">
        <f t="shared" si="13"/>
        <v/>
      </c>
      <c r="V212" s="26" t="str">
        <f t="shared" si="14"/>
        <v/>
      </c>
      <c r="W212" s="10" t="str">
        <f t="shared" si="15"/>
        <v/>
      </c>
      <c r="X212" s="4"/>
      <c r="Y212" s="4"/>
    </row>
    <row r="213" spans="1:25" ht="28.05" hidden="1" customHeight="1" x14ac:dyDescent="0.3">
      <c r="A213" s="20" t="s">
        <v>605</v>
      </c>
      <c r="B213" s="21" t="s">
        <v>606</v>
      </c>
      <c r="C213" s="4" t="s">
        <v>132</v>
      </c>
      <c r="D213" s="4" t="s">
        <v>255</v>
      </c>
      <c r="E213" s="4" t="s">
        <v>186</v>
      </c>
      <c r="F213" s="22">
        <v>46326</v>
      </c>
      <c r="G213" s="23" t="s">
        <v>108</v>
      </c>
      <c r="H213" s="6"/>
      <c r="I213" s="6"/>
      <c r="J213" s="6"/>
      <c r="K213" s="6"/>
      <c r="L213" s="6"/>
      <c r="M213" s="6"/>
      <c r="N213" s="6"/>
      <c r="O213" s="16" t="str">
        <f>IF(COUNT(I213:M213)&lt;5,"",ROUND((I213*Matriz!$C$5+J213*Matriz!$C$6+K213*Matriz!$C$7+L213*Matriz!$C$8+M213*Matriz!$C$9)/SUM(Matriz!$C$5:$C$9),2))</f>
        <v/>
      </c>
      <c r="P213" s="17">
        <f>IFERROR(INDEX(Processos!$F$8:$F$17,MATCH(C213,Processos!$A$8:$A$17,0)),1)</f>
        <v>1.05</v>
      </c>
      <c r="Q213" s="24">
        <f>IFERROR(INDEX(Matriz!$C$28:$C$33,MATCH(G213,Matriz!$A$28:$A$33,0)),0)</f>
        <v>-0.3</v>
      </c>
      <c r="R213" s="25" t="str">
        <f t="shared" si="12"/>
        <v/>
      </c>
      <c r="S213" s="10" t="str">
        <f>IF(R213="","",IF(R213&gt;=Matriz!$C$19,4,IF(R213&gt;=Matriz!$C$18,3,IF(R213&gt;=Matriz!$C$17,2,1))))</f>
        <v/>
      </c>
      <c r="T213" s="9" t="str">
        <f>IF(S213="","",MAX(S213,IF(I213=5,Matriz!$C$23,0),IF(N213="Sim",Matriz!$C$24,0)))</f>
        <v/>
      </c>
      <c r="U213" s="9" t="str">
        <f t="shared" si="13"/>
        <v/>
      </c>
      <c r="V213" s="26" t="str">
        <f t="shared" si="14"/>
        <v/>
      </c>
      <c r="W213" s="10" t="str">
        <f t="shared" si="15"/>
        <v/>
      </c>
      <c r="X213" s="4"/>
      <c r="Y213" s="4"/>
    </row>
    <row r="214" spans="1:25" ht="28.05" hidden="1" customHeight="1" x14ac:dyDescent="0.3">
      <c r="A214" s="20" t="s">
        <v>607</v>
      </c>
      <c r="B214" s="21" t="s">
        <v>608</v>
      </c>
      <c r="C214" s="4" t="s">
        <v>132</v>
      </c>
      <c r="D214" s="4" t="s">
        <v>255</v>
      </c>
      <c r="E214" s="4" t="s">
        <v>186</v>
      </c>
      <c r="F214" s="22">
        <v>46326</v>
      </c>
      <c r="G214" s="23" t="s">
        <v>108</v>
      </c>
      <c r="H214" s="6"/>
      <c r="I214" s="6"/>
      <c r="J214" s="6"/>
      <c r="K214" s="6"/>
      <c r="L214" s="6"/>
      <c r="M214" s="6"/>
      <c r="N214" s="6"/>
      <c r="O214" s="16" t="str">
        <f>IF(COUNT(I214:M214)&lt;5,"",ROUND((I214*Matriz!$C$5+J214*Matriz!$C$6+K214*Matriz!$C$7+L214*Matriz!$C$8+M214*Matriz!$C$9)/SUM(Matriz!$C$5:$C$9),2))</f>
        <v/>
      </c>
      <c r="P214" s="17">
        <f>IFERROR(INDEX(Processos!$F$8:$F$17,MATCH(C214,Processos!$A$8:$A$17,0)),1)</f>
        <v>1.05</v>
      </c>
      <c r="Q214" s="24">
        <f>IFERROR(INDEX(Matriz!$C$28:$C$33,MATCH(G214,Matriz!$A$28:$A$33,0)),0)</f>
        <v>-0.3</v>
      </c>
      <c r="R214" s="25" t="str">
        <f t="shared" si="12"/>
        <v/>
      </c>
      <c r="S214" s="10" t="str">
        <f>IF(R214="","",IF(R214&gt;=Matriz!$C$19,4,IF(R214&gt;=Matriz!$C$18,3,IF(R214&gt;=Matriz!$C$17,2,1))))</f>
        <v/>
      </c>
      <c r="T214" s="9" t="str">
        <f>IF(S214="","",MAX(S214,IF(I214=5,Matriz!$C$23,0),IF(N214="Sim",Matriz!$C$24,0)))</f>
        <v/>
      </c>
      <c r="U214" s="9" t="str">
        <f t="shared" si="13"/>
        <v/>
      </c>
      <c r="V214" s="26" t="str">
        <f t="shared" si="14"/>
        <v/>
      </c>
      <c r="W214" s="10" t="str">
        <f t="shared" si="15"/>
        <v/>
      </c>
      <c r="X214" s="4"/>
      <c r="Y214" s="4"/>
    </row>
    <row r="215" spans="1:25" ht="28.05" hidden="1" customHeight="1" x14ac:dyDescent="0.3">
      <c r="A215" s="20" t="s">
        <v>609</v>
      </c>
      <c r="B215" s="21" t="s">
        <v>610</v>
      </c>
      <c r="C215" s="4" t="s">
        <v>132</v>
      </c>
      <c r="D215" s="4" t="s">
        <v>191</v>
      </c>
      <c r="E215" s="4" t="s">
        <v>186</v>
      </c>
      <c r="F215" s="22">
        <v>46326</v>
      </c>
      <c r="G215" s="23" t="s">
        <v>108</v>
      </c>
      <c r="H215" s="6"/>
      <c r="I215" s="6"/>
      <c r="J215" s="6"/>
      <c r="K215" s="6"/>
      <c r="L215" s="6"/>
      <c r="M215" s="6"/>
      <c r="N215" s="6"/>
      <c r="O215" s="16" t="str">
        <f>IF(COUNT(I215:M215)&lt;5,"",ROUND((I215*Matriz!$C$5+J215*Matriz!$C$6+K215*Matriz!$C$7+L215*Matriz!$C$8+M215*Matriz!$C$9)/SUM(Matriz!$C$5:$C$9),2))</f>
        <v/>
      </c>
      <c r="P215" s="17">
        <f>IFERROR(INDEX(Processos!$F$8:$F$17,MATCH(C215,Processos!$A$8:$A$17,0)),1)</f>
        <v>1.05</v>
      </c>
      <c r="Q215" s="24">
        <f>IFERROR(INDEX(Matriz!$C$28:$C$33,MATCH(G215,Matriz!$A$28:$A$33,0)),0)</f>
        <v>-0.3</v>
      </c>
      <c r="R215" s="25" t="str">
        <f t="shared" si="12"/>
        <v/>
      </c>
      <c r="S215" s="10" t="str">
        <f>IF(R215="","",IF(R215&gt;=Matriz!$C$19,4,IF(R215&gt;=Matriz!$C$18,3,IF(R215&gt;=Matriz!$C$17,2,1))))</f>
        <v/>
      </c>
      <c r="T215" s="9" t="str">
        <f>IF(S215="","",MAX(S215,IF(I215=5,Matriz!$C$23,0),IF(N215="Sim",Matriz!$C$24,0)))</f>
        <v/>
      </c>
      <c r="U215" s="9" t="str">
        <f t="shared" si="13"/>
        <v/>
      </c>
      <c r="V215" s="26" t="str">
        <f t="shared" si="14"/>
        <v/>
      </c>
      <c r="W215" s="10" t="str">
        <f t="shared" si="15"/>
        <v/>
      </c>
      <c r="X215" s="4"/>
      <c r="Y215" s="4"/>
    </row>
    <row r="216" spans="1:25" ht="28.05" hidden="1" customHeight="1" x14ac:dyDescent="0.3">
      <c r="A216" s="20" t="s">
        <v>611</v>
      </c>
      <c r="B216" s="21" t="s">
        <v>612</v>
      </c>
      <c r="C216" s="4" t="s">
        <v>132</v>
      </c>
      <c r="D216" s="4" t="s">
        <v>191</v>
      </c>
      <c r="E216" s="4" t="s">
        <v>186</v>
      </c>
      <c r="F216" s="22">
        <v>46356</v>
      </c>
      <c r="G216" s="23" t="s">
        <v>108</v>
      </c>
      <c r="H216" s="6"/>
      <c r="I216" s="6"/>
      <c r="J216" s="6"/>
      <c r="K216" s="6"/>
      <c r="L216" s="6"/>
      <c r="M216" s="6"/>
      <c r="N216" s="6"/>
      <c r="O216" s="16" t="str">
        <f>IF(COUNT(I216:M216)&lt;5,"",ROUND((I216*Matriz!$C$5+J216*Matriz!$C$6+K216*Matriz!$C$7+L216*Matriz!$C$8+M216*Matriz!$C$9)/SUM(Matriz!$C$5:$C$9),2))</f>
        <v/>
      </c>
      <c r="P216" s="17">
        <f>IFERROR(INDEX(Processos!$F$8:$F$17,MATCH(C216,Processos!$A$8:$A$17,0)),1)</f>
        <v>1.05</v>
      </c>
      <c r="Q216" s="24">
        <f>IFERROR(INDEX(Matriz!$C$28:$C$33,MATCH(G216,Matriz!$A$28:$A$33,0)),0)</f>
        <v>-0.3</v>
      </c>
      <c r="R216" s="25" t="str">
        <f t="shared" si="12"/>
        <v/>
      </c>
      <c r="S216" s="10" t="str">
        <f>IF(R216="","",IF(R216&gt;=Matriz!$C$19,4,IF(R216&gt;=Matriz!$C$18,3,IF(R216&gt;=Matriz!$C$17,2,1))))</f>
        <v/>
      </c>
      <c r="T216" s="9" t="str">
        <f>IF(S216="","",MAX(S216,IF(I216=5,Matriz!$C$23,0),IF(N216="Sim",Matriz!$C$24,0)))</f>
        <v/>
      </c>
      <c r="U216" s="9" t="str">
        <f t="shared" si="13"/>
        <v/>
      </c>
      <c r="V216" s="26" t="str">
        <f t="shared" si="14"/>
        <v/>
      </c>
      <c r="W216" s="10" t="str">
        <f t="shared" si="15"/>
        <v/>
      </c>
      <c r="X216" s="4"/>
      <c r="Y216" s="4"/>
    </row>
    <row r="217" spans="1:25" ht="28.05" hidden="1" customHeight="1" x14ac:dyDescent="0.3">
      <c r="A217" s="20" t="s">
        <v>613</v>
      </c>
      <c r="B217" s="21" t="s">
        <v>614</v>
      </c>
      <c r="C217" s="4" t="s">
        <v>132</v>
      </c>
      <c r="D217" s="4" t="s">
        <v>191</v>
      </c>
      <c r="E217" s="4" t="s">
        <v>186</v>
      </c>
      <c r="F217" s="22">
        <v>46326</v>
      </c>
      <c r="G217" s="23" t="s">
        <v>108</v>
      </c>
      <c r="H217" s="6"/>
      <c r="I217" s="6"/>
      <c r="J217" s="6"/>
      <c r="K217" s="6"/>
      <c r="L217" s="6"/>
      <c r="M217" s="6"/>
      <c r="N217" s="6"/>
      <c r="O217" s="16" t="str">
        <f>IF(COUNT(I217:M217)&lt;5,"",ROUND((I217*Matriz!$C$5+J217*Matriz!$C$6+K217*Matriz!$C$7+L217*Matriz!$C$8+M217*Matriz!$C$9)/SUM(Matriz!$C$5:$C$9),2))</f>
        <v/>
      </c>
      <c r="P217" s="17">
        <f>IFERROR(INDEX(Processos!$F$8:$F$17,MATCH(C217,Processos!$A$8:$A$17,0)),1)</f>
        <v>1.05</v>
      </c>
      <c r="Q217" s="24">
        <f>IFERROR(INDEX(Matriz!$C$28:$C$33,MATCH(G217,Matriz!$A$28:$A$33,0)),0)</f>
        <v>-0.3</v>
      </c>
      <c r="R217" s="25" t="str">
        <f t="shared" si="12"/>
        <v/>
      </c>
      <c r="S217" s="10" t="str">
        <f>IF(R217="","",IF(R217&gt;=Matriz!$C$19,4,IF(R217&gt;=Matriz!$C$18,3,IF(R217&gt;=Matriz!$C$17,2,1))))</f>
        <v/>
      </c>
      <c r="T217" s="9" t="str">
        <f>IF(S217="","",MAX(S217,IF(I217=5,Matriz!$C$23,0),IF(N217="Sim",Matriz!$C$24,0)))</f>
        <v/>
      </c>
      <c r="U217" s="9" t="str">
        <f t="shared" si="13"/>
        <v/>
      </c>
      <c r="V217" s="26" t="str">
        <f t="shared" si="14"/>
        <v/>
      </c>
      <c r="W217" s="10" t="str">
        <f t="shared" si="15"/>
        <v/>
      </c>
      <c r="X217" s="4"/>
      <c r="Y217" s="4"/>
    </row>
    <row r="218" spans="1:25" ht="28.05" hidden="1" customHeight="1" x14ac:dyDescent="0.3">
      <c r="A218" s="20" t="s">
        <v>615</v>
      </c>
      <c r="B218" s="21" t="s">
        <v>616</v>
      </c>
      <c r="C218" s="4" t="s">
        <v>132</v>
      </c>
      <c r="D218" s="4" t="s">
        <v>191</v>
      </c>
      <c r="E218" s="4" t="s">
        <v>186</v>
      </c>
      <c r="F218" s="22">
        <v>46326</v>
      </c>
      <c r="G218" s="23" t="s">
        <v>108</v>
      </c>
      <c r="H218" s="6"/>
      <c r="I218" s="6"/>
      <c r="J218" s="6"/>
      <c r="K218" s="6"/>
      <c r="L218" s="6"/>
      <c r="M218" s="6"/>
      <c r="N218" s="6"/>
      <c r="O218" s="16" t="str">
        <f>IF(COUNT(I218:M218)&lt;5,"",ROUND((I218*Matriz!$C$5+J218*Matriz!$C$6+K218*Matriz!$C$7+L218*Matriz!$C$8+M218*Matriz!$C$9)/SUM(Matriz!$C$5:$C$9),2))</f>
        <v/>
      </c>
      <c r="P218" s="17">
        <f>IFERROR(INDEX(Processos!$F$8:$F$17,MATCH(C218,Processos!$A$8:$A$17,0)),1)</f>
        <v>1.05</v>
      </c>
      <c r="Q218" s="24">
        <f>IFERROR(INDEX(Matriz!$C$28:$C$33,MATCH(G218,Matriz!$A$28:$A$33,0)),0)</f>
        <v>-0.3</v>
      </c>
      <c r="R218" s="25" t="str">
        <f t="shared" si="12"/>
        <v/>
      </c>
      <c r="S218" s="10" t="str">
        <f>IF(R218="","",IF(R218&gt;=Matriz!$C$19,4,IF(R218&gt;=Matriz!$C$18,3,IF(R218&gt;=Matriz!$C$17,2,1))))</f>
        <v/>
      </c>
      <c r="T218" s="9" t="str">
        <f>IF(S218="","",MAX(S218,IF(I218=5,Matriz!$C$23,0),IF(N218="Sim",Matriz!$C$24,0)))</f>
        <v/>
      </c>
      <c r="U218" s="9" t="str">
        <f t="shared" si="13"/>
        <v/>
      </c>
      <c r="V218" s="26" t="str">
        <f t="shared" si="14"/>
        <v/>
      </c>
      <c r="W218" s="10" t="str">
        <f t="shared" si="15"/>
        <v/>
      </c>
      <c r="X218" s="4"/>
      <c r="Y218" s="4"/>
    </row>
    <row r="219" spans="1:25" ht="28.05" hidden="1" customHeight="1" x14ac:dyDescent="0.3">
      <c r="A219" s="20" t="s">
        <v>617</v>
      </c>
      <c r="B219" s="21" t="s">
        <v>618</v>
      </c>
      <c r="C219" s="4" t="s">
        <v>132</v>
      </c>
      <c r="D219" s="4" t="s">
        <v>191</v>
      </c>
      <c r="E219" s="4" t="s">
        <v>186</v>
      </c>
      <c r="F219" s="22">
        <v>46356</v>
      </c>
      <c r="G219" s="23" t="s">
        <v>108</v>
      </c>
      <c r="H219" s="6"/>
      <c r="I219" s="6"/>
      <c r="J219" s="6"/>
      <c r="K219" s="6"/>
      <c r="L219" s="6"/>
      <c r="M219" s="6"/>
      <c r="N219" s="6"/>
      <c r="O219" s="16" t="str">
        <f>IF(COUNT(I219:M219)&lt;5,"",ROUND((I219*Matriz!$C$5+J219*Matriz!$C$6+K219*Matriz!$C$7+L219*Matriz!$C$8+M219*Matriz!$C$9)/SUM(Matriz!$C$5:$C$9),2))</f>
        <v/>
      </c>
      <c r="P219" s="17">
        <f>IFERROR(INDEX(Processos!$F$8:$F$17,MATCH(C219,Processos!$A$8:$A$17,0)),1)</f>
        <v>1.05</v>
      </c>
      <c r="Q219" s="24">
        <f>IFERROR(INDEX(Matriz!$C$28:$C$33,MATCH(G219,Matriz!$A$28:$A$33,0)),0)</f>
        <v>-0.3</v>
      </c>
      <c r="R219" s="25" t="str">
        <f t="shared" si="12"/>
        <v/>
      </c>
      <c r="S219" s="10" t="str">
        <f>IF(R219="","",IF(R219&gt;=Matriz!$C$19,4,IF(R219&gt;=Matriz!$C$18,3,IF(R219&gt;=Matriz!$C$17,2,1))))</f>
        <v/>
      </c>
      <c r="T219" s="9" t="str">
        <f>IF(S219="","",MAX(S219,IF(I219=5,Matriz!$C$23,0),IF(N219="Sim",Matriz!$C$24,0)))</f>
        <v/>
      </c>
      <c r="U219" s="9" t="str">
        <f t="shared" si="13"/>
        <v/>
      </c>
      <c r="V219" s="26" t="str">
        <f t="shared" si="14"/>
        <v/>
      </c>
      <c r="W219" s="10" t="str">
        <f t="shared" si="15"/>
        <v/>
      </c>
      <c r="X219" s="4"/>
      <c r="Y219" s="4"/>
    </row>
    <row r="220" spans="1:25" ht="28.05" hidden="1" customHeight="1" x14ac:dyDescent="0.3">
      <c r="A220" s="20" t="s">
        <v>619</v>
      </c>
      <c r="B220" s="21" t="s">
        <v>620</v>
      </c>
      <c r="C220" s="4" t="s">
        <v>132</v>
      </c>
      <c r="D220" s="4" t="s">
        <v>255</v>
      </c>
      <c r="E220" s="4" t="s">
        <v>186</v>
      </c>
      <c r="F220" s="22">
        <v>46326</v>
      </c>
      <c r="G220" s="23" t="s">
        <v>108</v>
      </c>
      <c r="H220" s="6"/>
      <c r="I220" s="6"/>
      <c r="J220" s="6"/>
      <c r="K220" s="6"/>
      <c r="L220" s="6"/>
      <c r="M220" s="6"/>
      <c r="N220" s="6"/>
      <c r="O220" s="16" t="str">
        <f>IF(COUNT(I220:M220)&lt;5,"",ROUND((I220*Matriz!$C$5+J220*Matriz!$C$6+K220*Matriz!$C$7+L220*Matriz!$C$8+M220*Matriz!$C$9)/SUM(Matriz!$C$5:$C$9),2))</f>
        <v/>
      </c>
      <c r="P220" s="17">
        <f>IFERROR(INDEX(Processos!$F$8:$F$17,MATCH(C220,Processos!$A$8:$A$17,0)),1)</f>
        <v>1.05</v>
      </c>
      <c r="Q220" s="24">
        <f>IFERROR(INDEX(Matriz!$C$28:$C$33,MATCH(G220,Matriz!$A$28:$A$33,0)),0)</f>
        <v>-0.3</v>
      </c>
      <c r="R220" s="25" t="str">
        <f t="shared" si="12"/>
        <v/>
      </c>
      <c r="S220" s="10" t="str">
        <f>IF(R220="","",IF(R220&gt;=Matriz!$C$19,4,IF(R220&gt;=Matriz!$C$18,3,IF(R220&gt;=Matriz!$C$17,2,1))))</f>
        <v/>
      </c>
      <c r="T220" s="9" t="str">
        <f>IF(S220="","",MAX(S220,IF(I220=5,Matriz!$C$23,0),IF(N220="Sim",Matriz!$C$24,0)))</f>
        <v/>
      </c>
      <c r="U220" s="9" t="str">
        <f t="shared" si="13"/>
        <v/>
      </c>
      <c r="V220" s="26" t="str">
        <f t="shared" si="14"/>
        <v/>
      </c>
      <c r="W220" s="10" t="str">
        <f t="shared" si="15"/>
        <v/>
      </c>
      <c r="X220" s="4"/>
      <c r="Y220" s="4"/>
    </row>
    <row r="221" spans="1:25" ht="28.05" hidden="1" customHeight="1" x14ac:dyDescent="0.3">
      <c r="A221" s="20" t="s">
        <v>621</v>
      </c>
      <c r="B221" s="21" t="s">
        <v>622</v>
      </c>
      <c r="C221" s="4" t="s">
        <v>132</v>
      </c>
      <c r="D221" s="4" t="s">
        <v>255</v>
      </c>
      <c r="E221" s="4" t="s">
        <v>186</v>
      </c>
      <c r="F221" s="22">
        <v>46326</v>
      </c>
      <c r="G221" s="23" t="s">
        <v>108</v>
      </c>
      <c r="H221" s="6"/>
      <c r="I221" s="6"/>
      <c r="J221" s="6"/>
      <c r="K221" s="6"/>
      <c r="L221" s="6"/>
      <c r="M221" s="6"/>
      <c r="N221" s="6"/>
      <c r="O221" s="16" t="str">
        <f>IF(COUNT(I221:M221)&lt;5,"",ROUND((I221*Matriz!$C$5+J221*Matriz!$C$6+K221*Matriz!$C$7+L221*Matriz!$C$8+M221*Matriz!$C$9)/SUM(Matriz!$C$5:$C$9),2))</f>
        <v/>
      </c>
      <c r="P221" s="17">
        <f>IFERROR(INDEX(Processos!$F$8:$F$17,MATCH(C221,Processos!$A$8:$A$17,0)),1)</f>
        <v>1.05</v>
      </c>
      <c r="Q221" s="24">
        <f>IFERROR(INDEX(Matriz!$C$28:$C$33,MATCH(G221,Matriz!$A$28:$A$33,0)),0)</f>
        <v>-0.3</v>
      </c>
      <c r="R221" s="25" t="str">
        <f t="shared" si="12"/>
        <v/>
      </c>
      <c r="S221" s="10" t="str">
        <f>IF(R221="","",IF(R221&gt;=Matriz!$C$19,4,IF(R221&gt;=Matriz!$C$18,3,IF(R221&gt;=Matriz!$C$17,2,1))))</f>
        <v/>
      </c>
      <c r="T221" s="9" t="str">
        <f>IF(S221="","",MAX(S221,IF(I221=5,Matriz!$C$23,0),IF(N221="Sim",Matriz!$C$24,0)))</f>
        <v/>
      </c>
      <c r="U221" s="9" t="str">
        <f t="shared" si="13"/>
        <v/>
      </c>
      <c r="V221" s="26" t="str">
        <f t="shared" si="14"/>
        <v/>
      </c>
      <c r="W221" s="10" t="str">
        <f t="shared" si="15"/>
        <v/>
      </c>
      <c r="X221" s="4"/>
      <c r="Y221" s="4"/>
    </row>
    <row r="222" spans="1:25" ht="28.05" hidden="1" customHeight="1" x14ac:dyDescent="0.3">
      <c r="A222" s="20" t="s">
        <v>623</v>
      </c>
      <c r="B222" s="21" t="s">
        <v>624</v>
      </c>
      <c r="C222" s="4" t="s">
        <v>132</v>
      </c>
      <c r="D222" s="4" t="s">
        <v>191</v>
      </c>
      <c r="E222" s="4" t="s">
        <v>186</v>
      </c>
      <c r="F222" s="22">
        <v>46326</v>
      </c>
      <c r="G222" s="23" t="s">
        <v>108</v>
      </c>
      <c r="H222" s="6"/>
      <c r="I222" s="6"/>
      <c r="J222" s="6"/>
      <c r="K222" s="6"/>
      <c r="L222" s="6"/>
      <c r="M222" s="6"/>
      <c r="N222" s="6"/>
      <c r="O222" s="16" t="str">
        <f>IF(COUNT(I222:M222)&lt;5,"",ROUND((I222*Matriz!$C$5+J222*Matriz!$C$6+K222*Matriz!$C$7+L222*Matriz!$C$8+M222*Matriz!$C$9)/SUM(Matriz!$C$5:$C$9),2))</f>
        <v/>
      </c>
      <c r="P222" s="17">
        <f>IFERROR(INDEX(Processos!$F$8:$F$17,MATCH(C222,Processos!$A$8:$A$17,0)),1)</f>
        <v>1.05</v>
      </c>
      <c r="Q222" s="24">
        <f>IFERROR(INDEX(Matriz!$C$28:$C$33,MATCH(G222,Matriz!$A$28:$A$33,0)),0)</f>
        <v>-0.3</v>
      </c>
      <c r="R222" s="25" t="str">
        <f t="shared" si="12"/>
        <v/>
      </c>
      <c r="S222" s="10" t="str">
        <f>IF(R222="","",IF(R222&gt;=Matriz!$C$19,4,IF(R222&gt;=Matriz!$C$18,3,IF(R222&gt;=Matriz!$C$17,2,1))))</f>
        <v/>
      </c>
      <c r="T222" s="9" t="str">
        <f>IF(S222="","",MAX(S222,IF(I222=5,Matriz!$C$23,0),IF(N222="Sim",Matriz!$C$24,0)))</f>
        <v/>
      </c>
      <c r="U222" s="9" t="str">
        <f t="shared" si="13"/>
        <v/>
      </c>
      <c r="V222" s="26" t="str">
        <f t="shared" si="14"/>
        <v/>
      </c>
      <c r="W222" s="10" t="str">
        <f t="shared" si="15"/>
        <v/>
      </c>
      <c r="X222" s="4"/>
      <c r="Y222" s="4"/>
    </row>
    <row r="223" spans="1:25" ht="28.05" hidden="1" customHeight="1" x14ac:dyDescent="0.3">
      <c r="A223" s="20" t="s">
        <v>625</v>
      </c>
      <c r="B223" s="21" t="s">
        <v>626</v>
      </c>
      <c r="C223" s="4" t="s">
        <v>132</v>
      </c>
      <c r="D223" s="4" t="s">
        <v>255</v>
      </c>
      <c r="E223" s="4" t="s">
        <v>186</v>
      </c>
      <c r="F223" s="22">
        <v>46326</v>
      </c>
      <c r="G223" s="23" t="s">
        <v>108</v>
      </c>
      <c r="H223" s="6"/>
      <c r="I223" s="6"/>
      <c r="J223" s="6"/>
      <c r="K223" s="6"/>
      <c r="L223" s="6"/>
      <c r="M223" s="6"/>
      <c r="N223" s="6"/>
      <c r="O223" s="16" t="str">
        <f>IF(COUNT(I223:M223)&lt;5,"",ROUND((I223*Matriz!$C$5+J223*Matriz!$C$6+K223*Matriz!$C$7+L223*Matriz!$C$8+M223*Matriz!$C$9)/SUM(Matriz!$C$5:$C$9),2))</f>
        <v/>
      </c>
      <c r="P223" s="17">
        <f>IFERROR(INDEX(Processos!$F$8:$F$17,MATCH(C223,Processos!$A$8:$A$17,0)),1)</f>
        <v>1.05</v>
      </c>
      <c r="Q223" s="24">
        <f>IFERROR(INDEX(Matriz!$C$28:$C$33,MATCH(G223,Matriz!$A$28:$A$33,0)),0)</f>
        <v>-0.3</v>
      </c>
      <c r="R223" s="25" t="str">
        <f t="shared" si="12"/>
        <v/>
      </c>
      <c r="S223" s="10" t="str">
        <f>IF(R223="","",IF(R223&gt;=Matriz!$C$19,4,IF(R223&gt;=Matriz!$C$18,3,IF(R223&gt;=Matriz!$C$17,2,1))))</f>
        <v/>
      </c>
      <c r="T223" s="9" t="str">
        <f>IF(S223="","",MAX(S223,IF(I223=5,Matriz!$C$23,0),IF(N223="Sim",Matriz!$C$24,0)))</f>
        <v/>
      </c>
      <c r="U223" s="9" t="str">
        <f t="shared" si="13"/>
        <v/>
      </c>
      <c r="V223" s="26" t="str">
        <f t="shared" si="14"/>
        <v/>
      </c>
      <c r="W223" s="10" t="str">
        <f t="shared" si="15"/>
        <v/>
      </c>
      <c r="X223" s="4"/>
      <c r="Y223" s="4"/>
    </row>
    <row r="224" spans="1:25" ht="28.05" hidden="1" customHeight="1" x14ac:dyDescent="0.3">
      <c r="A224" s="20" t="s">
        <v>627</v>
      </c>
      <c r="B224" s="21" t="s">
        <v>628</v>
      </c>
      <c r="C224" s="4" t="s">
        <v>132</v>
      </c>
      <c r="D224" s="4" t="s">
        <v>255</v>
      </c>
      <c r="E224" s="4" t="s">
        <v>186</v>
      </c>
      <c r="F224" s="22">
        <v>46326</v>
      </c>
      <c r="G224" s="23" t="s">
        <v>108</v>
      </c>
      <c r="H224" s="6"/>
      <c r="I224" s="6"/>
      <c r="J224" s="6"/>
      <c r="K224" s="6"/>
      <c r="L224" s="6"/>
      <c r="M224" s="6"/>
      <c r="N224" s="6"/>
      <c r="O224" s="16" t="str">
        <f>IF(COUNT(I224:M224)&lt;5,"",ROUND((I224*Matriz!$C$5+J224*Matriz!$C$6+K224*Matriz!$C$7+L224*Matriz!$C$8+M224*Matriz!$C$9)/SUM(Matriz!$C$5:$C$9),2))</f>
        <v/>
      </c>
      <c r="P224" s="17">
        <f>IFERROR(INDEX(Processos!$F$8:$F$17,MATCH(C224,Processos!$A$8:$A$17,0)),1)</f>
        <v>1.05</v>
      </c>
      <c r="Q224" s="24">
        <f>IFERROR(INDEX(Matriz!$C$28:$C$33,MATCH(G224,Matriz!$A$28:$A$33,0)),0)</f>
        <v>-0.3</v>
      </c>
      <c r="R224" s="25" t="str">
        <f t="shared" si="12"/>
        <v/>
      </c>
      <c r="S224" s="10" t="str">
        <f>IF(R224="","",IF(R224&gt;=Matriz!$C$19,4,IF(R224&gt;=Matriz!$C$18,3,IF(R224&gt;=Matriz!$C$17,2,1))))</f>
        <v/>
      </c>
      <c r="T224" s="9" t="str">
        <f>IF(S224="","",MAX(S224,IF(I224=5,Matriz!$C$23,0),IF(N224="Sim",Matriz!$C$24,0)))</f>
        <v/>
      </c>
      <c r="U224" s="9" t="str">
        <f t="shared" si="13"/>
        <v/>
      </c>
      <c r="V224" s="26" t="str">
        <f t="shared" si="14"/>
        <v/>
      </c>
      <c r="W224" s="10" t="str">
        <f t="shared" si="15"/>
        <v/>
      </c>
      <c r="X224" s="4"/>
      <c r="Y224" s="4"/>
    </row>
    <row r="225" spans="1:25" ht="28.05" hidden="1" customHeight="1" x14ac:dyDescent="0.3">
      <c r="A225" s="20" t="s">
        <v>629</v>
      </c>
      <c r="B225" s="21" t="s">
        <v>630</v>
      </c>
      <c r="C225" s="4" t="s">
        <v>132</v>
      </c>
      <c r="D225" s="4" t="s">
        <v>255</v>
      </c>
      <c r="E225" s="4" t="s">
        <v>186</v>
      </c>
      <c r="F225" s="22">
        <v>46326</v>
      </c>
      <c r="G225" s="23" t="s">
        <v>108</v>
      </c>
      <c r="H225" s="6"/>
      <c r="I225" s="6"/>
      <c r="J225" s="6"/>
      <c r="K225" s="6"/>
      <c r="L225" s="6"/>
      <c r="M225" s="6"/>
      <c r="N225" s="6"/>
      <c r="O225" s="16" t="str">
        <f>IF(COUNT(I225:M225)&lt;5,"",ROUND((I225*Matriz!$C$5+J225*Matriz!$C$6+K225*Matriz!$C$7+L225*Matriz!$C$8+M225*Matriz!$C$9)/SUM(Matriz!$C$5:$C$9),2))</f>
        <v/>
      </c>
      <c r="P225" s="17">
        <f>IFERROR(INDEX(Processos!$F$8:$F$17,MATCH(C225,Processos!$A$8:$A$17,0)),1)</f>
        <v>1.05</v>
      </c>
      <c r="Q225" s="24">
        <f>IFERROR(INDEX(Matriz!$C$28:$C$33,MATCH(G225,Matriz!$A$28:$A$33,0)),0)</f>
        <v>-0.3</v>
      </c>
      <c r="R225" s="25" t="str">
        <f t="shared" si="12"/>
        <v/>
      </c>
      <c r="S225" s="10" t="str">
        <f>IF(R225="","",IF(R225&gt;=Matriz!$C$19,4,IF(R225&gt;=Matriz!$C$18,3,IF(R225&gt;=Matriz!$C$17,2,1))))</f>
        <v/>
      </c>
      <c r="T225" s="9" t="str">
        <f>IF(S225="","",MAX(S225,IF(I225=5,Matriz!$C$23,0),IF(N225="Sim",Matriz!$C$24,0)))</f>
        <v/>
      </c>
      <c r="U225" s="9" t="str">
        <f t="shared" si="13"/>
        <v/>
      </c>
      <c r="V225" s="26" t="str">
        <f t="shared" si="14"/>
        <v/>
      </c>
      <c r="W225" s="10" t="str">
        <f t="shared" si="15"/>
        <v/>
      </c>
      <c r="X225" s="4"/>
      <c r="Y225" s="4"/>
    </row>
    <row r="226" spans="1:25" ht="28.05" hidden="1" customHeight="1" x14ac:dyDescent="0.3">
      <c r="A226" s="20" t="s">
        <v>631</v>
      </c>
      <c r="B226" s="21" t="s">
        <v>632</v>
      </c>
      <c r="C226" s="4" t="s">
        <v>132</v>
      </c>
      <c r="D226" s="4" t="s">
        <v>255</v>
      </c>
      <c r="E226" s="4" t="s">
        <v>186</v>
      </c>
      <c r="F226" s="22">
        <v>46326</v>
      </c>
      <c r="G226" s="23" t="s">
        <v>108</v>
      </c>
      <c r="H226" s="6"/>
      <c r="I226" s="6"/>
      <c r="J226" s="6"/>
      <c r="K226" s="6"/>
      <c r="L226" s="6"/>
      <c r="M226" s="6"/>
      <c r="N226" s="6"/>
      <c r="O226" s="16" t="str">
        <f>IF(COUNT(I226:M226)&lt;5,"",ROUND((I226*Matriz!$C$5+J226*Matriz!$C$6+K226*Matriz!$C$7+L226*Matriz!$C$8+M226*Matriz!$C$9)/SUM(Matriz!$C$5:$C$9),2))</f>
        <v/>
      </c>
      <c r="P226" s="17">
        <f>IFERROR(INDEX(Processos!$F$8:$F$17,MATCH(C226,Processos!$A$8:$A$17,0)),1)</f>
        <v>1.05</v>
      </c>
      <c r="Q226" s="24">
        <f>IFERROR(INDEX(Matriz!$C$28:$C$33,MATCH(G226,Matriz!$A$28:$A$33,0)),0)</f>
        <v>-0.3</v>
      </c>
      <c r="R226" s="25" t="str">
        <f t="shared" si="12"/>
        <v/>
      </c>
      <c r="S226" s="10" t="str">
        <f>IF(R226="","",IF(R226&gt;=Matriz!$C$19,4,IF(R226&gt;=Matriz!$C$18,3,IF(R226&gt;=Matriz!$C$17,2,1))))</f>
        <v/>
      </c>
      <c r="T226" s="9" t="str">
        <f>IF(S226="","",MAX(S226,IF(I226=5,Matriz!$C$23,0),IF(N226="Sim",Matriz!$C$24,0)))</f>
        <v/>
      </c>
      <c r="U226" s="9" t="str">
        <f t="shared" si="13"/>
        <v/>
      </c>
      <c r="V226" s="26" t="str">
        <f t="shared" si="14"/>
        <v/>
      </c>
      <c r="W226" s="10" t="str">
        <f t="shared" si="15"/>
        <v/>
      </c>
      <c r="X226" s="4"/>
      <c r="Y226" s="4"/>
    </row>
    <row r="227" spans="1:25" ht="28.05" hidden="1" customHeight="1" x14ac:dyDescent="0.3">
      <c r="A227" s="20" t="s">
        <v>633</v>
      </c>
      <c r="B227" s="21" t="s">
        <v>634</v>
      </c>
      <c r="C227" s="4" t="s">
        <v>132</v>
      </c>
      <c r="D227" s="4" t="s">
        <v>191</v>
      </c>
      <c r="E227" s="4" t="s">
        <v>186</v>
      </c>
      <c r="F227" s="22">
        <v>46356</v>
      </c>
      <c r="G227" s="23" t="s">
        <v>102</v>
      </c>
      <c r="H227" s="6"/>
      <c r="I227" s="6"/>
      <c r="J227" s="6"/>
      <c r="K227" s="6"/>
      <c r="L227" s="6"/>
      <c r="M227" s="6"/>
      <c r="N227" s="6"/>
      <c r="O227" s="16" t="str">
        <f>IF(COUNT(I227:M227)&lt;5,"",ROUND((I227*Matriz!$C$5+J227*Matriz!$C$6+K227*Matriz!$C$7+L227*Matriz!$C$8+M227*Matriz!$C$9)/SUM(Matriz!$C$5:$C$9),2))</f>
        <v/>
      </c>
      <c r="P227" s="17">
        <f>IFERROR(INDEX(Processos!$F$8:$F$17,MATCH(C227,Processos!$A$8:$A$17,0)),1)</f>
        <v>1.05</v>
      </c>
      <c r="Q227" s="24">
        <f>IFERROR(INDEX(Matriz!$C$28:$C$33,MATCH(G227,Matriz!$A$28:$A$33,0)),0)</f>
        <v>0</v>
      </c>
      <c r="R227" s="25" t="str">
        <f t="shared" si="12"/>
        <v/>
      </c>
      <c r="S227" s="10" t="str">
        <f>IF(R227="","",IF(R227&gt;=Matriz!$C$19,4,IF(R227&gt;=Matriz!$C$18,3,IF(R227&gt;=Matriz!$C$17,2,1))))</f>
        <v/>
      </c>
      <c r="T227" s="9" t="str">
        <f>IF(S227="","",MAX(S227,IF(I227=5,Matriz!$C$23,0),IF(N227="Sim",Matriz!$C$24,0)))</f>
        <v/>
      </c>
      <c r="U227" s="9" t="str">
        <f t="shared" si="13"/>
        <v/>
      </c>
      <c r="V227" s="26" t="str">
        <f t="shared" si="14"/>
        <v/>
      </c>
      <c r="W227" s="10" t="str">
        <f t="shared" si="15"/>
        <v/>
      </c>
      <c r="X227" s="4"/>
      <c r="Y227" s="4"/>
    </row>
    <row r="228" spans="1:25" ht="28.05" hidden="1" customHeight="1" x14ac:dyDescent="0.3">
      <c r="A228" s="20" t="s">
        <v>635</v>
      </c>
      <c r="B228" s="21" t="s">
        <v>636</v>
      </c>
      <c r="C228" s="4" t="s">
        <v>132</v>
      </c>
      <c r="D228" s="4" t="s">
        <v>229</v>
      </c>
      <c r="E228" s="4" t="s">
        <v>186</v>
      </c>
      <c r="F228" s="22">
        <v>46356</v>
      </c>
      <c r="G228" s="23" t="s">
        <v>102</v>
      </c>
      <c r="H228" s="6"/>
      <c r="I228" s="6"/>
      <c r="J228" s="6"/>
      <c r="K228" s="6"/>
      <c r="L228" s="6"/>
      <c r="M228" s="6"/>
      <c r="N228" s="6"/>
      <c r="O228" s="16" t="str">
        <f>IF(COUNT(I228:M228)&lt;5,"",ROUND((I228*Matriz!$C$5+J228*Matriz!$C$6+K228*Matriz!$C$7+L228*Matriz!$C$8+M228*Matriz!$C$9)/SUM(Matriz!$C$5:$C$9),2))</f>
        <v/>
      </c>
      <c r="P228" s="17">
        <f>IFERROR(INDEX(Processos!$F$8:$F$17,MATCH(C228,Processos!$A$8:$A$17,0)),1)</f>
        <v>1.05</v>
      </c>
      <c r="Q228" s="24">
        <f>IFERROR(INDEX(Matriz!$C$28:$C$33,MATCH(G228,Matriz!$A$28:$A$33,0)),0)</f>
        <v>0</v>
      </c>
      <c r="R228" s="25" t="str">
        <f t="shared" si="12"/>
        <v/>
      </c>
      <c r="S228" s="10" t="str">
        <f>IF(R228="","",IF(R228&gt;=Matriz!$C$19,4,IF(R228&gt;=Matriz!$C$18,3,IF(R228&gt;=Matriz!$C$17,2,1))))</f>
        <v/>
      </c>
      <c r="T228" s="9" t="str">
        <f>IF(S228="","",MAX(S228,IF(I228=5,Matriz!$C$23,0),IF(N228="Sim",Matriz!$C$24,0)))</f>
        <v/>
      </c>
      <c r="U228" s="9" t="str">
        <f t="shared" si="13"/>
        <v/>
      </c>
      <c r="V228" s="26" t="str">
        <f t="shared" si="14"/>
        <v/>
      </c>
      <c r="W228" s="10" t="str">
        <f t="shared" si="15"/>
        <v/>
      </c>
      <c r="X228" s="4"/>
      <c r="Y228" s="4"/>
    </row>
    <row r="229" spans="1:25" ht="28.05" hidden="1" customHeight="1" x14ac:dyDescent="0.3">
      <c r="A229" s="20" t="s">
        <v>637</v>
      </c>
      <c r="B229" s="21" t="s">
        <v>638</v>
      </c>
      <c r="C229" s="4" t="s">
        <v>132</v>
      </c>
      <c r="D229" s="4" t="s">
        <v>255</v>
      </c>
      <c r="E229" s="4" t="s">
        <v>226</v>
      </c>
      <c r="F229" s="22"/>
      <c r="G229" s="23" t="s">
        <v>104</v>
      </c>
      <c r="H229" s="6"/>
      <c r="I229" s="6"/>
      <c r="J229" s="6"/>
      <c r="K229" s="6"/>
      <c r="L229" s="6"/>
      <c r="M229" s="6"/>
      <c r="N229" s="6"/>
      <c r="O229" s="16" t="str">
        <f>IF(COUNT(I229:M229)&lt;5,"",ROUND((I229*Matriz!$C$5+J229*Matriz!$C$6+K229*Matriz!$C$7+L229*Matriz!$C$8+M229*Matriz!$C$9)/SUM(Matriz!$C$5:$C$9),2))</f>
        <v/>
      </c>
      <c r="P229" s="17">
        <f>IFERROR(INDEX(Processos!$F$8:$F$17,MATCH(C229,Processos!$A$8:$A$17,0)),1)</f>
        <v>1.05</v>
      </c>
      <c r="Q229" s="24">
        <f>IFERROR(INDEX(Matriz!$C$28:$C$33,MATCH(G229,Matriz!$A$28:$A$33,0)),0)</f>
        <v>0</v>
      </c>
      <c r="R229" s="25" t="str">
        <f t="shared" si="12"/>
        <v/>
      </c>
      <c r="S229" s="10" t="str">
        <f>IF(R229="","",IF(R229&gt;=Matriz!$C$19,4,IF(R229&gt;=Matriz!$C$18,3,IF(R229&gt;=Matriz!$C$17,2,1))))</f>
        <v/>
      </c>
      <c r="T229" s="9" t="str">
        <f>IF(S229="","",MAX(S229,IF(I229=5,Matriz!$C$23,0),IF(N229="Sim",Matriz!$C$24,0)))</f>
        <v/>
      </c>
      <c r="U229" s="9" t="str">
        <f t="shared" si="13"/>
        <v/>
      </c>
      <c r="V229" s="26" t="str">
        <f t="shared" si="14"/>
        <v/>
      </c>
      <c r="W229" s="10" t="str">
        <f t="shared" si="15"/>
        <v/>
      </c>
      <c r="X229" s="4"/>
      <c r="Y229" s="4"/>
    </row>
    <row r="230" spans="1:25" ht="28.05" hidden="1" customHeight="1" x14ac:dyDescent="0.3">
      <c r="A230" s="20" t="s">
        <v>639</v>
      </c>
      <c r="B230" s="21" t="s">
        <v>640</v>
      </c>
      <c r="C230" s="4" t="s">
        <v>132</v>
      </c>
      <c r="D230" s="4" t="s">
        <v>229</v>
      </c>
      <c r="E230" s="4" t="s">
        <v>226</v>
      </c>
      <c r="F230" s="22"/>
      <c r="G230" s="23" t="s">
        <v>102</v>
      </c>
      <c r="H230" s="6"/>
      <c r="I230" s="6"/>
      <c r="J230" s="6"/>
      <c r="K230" s="6"/>
      <c r="L230" s="6"/>
      <c r="M230" s="6"/>
      <c r="N230" s="6"/>
      <c r="O230" s="16" t="str">
        <f>IF(COUNT(I230:M230)&lt;5,"",ROUND((I230*Matriz!$C$5+J230*Matriz!$C$6+K230*Matriz!$C$7+L230*Matriz!$C$8+M230*Matriz!$C$9)/SUM(Matriz!$C$5:$C$9),2))</f>
        <v/>
      </c>
      <c r="P230" s="17">
        <f>IFERROR(INDEX(Processos!$F$8:$F$17,MATCH(C230,Processos!$A$8:$A$17,0)),1)</f>
        <v>1.05</v>
      </c>
      <c r="Q230" s="24">
        <f>IFERROR(INDEX(Matriz!$C$28:$C$33,MATCH(G230,Matriz!$A$28:$A$33,0)),0)</f>
        <v>0</v>
      </c>
      <c r="R230" s="25" t="str">
        <f t="shared" si="12"/>
        <v/>
      </c>
      <c r="S230" s="10" t="str">
        <f>IF(R230="","",IF(R230&gt;=Matriz!$C$19,4,IF(R230&gt;=Matriz!$C$18,3,IF(R230&gt;=Matriz!$C$17,2,1))))</f>
        <v/>
      </c>
      <c r="T230" s="9" t="str">
        <f>IF(S230="","",MAX(S230,IF(I230=5,Matriz!$C$23,0),IF(N230="Sim",Matriz!$C$24,0)))</f>
        <v/>
      </c>
      <c r="U230" s="9" t="str">
        <f t="shared" si="13"/>
        <v/>
      </c>
      <c r="V230" s="26" t="str">
        <f t="shared" si="14"/>
        <v/>
      </c>
      <c r="W230" s="10" t="str">
        <f t="shared" si="15"/>
        <v/>
      </c>
      <c r="X230" s="4"/>
      <c r="Y230" s="4"/>
    </row>
    <row r="231" spans="1:25" ht="28.05" hidden="1" customHeight="1" x14ac:dyDescent="0.3">
      <c r="A231" s="20" t="s">
        <v>641</v>
      </c>
      <c r="B231" s="21" t="s">
        <v>642</v>
      </c>
      <c r="C231" s="4" t="s">
        <v>132</v>
      </c>
      <c r="D231" s="4" t="s">
        <v>260</v>
      </c>
      <c r="E231" s="4" t="s">
        <v>226</v>
      </c>
      <c r="F231" s="22"/>
      <c r="G231" s="23" t="s">
        <v>104</v>
      </c>
      <c r="H231" s="6"/>
      <c r="I231" s="6"/>
      <c r="J231" s="6"/>
      <c r="K231" s="6"/>
      <c r="L231" s="6"/>
      <c r="M231" s="6"/>
      <c r="N231" s="6"/>
      <c r="O231" s="16" t="str">
        <f>IF(COUNT(I231:M231)&lt;5,"",ROUND((I231*Matriz!$C$5+J231*Matriz!$C$6+K231*Matriz!$C$7+L231*Matriz!$C$8+M231*Matriz!$C$9)/SUM(Matriz!$C$5:$C$9),2))</f>
        <v/>
      </c>
      <c r="P231" s="17">
        <f>IFERROR(INDEX(Processos!$F$8:$F$17,MATCH(C231,Processos!$A$8:$A$17,0)),1)</f>
        <v>1.05</v>
      </c>
      <c r="Q231" s="24">
        <f>IFERROR(INDEX(Matriz!$C$28:$C$33,MATCH(G231,Matriz!$A$28:$A$33,0)),0)</f>
        <v>0</v>
      </c>
      <c r="R231" s="25" t="str">
        <f t="shared" si="12"/>
        <v/>
      </c>
      <c r="S231" s="10" t="str">
        <f>IF(R231="","",IF(R231&gt;=Matriz!$C$19,4,IF(R231&gt;=Matriz!$C$18,3,IF(R231&gt;=Matriz!$C$17,2,1))))</f>
        <v/>
      </c>
      <c r="T231" s="9" t="str">
        <f>IF(S231="","",MAX(S231,IF(I231=5,Matriz!$C$23,0),IF(N231="Sim",Matriz!$C$24,0)))</f>
        <v/>
      </c>
      <c r="U231" s="9" t="str">
        <f t="shared" si="13"/>
        <v/>
      </c>
      <c r="V231" s="26" t="str">
        <f t="shared" si="14"/>
        <v/>
      </c>
      <c r="W231" s="10" t="str">
        <f t="shared" si="15"/>
        <v/>
      </c>
      <c r="X231" s="4"/>
      <c r="Y231" s="4"/>
    </row>
    <row r="232" spans="1:25" ht="40.049999999999997" hidden="1" customHeight="1" x14ac:dyDescent="0.3">
      <c r="A232" s="20" t="s">
        <v>643</v>
      </c>
      <c r="B232" s="21" t="s">
        <v>644</v>
      </c>
      <c r="C232" s="4" t="s">
        <v>132</v>
      </c>
      <c r="D232" s="4" t="s">
        <v>229</v>
      </c>
      <c r="E232" s="4" t="s">
        <v>226</v>
      </c>
      <c r="F232" s="22"/>
      <c r="G232" s="23" t="s">
        <v>98</v>
      </c>
      <c r="H232" s="6">
        <v>2</v>
      </c>
      <c r="I232" s="6">
        <v>5</v>
      </c>
      <c r="J232" s="6">
        <v>4</v>
      </c>
      <c r="K232" s="6">
        <v>1</v>
      </c>
      <c r="L232" s="6">
        <v>2</v>
      </c>
      <c r="M232" s="6">
        <v>2</v>
      </c>
      <c r="N232" s="6" t="s">
        <v>261</v>
      </c>
      <c r="O232" s="16">
        <f>IF(COUNT(I232:M232)&lt;5,"",ROUND((I232*Matriz!$C$5+J232*Matriz!$C$6+K232*Matriz!$C$7+L232*Matriz!$C$8+M232*Matriz!$C$9)/SUM(Matriz!$C$5:$C$9),2))</f>
        <v>3.1</v>
      </c>
      <c r="P232" s="17">
        <f>IFERROR(INDEX(Processos!$F$8:$F$17,MATCH(C232,Processos!$A$8:$A$17,0)),1)</f>
        <v>1.05</v>
      </c>
      <c r="Q232" s="24">
        <f>IFERROR(INDEX(Matriz!$C$28:$C$33,MATCH(G232,Matriz!$A$28:$A$33,0)),0)</f>
        <v>0.3</v>
      </c>
      <c r="R232" s="25">
        <f t="shared" si="12"/>
        <v>3.56</v>
      </c>
      <c r="S232" s="10">
        <f>IF(R232="","",IF(R232&gt;=Matriz!$C$19,4,IF(R232&gt;=Matriz!$C$18,3,IF(R232&gt;=Matriz!$C$17,2,1))))</f>
        <v>3</v>
      </c>
      <c r="T232" s="9">
        <f>IF(S232="","",MAX(S232,IF(I232=5,Matriz!$C$23,0),IF(N232="Sim",Matriz!$C$24,0)))</f>
        <v>3</v>
      </c>
      <c r="U232" s="9" t="str">
        <f t="shared" si="13"/>
        <v>Alta</v>
      </c>
      <c r="V232" s="26">
        <f t="shared" si="14"/>
        <v>3035.3997680000002</v>
      </c>
      <c r="W232" s="10">
        <f t="shared" si="15"/>
        <v>5</v>
      </c>
      <c r="X232" s="4" t="s">
        <v>262</v>
      </c>
      <c r="Y232" s="4" t="s">
        <v>645</v>
      </c>
    </row>
    <row r="233" spans="1:25" ht="28.05" hidden="1" customHeight="1" x14ac:dyDescent="0.3">
      <c r="A233" s="20" t="s">
        <v>646</v>
      </c>
      <c r="B233" s="21" t="s">
        <v>647</v>
      </c>
      <c r="C233" s="4" t="s">
        <v>132</v>
      </c>
      <c r="D233" s="4" t="s">
        <v>229</v>
      </c>
      <c r="E233" s="4" t="s">
        <v>226</v>
      </c>
      <c r="F233" s="22"/>
      <c r="G233" s="23" t="s">
        <v>104</v>
      </c>
      <c r="H233" s="6"/>
      <c r="I233" s="6"/>
      <c r="J233" s="6"/>
      <c r="K233" s="6"/>
      <c r="L233" s="6"/>
      <c r="M233" s="6"/>
      <c r="N233" s="6"/>
      <c r="O233" s="16" t="str">
        <f>IF(COUNT(I233:M233)&lt;5,"",ROUND((I233*Matriz!$C$5+J233*Matriz!$C$6+K233*Matriz!$C$7+L233*Matriz!$C$8+M233*Matriz!$C$9)/SUM(Matriz!$C$5:$C$9),2))</f>
        <v/>
      </c>
      <c r="P233" s="17">
        <f>IFERROR(INDEX(Processos!$F$8:$F$17,MATCH(C233,Processos!$A$8:$A$17,0)),1)</f>
        <v>1.05</v>
      </c>
      <c r="Q233" s="24">
        <f>IFERROR(INDEX(Matriz!$C$28:$C$33,MATCH(G233,Matriz!$A$28:$A$33,0)),0)</f>
        <v>0</v>
      </c>
      <c r="R233" s="25" t="str">
        <f t="shared" si="12"/>
        <v/>
      </c>
      <c r="S233" s="10" t="str">
        <f>IF(R233="","",IF(R233&gt;=Matriz!$C$19,4,IF(R233&gt;=Matriz!$C$18,3,IF(R233&gt;=Matriz!$C$17,2,1))))</f>
        <v/>
      </c>
      <c r="T233" s="9" t="str">
        <f>IF(S233="","",MAX(S233,IF(I233=5,Matriz!$C$23,0),IF(N233="Sim",Matriz!$C$24,0)))</f>
        <v/>
      </c>
      <c r="U233" s="9" t="str">
        <f t="shared" si="13"/>
        <v/>
      </c>
      <c r="V233" s="26" t="str">
        <f t="shared" si="14"/>
        <v/>
      </c>
      <c r="W233" s="10" t="str">
        <f t="shared" si="15"/>
        <v/>
      </c>
      <c r="X233" s="4"/>
      <c r="Y233" s="4"/>
    </row>
    <row r="234" spans="1:25" ht="28.05" hidden="1" customHeight="1" x14ac:dyDescent="0.3">
      <c r="A234" s="20" t="s">
        <v>648</v>
      </c>
      <c r="B234" s="21" t="s">
        <v>649</v>
      </c>
      <c r="C234" s="4" t="s">
        <v>132</v>
      </c>
      <c r="D234" s="4" t="s">
        <v>191</v>
      </c>
      <c r="E234" s="4" t="s">
        <v>226</v>
      </c>
      <c r="F234" s="22"/>
      <c r="G234" s="23" t="s">
        <v>104</v>
      </c>
      <c r="H234" s="6"/>
      <c r="I234" s="6"/>
      <c r="J234" s="6"/>
      <c r="K234" s="6"/>
      <c r="L234" s="6"/>
      <c r="M234" s="6"/>
      <c r="N234" s="6"/>
      <c r="O234" s="16" t="str">
        <f>IF(COUNT(I234:M234)&lt;5,"",ROUND((I234*Matriz!$C$5+J234*Matriz!$C$6+K234*Matriz!$C$7+L234*Matriz!$C$8+M234*Matriz!$C$9)/SUM(Matriz!$C$5:$C$9),2))</f>
        <v/>
      </c>
      <c r="P234" s="17">
        <f>IFERROR(INDEX(Processos!$F$8:$F$17,MATCH(C234,Processos!$A$8:$A$17,0)),1)</f>
        <v>1.05</v>
      </c>
      <c r="Q234" s="24">
        <f>IFERROR(INDEX(Matriz!$C$28:$C$33,MATCH(G234,Matriz!$A$28:$A$33,0)),0)</f>
        <v>0</v>
      </c>
      <c r="R234" s="25" t="str">
        <f t="shared" si="12"/>
        <v/>
      </c>
      <c r="S234" s="10" t="str">
        <f>IF(R234="","",IF(R234&gt;=Matriz!$C$19,4,IF(R234&gt;=Matriz!$C$18,3,IF(R234&gt;=Matriz!$C$17,2,1))))</f>
        <v/>
      </c>
      <c r="T234" s="9" t="str">
        <f>IF(S234="","",MAX(S234,IF(I234=5,Matriz!$C$23,0),IF(N234="Sim",Matriz!$C$24,0)))</f>
        <v/>
      </c>
      <c r="U234" s="9" t="str">
        <f t="shared" si="13"/>
        <v/>
      </c>
      <c r="V234" s="26" t="str">
        <f t="shared" si="14"/>
        <v/>
      </c>
      <c r="W234" s="10" t="str">
        <f t="shared" si="15"/>
        <v/>
      </c>
      <c r="X234" s="4"/>
      <c r="Y234" s="4"/>
    </row>
    <row r="235" spans="1:25" ht="28.05" hidden="1" customHeight="1" x14ac:dyDescent="0.3">
      <c r="A235" s="20" t="s">
        <v>650</v>
      </c>
      <c r="B235" s="21" t="s">
        <v>651</v>
      </c>
      <c r="C235" s="4" t="s">
        <v>132</v>
      </c>
      <c r="D235" s="4" t="s">
        <v>276</v>
      </c>
      <c r="E235" s="4" t="s">
        <v>326</v>
      </c>
      <c r="F235" s="22">
        <v>46173</v>
      </c>
      <c r="G235" s="23" t="s">
        <v>100</v>
      </c>
      <c r="H235" s="6"/>
      <c r="I235" s="6"/>
      <c r="J235" s="6"/>
      <c r="K235" s="6"/>
      <c r="L235" s="6"/>
      <c r="M235" s="6"/>
      <c r="N235" s="6"/>
      <c r="O235" s="16" t="str">
        <f>IF(COUNT(I235:M235)&lt;5,"",ROUND((I235*Matriz!$C$5+J235*Matriz!$C$6+K235*Matriz!$C$7+L235*Matriz!$C$8+M235*Matriz!$C$9)/SUM(Matriz!$C$5:$C$9),2))</f>
        <v/>
      </c>
      <c r="P235" s="17">
        <f>IFERROR(INDEX(Processos!$F$8:$F$17,MATCH(C235,Processos!$A$8:$A$17,0)),1)</f>
        <v>1.05</v>
      </c>
      <c r="Q235" s="24">
        <f>IFERROR(INDEX(Matriz!$C$28:$C$33,MATCH(G235,Matriz!$A$28:$A$33,0)),0)</f>
        <v>0</v>
      </c>
      <c r="R235" s="25" t="str">
        <f t="shared" si="12"/>
        <v/>
      </c>
      <c r="S235" s="10" t="str">
        <f>IF(R235="","",IF(R235&gt;=Matriz!$C$19,4,IF(R235&gt;=Matriz!$C$18,3,IF(R235&gt;=Matriz!$C$17,2,1))))</f>
        <v/>
      </c>
      <c r="T235" s="9" t="str">
        <f>IF(S235="","",MAX(S235,IF(I235=5,Matriz!$C$23,0),IF(N235="Sim",Matriz!$C$24,0)))</f>
        <v/>
      </c>
      <c r="U235" s="9" t="str">
        <f t="shared" si="13"/>
        <v/>
      </c>
      <c r="V235" s="26" t="str">
        <f t="shared" si="14"/>
        <v/>
      </c>
      <c r="W235" s="10" t="str">
        <f t="shared" si="15"/>
        <v/>
      </c>
      <c r="X235" s="4"/>
      <c r="Y235" s="4"/>
    </row>
    <row r="236" spans="1:25" ht="40.049999999999997" hidden="1" customHeight="1" x14ac:dyDescent="0.3">
      <c r="A236" s="20" t="s">
        <v>652</v>
      </c>
      <c r="B236" s="21" t="s">
        <v>653</v>
      </c>
      <c r="C236" s="4" t="s">
        <v>132</v>
      </c>
      <c r="D236" s="4" t="s">
        <v>563</v>
      </c>
      <c r="E236" s="4" t="s">
        <v>326</v>
      </c>
      <c r="F236" s="22">
        <v>46203</v>
      </c>
      <c r="G236" s="23" t="s">
        <v>104</v>
      </c>
      <c r="H236" s="6">
        <v>1</v>
      </c>
      <c r="I236" s="6">
        <v>1</v>
      </c>
      <c r="J236" s="6">
        <v>1</v>
      </c>
      <c r="K236" s="6">
        <v>1</v>
      </c>
      <c r="L236" s="6">
        <v>1</v>
      </c>
      <c r="M236" s="6">
        <v>1</v>
      </c>
      <c r="N236" s="6" t="s">
        <v>261</v>
      </c>
      <c r="O236" s="16">
        <f>IF(COUNT(I236:M236)&lt;5,"",ROUND((I236*Matriz!$C$5+J236*Matriz!$C$6+K236*Matriz!$C$7+L236*Matriz!$C$8+M236*Matriz!$C$9)/SUM(Matriz!$C$5:$C$9),2))</f>
        <v>1</v>
      </c>
      <c r="P236" s="17">
        <f>IFERROR(INDEX(Processos!$F$8:$F$17,MATCH(C236,Processos!$A$8:$A$17,0)),1)</f>
        <v>1.05</v>
      </c>
      <c r="Q236" s="24">
        <f>IFERROR(INDEX(Matriz!$C$28:$C$33,MATCH(G236,Matriz!$A$28:$A$33,0)),0)</f>
        <v>0</v>
      </c>
      <c r="R236" s="25">
        <f t="shared" si="12"/>
        <v>1.05</v>
      </c>
      <c r="S236" s="10">
        <f>IF(R236="","",IF(R236&gt;=Matriz!$C$19,4,IF(R236&gt;=Matriz!$C$18,3,IF(R236&gt;=Matriz!$C$17,2,1))))</f>
        <v>1</v>
      </c>
      <c r="T236" s="9">
        <f>IF(S236="","",MAX(S236,IF(I236=5,Matriz!$C$23,0),IF(N236="Sim",Matriz!$C$24,0)))</f>
        <v>1</v>
      </c>
      <c r="U236" s="9" t="str">
        <f t="shared" si="13"/>
        <v>Baixa</v>
      </c>
      <c r="V236" s="26">
        <f t="shared" si="14"/>
        <v>1010.399764</v>
      </c>
      <c r="W236" s="10">
        <f t="shared" si="15"/>
        <v>12</v>
      </c>
      <c r="X236" s="4" t="s">
        <v>262</v>
      </c>
      <c r="Y236" s="4" t="s">
        <v>654</v>
      </c>
    </row>
    <row r="237" spans="1:25" ht="28.05" hidden="1" customHeight="1" x14ac:dyDescent="0.3">
      <c r="A237" s="20" t="s">
        <v>655</v>
      </c>
      <c r="B237" s="21" t="s">
        <v>656</v>
      </c>
      <c r="C237" s="4" t="s">
        <v>134</v>
      </c>
      <c r="D237" s="4" t="s">
        <v>657</v>
      </c>
      <c r="E237" s="4" t="s">
        <v>385</v>
      </c>
      <c r="F237" s="22">
        <v>46173</v>
      </c>
      <c r="G237" s="23" t="s">
        <v>104</v>
      </c>
      <c r="H237" s="6"/>
      <c r="I237" s="6"/>
      <c r="J237" s="6"/>
      <c r="K237" s="6"/>
      <c r="L237" s="6"/>
      <c r="M237" s="6"/>
      <c r="N237" s="6"/>
      <c r="O237" s="16" t="str">
        <f>IF(COUNT(I237:M237)&lt;5,"",ROUND((I237*Matriz!$C$5+J237*Matriz!$C$6+K237*Matriz!$C$7+L237*Matriz!$C$8+M237*Matriz!$C$9)/SUM(Matriz!$C$5:$C$9),2))</f>
        <v/>
      </c>
      <c r="P237" s="17">
        <f>IFERROR(INDEX(Processos!$F$8:$F$17,MATCH(C237,Processos!$A$8:$A$17,0)),1)</f>
        <v>1.034</v>
      </c>
      <c r="Q237" s="24">
        <f>IFERROR(INDEX(Matriz!$C$28:$C$33,MATCH(G237,Matriz!$A$28:$A$33,0)),0)</f>
        <v>0</v>
      </c>
      <c r="R237" s="25" t="str">
        <f t="shared" si="12"/>
        <v/>
      </c>
      <c r="S237" s="10" t="str">
        <f>IF(R237="","",IF(R237&gt;=Matriz!$C$19,4,IF(R237&gt;=Matriz!$C$18,3,IF(R237&gt;=Matriz!$C$17,2,1))))</f>
        <v/>
      </c>
      <c r="T237" s="9" t="str">
        <f>IF(S237="","",MAX(S237,IF(I237=5,Matriz!$C$23,0),IF(N237="Sim",Matriz!$C$24,0)))</f>
        <v/>
      </c>
      <c r="U237" s="9" t="str">
        <f t="shared" si="13"/>
        <v/>
      </c>
      <c r="V237" s="26" t="str">
        <f t="shared" si="14"/>
        <v/>
      </c>
      <c r="W237" s="10" t="str">
        <f t="shared" si="15"/>
        <v/>
      </c>
      <c r="X237" s="4"/>
      <c r="Y237" s="4"/>
    </row>
    <row r="238" spans="1:25" ht="28.05" hidden="1" customHeight="1" x14ac:dyDescent="0.3">
      <c r="A238" s="20" t="s">
        <v>658</v>
      </c>
      <c r="B238" s="21" t="s">
        <v>659</v>
      </c>
      <c r="C238" s="4" t="s">
        <v>134</v>
      </c>
      <c r="D238" s="4" t="s">
        <v>388</v>
      </c>
      <c r="E238" s="4" t="s">
        <v>385</v>
      </c>
      <c r="F238" s="22">
        <v>46203</v>
      </c>
      <c r="G238" s="23" t="s">
        <v>102</v>
      </c>
      <c r="H238" s="6"/>
      <c r="I238" s="6"/>
      <c r="J238" s="6"/>
      <c r="K238" s="6"/>
      <c r="L238" s="6"/>
      <c r="M238" s="6"/>
      <c r="N238" s="6"/>
      <c r="O238" s="16" t="str">
        <f>IF(COUNT(I238:M238)&lt;5,"",ROUND((I238*Matriz!$C$5+J238*Matriz!$C$6+K238*Matriz!$C$7+L238*Matriz!$C$8+M238*Matriz!$C$9)/SUM(Matriz!$C$5:$C$9),2))</f>
        <v/>
      </c>
      <c r="P238" s="17">
        <f>IFERROR(INDEX(Processos!$F$8:$F$17,MATCH(C238,Processos!$A$8:$A$17,0)),1)</f>
        <v>1.034</v>
      </c>
      <c r="Q238" s="24">
        <f>IFERROR(INDEX(Matriz!$C$28:$C$33,MATCH(G238,Matriz!$A$28:$A$33,0)),0)</f>
        <v>0</v>
      </c>
      <c r="R238" s="25" t="str">
        <f t="shared" si="12"/>
        <v/>
      </c>
      <c r="S238" s="10" t="str">
        <f>IF(R238="","",IF(R238&gt;=Matriz!$C$19,4,IF(R238&gt;=Matriz!$C$18,3,IF(R238&gt;=Matriz!$C$17,2,1))))</f>
        <v/>
      </c>
      <c r="T238" s="9" t="str">
        <f>IF(S238="","",MAX(S238,IF(I238=5,Matriz!$C$23,0),IF(N238="Sim",Matriz!$C$24,0)))</f>
        <v/>
      </c>
      <c r="U238" s="9" t="str">
        <f t="shared" si="13"/>
        <v/>
      </c>
      <c r="V238" s="26" t="str">
        <f t="shared" si="14"/>
        <v/>
      </c>
      <c r="W238" s="10" t="str">
        <f t="shared" si="15"/>
        <v/>
      </c>
      <c r="X238" s="4"/>
      <c r="Y238" s="4"/>
    </row>
    <row r="239" spans="1:25" ht="28.05" hidden="1" customHeight="1" x14ac:dyDescent="0.3">
      <c r="A239" s="20" t="s">
        <v>660</v>
      </c>
      <c r="B239" s="21" t="s">
        <v>661</v>
      </c>
      <c r="C239" s="4" t="s">
        <v>134</v>
      </c>
      <c r="D239" s="4" t="s">
        <v>563</v>
      </c>
      <c r="E239" s="4" t="s">
        <v>385</v>
      </c>
      <c r="F239" s="22">
        <v>46234</v>
      </c>
      <c r="G239" s="23" t="s">
        <v>104</v>
      </c>
      <c r="H239" s="6"/>
      <c r="I239" s="6"/>
      <c r="J239" s="6"/>
      <c r="K239" s="6"/>
      <c r="L239" s="6"/>
      <c r="M239" s="6"/>
      <c r="N239" s="6"/>
      <c r="O239" s="16" t="str">
        <f>IF(COUNT(I239:M239)&lt;5,"",ROUND((I239*Matriz!$C$5+J239*Matriz!$C$6+K239*Matriz!$C$7+L239*Matriz!$C$8+M239*Matriz!$C$9)/SUM(Matriz!$C$5:$C$9),2))</f>
        <v/>
      </c>
      <c r="P239" s="17">
        <f>IFERROR(INDEX(Processos!$F$8:$F$17,MATCH(C239,Processos!$A$8:$A$17,0)),1)</f>
        <v>1.034</v>
      </c>
      <c r="Q239" s="24">
        <f>IFERROR(INDEX(Matriz!$C$28:$C$33,MATCH(G239,Matriz!$A$28:$A$33,0)),0)</f>
        <v>0</v>
      </c>
      <c r="R239" s="25" t="str">
        <f t="shared" si="12"/>
        <v/>
      </c>
      <c r="S239" s="10" t="str">
        <f>IF(R239="","",IF(R239&gt;=Matriz!$C$19,4,IF(R239&gt;=Matriz!$C$18,3,IF(R239&gt;=Matriz!$C$17,2,1))))</f>
        <v/>
      </c>
      <c r="T239" s="9" t="str">
        <f>IF(S239="","",MAX(S239,IF(I239=5,Matriz!$C$23,0),IF(N239="Sim",Matriz!$C$24,0)))</f>
        <v/>
      </c>
      <c r="U239" s="9" t="str">
        <f t="shared" si="13"/>
        <v/>
      </c>
      <c r="V239" s="26" t="str">
        <f t="shared" si="14"/>
        <v/>
      </c>
      <c r="W239" s="10" t="str">
        <f t="shared" si="15"/>
        <v/>
      </c>
      <c r="X239" s="4"/>
      <c r="Y239" s="4"/>
    </row>
    <row r="240" spans="1:25" ht="28.05" hidden="1" customHeight="1" x14ac:dyDescent="0.3">
      <c r="A240" s="20" t="s">
        <v>662</v>
      </c>
      <c r="B240" s="21" t="s">
        <v>663</v>
      </c>
      <c r="C240" s="4" t="s">
        <v>134</v>
      </c>
      <c r="D240" s="4" t="s">
        <v>664</v>
      </c>
      <c r="E240" s="4" t="s">
        <v>385</v>
      </c>
      <c r="F240" s="22">
        <v>46265</v>
      </c>
      <c r="G240" s="23" t="s">
        <v>98</v>
      </c>
      <c r="H240" s="6"/>
      <c r="I240" s="6"/>
      <c r="J240" s="6"/>
      <c r="K240" s="6"/>
      <c r="L240" s="6"/>
      <c r="M240" s="6"/>
      <c r="N240" s="6"/>
      <c r="O240" s="16" t="str">
        <f>IF(COUNT(I240:M240)&lt;5,"",ROUND((I240*Matriz!$C$5+J240*Matriz!$C$6+K240*Matriz!$C$7+L240*Matriz!$C$8+M240*Matriz!$C$9)/SUM(Matriz!$C$5:$C$9),2))</f>
        <v/>
      </c>
      <c r="P240" s="17">
        <f>IFERROR(INDEX(Processos!$F$8:$F$17,MATCH(C240,Processos!$A$8:$A$17,0)),1)</f>
        <v>1.034</v>
      </c>
      <c r="Q240" s="24">
        <f>IFERROR(INDEX(Matriz!$C$28:$C$33,MATCH(G240,Matriz!$A$28:$A$33,0)),0)</f>
        <v>0.3</v>
      </c>
      <c r="R240" s="25" t="str">
        <f t="shared" si="12"/>
        <v/>
      </c>
      <c r="S240" s="10" t="str">
        <f>IF(R240="","",IF(R240&gt;=Matriz!$C$19,4,IF(R240&gt;=Matriz!$C$18,3,IF(R240&gt;=Matriz!$C$17,2,1))))</f>
        <v/>
      </c>
      <c r="T240" s="9" t="str">
        <f>IF(S240="","",MAX(S240,IF(I240=5,Matriz!$C$23,0),IF(N240="Sim",Matriz!$C$24,0)))</f>
        <v/>
      </c>
      <c r="U240" s="9" t="str">
        <f t="shared" si="13"/>
        <v/>
      </c>
      <c r="V240" s="26" t="str">
        <f t="shared" si="14"/>
        <v/>
      </c>
      <c r="W240" s="10" t="str">
        <f t="shared" si="15"/>
        <v/>
      </c>
      <c r="X240" s="4"/>
      <c r="Y240" s="4"/>
    </row>
    <row r="241" spans="1:25" ht="28.05" hidden="1" customHeight="1" x14ac:dyDescent="0.3">
      <c r="A241" s="20" t="s">
        <v>665</v>
      </c>
      <c r="B241" s="21" t="s">
        <v>666</v>
      </c>
      <c r="C241" s="4" t="s">
        <v>134</v>
      </c>
      <c r="D241" s="4" t="s">
        <v>657</v>
      </c>
      <c r="E241" s="4" t="s">
        <v>385</v>
      </c>
      <c r="F241" s="22">
        <v>46295</v>
      </c>
      <c r="G241" s="23" t="s">
        <v>108</v>
      </c>
      <c r="H241" s="6"/>
      <c r="I241" s="6"/>
      <c r="J241" s="6"/>
      <c r="K241" s="6"/>
      <c r="L241" s="6"/>
      <c r="M241" s="6"/>
      <c r="N241" s="6"/>
      <c r="O241" s="16" t="str">
        <f>IF(COUNT(I241:M241)&lt;5,"",ROUND((I241*Matriz!$C$5+J241*Matriz!$C$6+K241*Matriz!$C$7+L241*Matriz!$C$8+M241*Matriz!$C$9)/SUM(Matriz!$C$5:$C$9),2))</f>
        <v/>
      </c>
      <c r="P241" s="17">
        <f>IFERROR(INDEX(Processos!$F$8:$F$17,MATCH(C241,Processos!$A$8:$A$17,0)),1)</f>
        <v>1.034</v>
      </c>
      <c r="Q241" s="24">
        <f>IFERROR(INDEX(Matriz!$C$28:$C$33,MATCH(G241,Matriz!$A$28:$A$33,0)),0)</f>
        <v>-0.3</v>
      </c>
      <c r="R241" s="25" t="str">
        <f t="shared" si="12"/>
        <v/>
      </c>
      <c r="S241" s="10" t="str">
        <f>IF(R241="","",IF(R241&gt;=Matriz!$C$19,4,IF(R241&gt;=Matriz!$C$18,3,IF(R241&gt;=Matriz!$C$17,2,1))))</f>
        <v/>
      </c>
      <c r="T241" s="9" t="str">
        <f>IF(S241="","",MAX(S241,IF(I241=5,Matriz!$C$23,0),IF(N241="Sim",Matriz!$C$24,0)))</f>
        <v/>
      </c>
      <c r="U241" s="9" t="str">
        <f t="shared" si="13"/>
        <v/>
      </c>
      <c r="V241" s="26" t="str">
        <f t="shared" si="14"/>
        <v/>
      </c>
      <c r="W241" s="10" t="str">
        <f t="shared" si="15"/>
        <v/>
      </c>
      <c r="X241" s="4"/>
      <c r="Y241" s="4"/>
    </row>
    <row r="242" spans="1:25" ht="28.05" hidden="1" customHeight="1" x14ac:dyDescent="0.3">
      <c r="A242" s="20" t="s">
        <v>667</v>
      </c>
      <c r="B242" s="21" t="s">
        <v>668</v>
      </c>
      <c r="C242" s="4" t="s">
        <v>134</v>
      </c>
      <c r="D242" s="4" t="s">
        <v>657</v>
      </c>
      <c r="E242" s="4" t="s">
        <v>385</v>
      </c>
      <c r="F242" s="22">
        <v>46295</v>
      </c>
      <c r="G242" s="23" t="s">
        <v>108</v>
      </c>
      <c r="H242" s="6"/>
      <c r="I242" s="6"/>
      <c r="J242" s="6"/>
      <c r="K242" s="6"/>
      <c r="L242" s="6"/>
      <c r="M242" s="6"/>
      <c r="N242" s="6"/>
      <c r="O242" s="16" t="str">
        <f>IF(COUNT(I242:M242)&lt;5,"",ROUND((I242*Matriz!$C$5+J242*Matriz!$C$6+K242*Matriz!$C$7+L242*Matriz!$C$8+M242*Matriz!$C$9)/SUM(Matriz!$C$5:$C$9),2))</f>
        <v/>
      </c>
      <c r="P242" s="17">
        <f>IFERROR(INDEX(Processos!$F$8:$F$17,MATCH(C242,Processos!$A$8:$A$17,0)),1)</f>
        <v>1.034</v>
      </c>
      <c r="Q242" s="24">
        <f>IFERROR(INDEX(Matriz!$C$28:$C$33,MATCH(G242,Matriz!$A$28:$A$33,0)),0)</f>
        <v>-0.3</v>
      </c>
      <c r="R242" s="25" t="str">
        <f t="shared" si="12"/>
        <v/>
      </c>
      <c r="S242" s="10" t="str">
        <f>IF(R242="","",IF(R242&gt;=Matriz!$C$19,4,IF(R242&gt;=Matriz!$C$18,3,IF(R242&gt;=Matriz!$C$17,2,1))))</f>
        <v/>
      </c>
      <c r="T242" s="9" t="str">
        <f>IF(S242="","",MAX(S242,IF(I242=5,Matriz!$C$23,0),IF(N242="Sim",Matriz!$C$24,0)))</f>
        <v/>
      </c>
      <c r="U242" s="9" t="str">
        <f t="shared" si="13"/>
        <v/>
      </c>
      <c r="V242" s="26" t="str">
        <f t="shared" si="14"/>
        <v/>
      </c>
      <c r="W242" s="10" t="str">
        <f t="shared" si="15"/>
        <v/>
      </c>
      <c r="X242" s="4"/>
      <c r="Y242" s="4"/>
    </row>
    <row r="243" spans="1:25" ht="28.05" hidden="1" customHeight="1" x14ac:dyDescent="0.3">
      <c r="A243" s="20" t="s">
        <v>669</v>
      </c>
      <c r="B243" s="21" t="s">
        <v>670</v>
      </c>
      <c r="C243" s="4" t="s">
        <v>134</v>
      </c>
      <c r="D243" s="4" t="s">
        <v>213</v>
      </c>
      <c r="E243" s="4" t="s">
        <v>186</v>
      </c>
      <c r="F243" s="22">
        <v>46326</v>
      </c>
      <c r="G243" s="23" t="s">
        <v>104</v>
      </c>
      <c r="H243" s="6"/>
      <c r="I243" s="6"/>
      <c r="J243" s="6"/>
      <c r="K243" s="6"/>
      <c r="L243" s="6"/>
      <c r="M243" s="6"/>
      <c r="N243" s="6"/>
      <c r="O243" s="16" t="str">
        <f>IF(COUNT(I243:M243)&lt;5,"",ROUND((I243*Matriz!$C$5+J243*Matriz!$C$6+K243*Matriz!$C$7+L243*Matriz!$C$8+M243*Matriz!$C$9)/SUM(Matriz!$C$5:$C$9),2))</f>
        <v/>
      </c>
      <c r="P243" s="17">
        <f>IFERROR(INDEX(Processos!$F$8:$F$17,MATCH(C243,Processos!$A$8:$A$17,0)),1)</f>
        <v>1.034</v>
      </c>
      <c r="Q243" s="24">
        <f>IFERROR(INDEX(Matriz!$C$28:$C$33,MATCH(G243,Matriz!$A$28:$A$33,0)),0)</f>
        <v>0</v>
      </c>
      <c r="R243" s="25" t="str">
        <f t="shared" si="12"/>
        <v/>
      </c>
      <c r="S243" s="10" t="str">
        <f>IF(R243="","",IF(R243&gt;=Matriz!$C$19,4,IF(R243&gt;=Matriz!$C$18,3,IF(R243&gt;=Matriz!$C$17,2,1))))</f>
        <v/>
      </c>
      <c r="T243" s="9" t="str">
        <f>IF(S243="","",MAX(S243,IF(I243=5,Matriz!$C$23,0),IF(N243="Sim",Matriz!$C$24,0)))</f>
        <v/>
      </c>
      <c r="U243" s="9" t="str">
        <f t="shared" si="13"/>
        <v/>
      </c>
      <c r="V243" s="26" t="str">
        <f t="shared" si="14"/>
        <v/>
      </c>
      <c r="W243" s="10" t="str">
        <f t="shared" si="15"/>
        <v/>
      </c>
      <c r="X243" s="4"/>
      <c r="Y243" s="4"/>
    </row>
    <row r="244" spans="1:25" ht="28.05" hidden="1" customHeight="1" x14ac:dyDescent="0.3">
      <c r="A244" s="20" t="s">
        <v>671</v>
      </c>
      <c r="B244" s="21" t="s">
        <v>672</v>
      </c>
      <c r="C244" s="4" t="s">
        <v>134</v>
      </c>
      <c r="D244" s="4" t="s">
        <v>229</v>
      </c>
      <c r="E244" s="4" t="s">
        <v>186</v>
      </c>
      <c r="F244" s="22">
        <v>46325</v>
      </c>
      <c r="G244" s="23" t="s">
        <v>102</v>
      </c>
      <c r="H244" s="6"/>
      <c r="I244" s="6"/>
      <c r="J244" s="6"/>
      <c r="K244" s="6"/>
      <c r="L244" s="6"/>
      <c r="M244" s="6"/>
      <c r="N244" s="6"/>
      <c r="O244" s="16" t="str">
        <f>IF(COUNT(I244:M244)&lt;5,"",ROUND((I244*Matriz!$C$5+J244*Matriz!$C$6+K244*Matriz!$C$7+L244*Matriz!$C$8+M244*Matriz!$C$9)/SUM(Matriz!$C$5:$C$9),2))</f>
        <v/>
      </c>
      <c r="P244" s="17">
        <f>IFERROR(INDEX(Processos!$F$8:$F$17,MATCH(C244,Processos!$A$8:$A$17,0)),1)</f>
        <v>1.034</v>
      </c>
      <c r="Q244" s="24">
        <f>IFERROR(INDEX(Matriz!$C$28:$C$33,MATCH(G244,Matriz!$A$28:$A$33,0)),0)</f>
        <v>0</v>
      </c>
      <c r="R244" s="25" t="str">
        <f t="shared" si="12"/>
        <v/>
      </c>
      <c r="S244" s="10" t="str">
        <f>IF(R244="","",IF(R244&gt;=Matriz!$C$19,4,IF(R244&gt;=Matriz!$C$18,3,IF(R244&gt;=Matriz!$C$17,2,1))))</f>
        <v/>
      </c>
      <c r="T244" s="9" t="str">
        <f>IF(S244="","",MAX(S244,IF(I244=5,Matriz!$C$23,0),IF(N244="Sim",Matriz!$C$24,0)))</f>
        <v/>
      </c>
      <c r="U244" s="9" t="str">
        <f t="shared" si="13"/>
        <v/>
      </c>
      <c r="V244" s="26" t="str">
        <f t="shared" si="14"/>
        <v/>
      </c>
      <c r="W244" s="10" t="str">
        <f t="shared" si="15"/>
        <v/>
      </c>
      <c r="X244" s="4"/>
      <c r="Y244" s="4"/>
    </row>
    <row r="245" spans="1:25" ht="28.05" hidden="1" customHeight="1" x14ac:dyDescent="0.3">
      <c r="A245" s="20" t="s">
        <v>673</v>
      </c>
      <c r="B245" s="21" t="s">
        <v>674</v>
      </c>
      <c r="C245" s="4" t="s">
        <v>134</v>
      </c>
      <c r="D245" s="4" t="s">
        <v>229</v>
      </c>
      <c r="E245" s="4" t="s">
        <v>186</v>
      </c>
      <c r="F245" s="22">
        <v>46387</v>
      </c>
      <c r="G245" s="23" t="s">
        <v>104</v>
      </c>
      <c r="H245" s="6"/>
      <c r="I245" s="6"/>
      <c r="J245" s="6"/>
      <c r="K245" s="6"/>
      <c r="L245" s="6"/>
      <c r="M245" s="6"/>
      <c r="N245" s="6"/>
      <c r="O245" s="16" t="str">
        <f>IF(COUNT(I245:M245)&lt;5,"",ROUND((I245*Matriz!$C$5+J245*Matriz!$C$6+K245*Matriz!$C$7+L245*Matriz!$C$8+M245*Matriz!$C$9)/SUM(Matriz!$C$5:$C$9),2))</f>
        <v/>
      </c>
      <c r="P245" s="17">
        <f>IFERROR(INDEX(Processos!$F$8:$F$17,MATCH(C245,Processos!$A$8:$A$17,0)),1)</f>
        <v>1.034</v>
      </c>
      <c r="Q245" s="24">
        <f>IFERROR(INDEX(Matriz!$C$28:$C$33,MATCH(G245,Matriz!$A$28:$A$33,0)),0)</f>
        <v>0</v>
      </c>
      <c r="R245" s="25" t="str">
        <f t="shared" si="12"/>
        <v/>
      </c>
      <c r="S245" s="10" t="str">
        <f>IF(R245="","",IF(R245&gt;=Matriz!$C$19,4,IF(R245&gt;=Matriz!$C$18,3,IF(R245&gt;=Matriz!$C$17,2,1))))</f>
        <v/>
      </c>
      <c r="T245" s="9" t="str">
        <f>IF(S245="","",MAX(S245,IF(I245=5,Matriz!$C$23,0),IF(N245="Sim",Matriz!$C$24,0)))</f>
        <v/>
      </c>
      <c r="U245" s="9" t="str">
        <f t="shared" si="13"/>
        <v/>
      </c>
      <c r="V245" s="26" t="str">
        <f t="shared" si="14"/>
        <v/>
      </c>
      <c r="W245" s="10" t="str">
        <f t="shared" si="15"/>
        <v/>
      </c>
      <c r="X245" s="4"/>
      <c r="Y245" s="4"/>
    </row>
    <row r="246" spans="1:25" ht="28.05" hidden="1" customHeight="1" x14ac:dyDescent="0.3">
      <c r="A246" s="20" t="s">
        <v>675</v>
      </c>
      <c r="B246" s="21" t="s">
        <v>676</v>
      </c>
      <c r="C246" s="4" t="s">
        <v>134</v>
      </c>
      <c r="D246" s="4" t="s">
        <v>213</v>
      </c>
      <c r="E246" s="4" t="s">
        <v>186</v>
      </c>
      <c r="F246" s="22">
        <v>46387</v>
      </c>
      <c r="G246" s="23" t="s">
        <v>104</v>
      </c>
      <c r="H246" s="6"/>
      <c r="I246" s="6"/>
      <c r="J246" s="6"/>
      <c r="K246" s="6"/>
      <c r="L246" s="6"/>
      <c r="M246" s="6"/>
      <c r="N246" s="6"/>
      <c r="O246" s="16" t="str">
        <f>IF(COUNT(I246:M246)&lt;5,"",ROUND((I246*Matriz!$C$5+J246*Matriz!$C$6+K246*Matriz!$C$7+L246*Matriz!$C$8+M246*Matriz!$C$9)/SUM(Matriz!$C$5:$C$9),2))</f>
        <v/>
      </c>
      <c r="P246" s="17">
        <f>IFERROR(INDEX(Processos!$F$8:$F$17,MATCH(C246,Processos!$A$8:$A$17,0)),1)</f>
        <v>1.034</v>
      </c>
      <c r="Q246" s="24">
        <f>IFERROR(INDEX(Matriz!$C$28:$C$33,MATCH(G246,Matriz!$A$28:$A$33,0)),0)</f>
        <v>0</v>
      </c>
      <c r="R246" s="25" t="str">
        <f t="shared" si="12"/>
        <v/>
      </c>
      <c r="S246" s="10" t="str">
        <f>IF(R246="","",IF(R246&gt;=Matriz!$C$19,4,IF(R246&gt;=Matriz!$C$18,3,IF(R246&gt;=Matriz!$C$17,2,1))))</f>
        <v/>
      </c>
      <c r="T246" s="9" t="str">
        <f>IF(S246="","",MAX(S246,IF(I246=5,Matriz!$C$23,0),IF(N246="Sim",Matriz!$C$24,0)))</f>
        <v/>
      </c>
      <c r="U246" s="9" t="str">
        <f t="shared" si="13"/>
        <v/>
      </c>
      <c r="V246" s="26" t="str">
        <f t="shared" si="14"/>
        <v/>
      </c>
      <c r="W246" s="10" t="str">
        <f t="shared" si="15"/>
        <v/>
      </c>
      <c r="X246" s="4"/>
      <c r="Y246" s="4"/>
    </row>
    <row r="247" spans="1:25" ht="28.05" hidden="1" customHeight="1" x14ac:dyDescent="0.3">
      <c r="A247" s="20" t="s">
        <v>677</v>
      </c>
      <c r="B247" s="21" t="s">
        <v>678</v>
      </c>
      <c r="C247" s="4" t="s">
        <v>134</v>
      </c>
      <c r="D247" s="4" t="s">
        <v>563</v>
      </c>
      <c r="E247" s="4" t="s">
        <v>186</v>
      </c>
      <c r="F247" s="22">
        <v>46326</v>
      </c>
      <c r="G247" s="23" t="s">
        <v>104</v>
      </c>
      <c r="H247" s="6"/>
      <c r="I247" s="6"/>
      <c r="J247" s="6"/>
      <c r="K247" s="6"/>
      <c r="L247" s="6"/>
      <c r="M247" s="6"/>
      <c r="N247" s="6"/>
      <c r="O247" s="16" t="str">
        <f>IF(COUNT(I247:M247)&lt;5,"",ROUND((I247*Matriz!$C$5+J247*Matriz!$C$6+K247*Matriz!$C$7+L247*Matriz!$C$8+M247*Matriz!$C$9)/SUM(Matriz!$C$5:$C$9),2))</f>
        <v/>
      </c>
      <c r="P247" s="17">
        <f>IFERROR(INDEX(Processos!$F$8:$F$17,MATCH(C247,Processos!$A$8:$A$17,0)),1)</f>
        <v>1.034</v>
      </c>
      <c r="Q247" s="24">
        <f>IFERROR(INDEX(Matriz!$C$28:$C$33,MATCH(G247,Matriz!$A$28:$A$33,0)),0)</f>
        <v>0</v>
      </c>
      <c r="R247" s="25" t="str">
        <f t="shared" si="12"/>
        <v/>
      </c>
      <c r="S247" s="10" t="str">
        <f>IF(R247="","",IF(R247&gt;=Matriz!$C$19,4,IF(R247&gt;=Matriz!$C$18,3,IF(R247&gt;=Matriz!$C$17,2,1))))</f>
        <v/>
      </c>
      <c r="T247" s="9" t="str">
        <f>IF(S247="","",MAX(S247,IF(I247=5,Matriz!$C$23,0),IF(N247="Sim",Matriz!$C$24,0)))</f>
        <v/>
      </c>
      <c r="U247" s="9" t="str">
        <f t="shared" si="13"/>
        <v/>
      </c>
      <c r="V247" s="26" t="str">
        <f t="shared" si="14"/>
        <v/>
      </c>
      <c r="W247" s="10" t="str">
        <f t="shared" si="15"/>
        <v/>
      </c>
      <c r="X247" s="4"/>
      <c r="Y247" s="4"/>
    </row>
    <row r="248" spans="1:25" ht="28.05" hidden="1" customHeight="1" x14ac:dyDescent="0.3">
      <c r="A248" s="20" t="s">
        <v>679</v>
      </c>
      <c r="B248" s="21" t="s">
        <v>680</v>
      </c>
      <c r="C248" s="4" t="s">
        <v>134</v>
      </c>
      <c r="D248" s="4" t="s">
        <v>223</v>
      </c>
      <c r="E248" s="4" t="s">
        <v>186</v>
      </c>
      <c r="F248" s="22">
        <v>46356</v>
      </c>
      <c r="G248" s="23" t="s">
        <v>98</v>
      </c>
      <c r="H248" s="6"/>
      <c r="I248" s="6"/>
      <c r="J248" s="6"/>
      <c r="K248" s="6"/>
      <c r="L248" s="6"/>
      <c r="M248" s="6"/>
      <c r="N248" s="6"/>
      <c r="O248" s="16" t="str">
        <f>IF(COUNT(I248:M248)&lt;5,"",ROUND((I248*Matriz!$C$5+J248*Matriz!$C$6+K248*Matriz!$C$7+L248*Matriz!$C$8+M248*Matriz!$C$9)/SUM(Matriz!$C$5:$C$9),2))</f>
        <v/>
      </c>
      <c r="P248" s="17">
        <f>IFERROR(INDEX(Processos!$F$8:$F$17,MATCH(C248,Processos!$A$8:$A$17,0)),1)</f>
        <v>1.034</v>
      </c>
      <c r="Q248" s="24">
        <f>IFERROR(INDEX(Matriz!$C$28:$C$33,MATCH(G248,Matriz!$A$28:$A$33,0)),0)</f>
        <v>0.3</v>
      </c>
      <c r="R248" s="25" t="str">
        <f t="shared" si="12"/>
        <v/>
      </c>
      <c r="S248" s="10" t="str">
        <f>IF(R248="","",IF(R248&gt;=Matriz!$C$19,4,IF(R248&gt;=Matriz!$C$18,3,IF(R248&gt;=Matriz!$C$17,2,1))))</f>
        <v/>
      </c>
      <c r="T248" s="9" t="str">
        <f>IF(S248="","",MAX(S248,IF(I248=5,Matriz!$C$23,0),IF(N248="Sim",Matriz!$C$24,0)))</f>
        <v/>
      </c>
      <c r="U248" s="9" t="str">
        <f t="shared" si="13"/>
        <v/>
      </c>
      <c r="V248" s="26" t="str">
        <f t="shared" si="14"/>
        <v/>
      </c>
      <c r="W248" s="10" t="str">
        <f t="shared" si="15"/>
        <v/>
      </c>
      <c r="X248" s="4"/>
      <c r="Y248" s="4"/>
    </row>
    <row r="249" spans="1:25" ht="28.05" hidden="1" customHeight="1" x14ac:dyDescent="0.3">
      <c r="A249" s="20" t="s">
        <v>681</v>
      </c>
      <c r="B249" s="21" t="s">
        <v>682</v>
      </c>
      <c r="C249" s="4" t="s">
        <v>134</v>
      </c>
      <c r="D249" s="4" t="s">
        <v>223</v>
      </c>
      <c r="E249" s="4" t="s">
        <v>186</v>
      </c>
      <c r="F249" s="22">
        <v>46356</v>
      </c>
      <c r="G249" s="23" t="s">
        <v>98</v>
      </c>
      <c r="H249" s="6"/>
      <c r="I249" s="6"/>
      <c r="J249" s="6"/>
      <c r="K249" s="6"/>
      <c r="L249" s="6"/>
      <c r="M249" s="6"/>
      <c r="N249" s="6"/>
      <c r="O249" s="16" t="str">
        <f>IF(COUNT(I249:M249)&lt;5,"",ROUND((I249*Matriz!$C$5+J249*Matriz!$C$6+K249*Matriz!$C$7+L249*Matriz!$C$8+M249*Matriz!$C$9)/SUM(Matriz!$C$5:$C$9),2))</f>
        <v/>
      </c>
      <c r="P249" s="17">
        <f>IFERROR(INDEX(Processos!$F$8:$F$17,MATCH(C249,Processos!$A$8:$A$17,0)),1)</f>
        <v>1.034</v>
      </c>
      <c r="Q249" s="24">
        <f>IFERROR(INDEX(Matriz!$C$28:$C$33,MATCH(G249,Matriz!$A$28:$A$33,0)),0)</f>
        <v>0.3</v>
      </c>
      <c r="R249" s="25" t="str">
        <f t="shared" si="12"/>
        <v/>
      </c>
      <c r="S249" s="10" t="str">
        <f>IF(R249="","",IF(R249&gt;=Matriz!$C$19,4,IF(R249&gt;=Matriz!$C$18,3,IF(R249&gt;=Matriz!$C$17,2,1))))</f>
        <v/>
      </c>
      <c r="T249" s="9" t="str">
        <f>IF(S249="","",MAX(S249,IF(I249=5,Matriz!$C$23,0),IF(N249="Sim",Matriz!$C$24,0)))</f>
        <v/>
      </c>
      <c r="U249" s="9" t="str">
        <f t="shared" si="13"/>
        <v/>
      </c>
      <c r="V249" s="26" t="str">
        <f t="shared" si="14"/>
        <v/>
      </c>
      <c r="W249" s="10" t="str">
        <f t="shared" si="15"/>
        <v/>
      </c>
      <c r="X249" s="4"/>
      <c r="Y249" s="4"/>
    </row>
    <row r="250" spans="1:25" ht="28.05" hidden="1" customHeight="1" x14ac:dyDescent="0.3">
      <c r="A250" s="20" t="s">
        <v>683</v>
      </c>
      <c r="B250" s="21" t="s">
        <v>684</v>
      </c>
      <c r="C250" s="4" t="s">
        <v>134</v>
      </c>
      <c r="D250" s="4" t="s">
        <v>657</v>
      </c>
      <c r="E250" s="4" t="s">
        <v>186</v>
      </c>
      <c r="F250" s="22">
        <v>46356</v>
      </c>
      <c r="G250" s="23" t="s">
        <v>104</v>
      </c>
      <c r="H250" s="6"/>
      <c r="I250" s="6"/>
      <c r="J250" s="6"/>
      <c r="K250" s="6"/>
      <c r="L250" s="6"/>
      <c r="M250" s="6"/>
      <c r="N250" s="6"/>
      <c r="O250" s="16" t="str">
        <f>IF(COUNT(I250:M250)&lt;5,"",ROUND((I250*Matriz!$C$5+J250*Matriz!$C$6+K250*Matriz!$C$7+L250*Matriz!$C$8+M250*Matriz!$C$9)/SUM(Matriz!$C$5:$C$9),2))</f>
        <v/>
      </c>
      <c r="P250" s="17">
        <f>IFERROR(INDEX(Processos!$F$8:$F$17,MATCH(C250,Processos!$A$8:$A$17,0)),1)</f>
        <v>1.034</v>
      </c>
      <c r="Q250" s="24">
        <f>IFERROR(INDEX(Matriz!$C$28:$C$33,MATCH(G250,Matriz!$A$28:$A$33,0)),0)</f>
        <v>0</v>
      </c>
      <c r="R250" s="25" t="str">
        <f t="shared" si="12"/>
        <v/>
      </c>
      <c r="S250" s="10" t="str">
        <f>IF(R250="","",IF(R250&gt;=Matriz!$C$19,4,IF(R250&gt;=Matriz!$C$18,3,IF(R250&gt;=Matriz!$C$17,2,1))))</f>
        <v/>
      </c>
      <c r="T250" s="9" t="str">
        <f>IF(S250="","",MAX(S250,IF(I250=5,Matriz!$C$23,0),IF(N250="Sim",Matriz!$C$24,0)))</f>
        <v/>
      </c>
      <c r="U250" s="9" t="str">
        <f t="shared" si="13"/>
        <v/>
      </c>
      <c r="V250" s="26" t="str">
        <f t="shared" si="14"/>
        <v/>
      </c>
      <c r="W250" s="10" t="str">
        <f t="shared" si="15"/>
        <v/>
      </c>
      <c r="X250" s="4"/>
      <c r="Y250" s="4"/>
    </row>
    <row r="251" spans="1:25" ht="28.05" hidden="1" customHeight="1" x14ac:dyDescent="0.3">
      <c r="A251" s="20" t="s">
        <v>685</v>
      </c>
      <c r="B251" s="21" t="s">
        <v>686</v>
      </c>
      <c r="C251" s="4" t="s">
        <v>134</v>
      </c>
      <c r="D251" s="4" t="s">
        <v>657</v>
      </c>
      <c r="E251" s="4" t="s">
        <v>186</v>
      </c>
      <c r="F251" s="22">
        <v>46326</v>
      </c>
      <c r="G251" s="23" t="s">
        <v>104</v>
      </c>
      <c r="H251" s="6"/>
      <c r="I251" s="6"/>
      <c r="J251" s="6"/>
      <c r="K251" s="6"/>
      <c r="L251" s="6"/>
      <c r="M251" s="6"/>
      <c r="N251" s="6"/>
      <c r="O251" s="16" t="str">
        <f>IF(COUNT(I251:M251)&lt;5,"",ROUND((I251*Matriz!$C$5+J251*Matriz!$C$6+K251*Matriz!$C$7+L251*Matriz!$C$8+M251*Matriz!$C$9)/SUM(Matriz!$C$5:$C$9),2))</f>
        <v/>
      </c>
      <c r="P251" s="17">
        <f>IFERROR(INDEX(Processos!$F$8:$F$17,MATCH(C251,Processos!$A$8:$A$17,0)),1)</f>
        <v>1.034</v>
      </c>
      <c r="Q251" s="24">
        <f>IFERROR(INDEX(Matriz!$C$28:$C$33,MATCH(G251,Matriz!$A$28:$A$33,0)),0)</f>
        <v>0</v>
      </c>
      <c r="R251" s="25" t="str">
        <f t="shared" si="12"/>
        <v/>
      </c>
      <c r="S251" s="10" t="str">
        <f>IF(R251="","",IF(R251&gt;=Matriz!$C$19,4,IF(R251&gt;=Matriz!$C$18,3,IF(R251&gt;=Matriz!$C$17,2,1))))</f>
        <v/>
      </c>
      <c r="T251" s="9" t="str">
        <f>IF(S251="","",MAX(S251,IF(I251=5,Matriz!$C$23,0),IF(N251="Sim",Matriz!$C$24,0)))</f>
        <v/>
      </c>
      <c r="U251" s="9" t="str">
        <f t="shared" si="13"/>
        <v/>
      </c>
      <c r="V251" s="26" t="str">
        <f t="shared" si="14"/>
        <v/>
      </c>
      <c r="W251" s="10" t="str">
        <f t="shared" si="15"/>
        <v/>
      </c>
      <c r="X251" s="4"/>
      <c r="Y251" s="4"/>
    </row>
    <row r="252" spans="1:25" ht="28.05" hidden="1" customHeight="1" x14ac:dyDescent="0.3">
      <c r="A252" s="20" t="s">
        <v>687</v>
      </c>
      <c r="B252" s="21" t="s">
        <v>688</v>
      </c>
      <c r="C252" s="4" t="s">
        <v>134</v>
      </c>
      <c r="D252" s="4" t="s">
        <v>563</v>
      </c>
      <c r="E252" s="4" t="s">
        <v>186</v>
      </c>
      <c r="F252" s="22">
        <v>46325</v>
      </c>
      <c r="G252" s="23" t="s">
        <v>98</v>
      </c>
      <c r="H252" s="6"/>
      <c r="I252" s="6"/>
      <c r="J252" s="6"/>
      <c r="K252" s="6"/>
      <c r="L252" s="6"/>
      <c r="M252" s="6"/>
      <c r="N252" s="6"/>
      <c r="O252" s="16" t="str">
        <f>IF(COUNT(I252:M252)&lt;5,"",ROUND((I252*Matriz!$C$5+J252*Matriz!$C$6+K252*Matriz!$C$7+L252*Matriz!$C$8+M252*Matriz!$C$9)/SUM(Matriz!$C$5:$C$9),2))</f>
        <v/>
      </c>
      <c r="P252" s="17">
        <f>IFERROR(INDEX(Processos!$F$8:$F$17,MATCH(C252,Processos!$A$8:$A$17,0)),1)</f>
        <v>1.034</v>
      </c>
      <c r="Q252" s="24">
        <f>IFERROR(INDEX(Matriz!$C$28:$C$33,MATCH(G252,Matriz!$A$28:$A$33,0)),0)</f>
        <v>0.3</v>
      </c>
      <c r="R252" s="25" t="str">
        <f t="shared" si="12"/>
        <v/>
      </c>
      <c r="S252" s="10" t="str">
        <f>IF(R252="","",IF(R252&gt;=Matriz!$C$19,4,IF(R252&gt;=Matriz!$C$18,3,IF(R252&gt;=Matriz!$C$17,2,1))))</f>
        <v/>
      </c>
      <c r="T252" s="9" t="str">
        <f>IF(S252="","",MAX(S252,IF(I252=5,Matriz!$C$23,0),IF(N252="Sim",Matriz!$C$24,0)))</f>
        <v/>
      </c>
      <c r="U252" s="9" t="str">
        <f t="shared" si="13"/>
        <v/>
      </c>
      <c r="V252" s="26" t="str">
        <f t="shared" si="14"/>
        <v/>
      </c>
      <c r="W252" s="10" t="str">
        <f t="shared" si="15"/>
        <v/>
      </c>
      <c r="X252" s="4"/>
      <c r="Y252" s="4"/>
    </row>
    <row r="253" spans="1:25" ht="28.05" hidden="1" customHeight="1" x14ac:dyDescent="0.3">
      <c r="A253" s="20" t="s">
        <v>689</v>
      </c>
      <c r="B253" s="21" t="s">
        <v>690</v>
      </c>
      <c r="C253" s="4" t="s">
        <v>134</v>
      </c>
      <c r="D253" s="4" t="s">
        <v>563</v>
      </c>
      <c r="E253" s="4" t="s">
        <v>186</v>
      </c>
      <c r="F253" s="22">
        <v>46387</v>
      </c>
      <c r="G253" s="23" t="s">
        <v>98</v>
      </c>
      <c r="H253" s="6"/>
      <c r="I253" s="6"/>
      <c r="J253" s="6"/>
      <c r="K253" s="6"/>
      <c r="L253" s="6"/>
      <c r="M253" s="6"/>
      <c r="N253" s="6"/>
      <c r="O253" s="16" t="str">
        <f>IF(COUNT(I253:M253)&lt;5,"",ROUND((I253*Matriz!$C$5+J253*Matriz!$C$6+K253*Matriz!$C$7+L253*Matriz!$C$8+M253*Matriz!$C$9)/SUM(Matriz!$C$5:$C$9),2))</f>
        <v/>
      </c>
      <c r="P253" s="17">
        <f>IFERROR(INDEX(Processos!$F$8:$F$17,MATCH(C253,Processos!$A$8:$A$17,0)),1)</f>
        <v>1.034</v>
      </c>
      <c r="Q253" s="24">
        <f>IFERROR(INDEX(Matriz!$C$28:$C$33,MATCH(G253,Matriz!$A$28:$A$33,0)),0)</f>
        <v>0.3</v>
      </c>
      <c r="R253" s="25" t="str">
        <f t="shared" si="12"/>
        <v/>
      </c>
      <c r="S253" s="10" t="str">
        <f>IF(R253="","",IF(R253&gt;=Matriz!$C$19,4,IF(R253&gt;=Matriz!$C$18,3,IF(R253&gt;=Matriz!$C$17,2,1))))</f>
        <v/>
      </c>
      <c r="T253" s="9" t="str">
        <f>IF(S253="","",MAX(S253,IF(I253=5,Matriz!$C$23,0),IF(N253="Sim",Matriz!$C$24,0)))</f>
        <v/>
      </c>
      <c r="U253" s="9" t="str">
        <f t="shared" si="13"/>
        <v/>
      </c>
      <c r="V253" s="26" t="str">
        <f t="shared" si="14"/>
        <v/>
      </c>
      <c r="W253" s="10" t="str">
        <f t="shared" si="15"/>
        <v/>
      </c>
      <c r="X253" s="4"/>
      <c r="Y253" s="4"/>
    </row>
    <row r="254" spans="1:25" ht="28.05" hidden="1" customHeight="1" x14ac:dyDescent="0.3">
      <c r="A254" s="20" t="s">
        <v>691</v>
      </c>
      <c r="B254" s="21" t="s">
        <v>692</v>
      </c>
      <c r="C254" s="4" t="s">
        <v>134</v>
      </c>
      <c r="D254" s="4" t="s">
        <v>229</v>
      </c>
      <c r="E254" s="4" t="s">
        <v>186</v>
      </c>
      <c r="F254" s="22">
        <v>46325</v>
      </c>
      <c r="G254" s="23" t="s">
        <v>106</v>
      </c>
      <c r="H254" s="6"/>
      <c r="I254" s="6"/>
      <c r="J254" s="6"/>
      <c r="K254" s="6"/>
      <c r="L254" s="6"/>
      <c r="M254" s="6"/>
      <c r="N254" s="6"/>
      <c r="O254" s="16" t="str">
        <f>IF(COUNT(I254:M254)&lt;5,"",ROUND((I254*Matriz!$C$5+J254*Matriz!$C$6+K254*Matriz!$C$7+L254*Matriz!$C$8+M254*Matriz!$C$9)/SUM(Matriz!$C$5:$C$9),2))</f>
        <v/>
      </c>
      <c r="P254" s="17">
        <f>IFERROR(INDEX(Processos!$F$8:$F$17,MATCH(C254,Processos!$A$8:$A$17,0)),1)</f>
        <v>1.034</v>
      </c>
      <c r="Q254" s="24">
        <f>IFERROR(INDEX(Matriz!$C$28:$C$33,MATCH(G254,Matriz!$A$28:$A$33,0)),0)</f>
        <v>-0.2</v>
      </c>
      <c r="R254" s="25" t="str">
        <f t="shared" si="12"/>
        <v/>
      </c>
      <c r="S254" s="10" t="str">
        <f>IF(R254="","",IF(R254&gt;=Matriz!$C$19,4,IF(R254&gt;=Matriz!$C$18,3,IF(R254&gt;=Matriz!$C$17,2,1))))</f>
        <v/>
      </c>
      <c r="T254" s="9" t="str">
        <f>IF(S254="","",MAX(S254,IF(I254=5,Matriz!$C$23,0),IF(N254="Sim",Matriz!$C$24,0)))</f>
        <v/>
      </c>
      <c r="U254" s="9" t="str">
        <f t="shared" si="13"/>
        <v/>
      </c>
      <c r="V254" s="26" t="str">
        <f t="shared" si="14"/>
        <v/>
      </c>
      <c r="W254" s="10" t="str">
        <f t="shared" si="15"/>
        <v/>
      </c>
      <c r="X254" s="4"/>
      <c r="Y254" s="4"/>
    </row>
    <row r="255" spans="1:25" ht="28.05" hidden="1" customHeight="1" x14ac:dyDescent="0.3">
      <c r="A255" s="20" t="s">
        <v>693</v>
      </c>
      <c r="B255" s="21" t="s">
        <v>694</v>
      </c>
      <c r="C255" s="4" t="s">
        <v>134</v>
      </c>
      <c r="D255" s="4" t="s">
        <v>657</v>
      </c>
      <c r="E255" s="4" t="s">
        <v>186</v>
      </c>
      <c r="F255" s="22">
        <v>46326</v>
      </c>
      <c r="G255" s="23" t="s">
        <v>104</v>
      </c>
      <c r="H255" s="6"/>
      <c r="I255" s="6"/>
      <c r="J255" s="6"/>
      <c r="K255" s="6"/>
      <c r="L255" s="6"/>
      <c r="M255" s="6"/>
      <c r="N255" s="6"/>
      <c r="O255" s="16" t="str">
        <f>IF(COUNT(I255:M255)&lt;5,"",ROUND((I255*Matriz!$C$5+J255*Matriz!$C$6+K255*Matriz!$C$7+L255*Matriz!$C$8+M255*Matriz!$C$9)/SUM(Matriz!$C$5:$C$9),2))</f>
        <v/>
      </c>
      <c r="P255" s="17">
        <f>IFERROR(INDEX(Processos!$F$8:$F$17,MATCH(C255,Processos!$A$8:$A$17,0)),1)</f>
        <v>1.034</v>
      </c>
      <c r="Q255" s="24">
        <f>IFERROR(INDEX(Matriz!$C$28:$C$33,MATCH(G255,Matriz!$A$28:$A$33,0)),0)</f>
        <v>0</v>
      </c>
      <c r="R255" s="25" t="str">
        <f t="shared" si="12"/>
        <v/>
      </c>
      <c r="S255" s="10" t="str">
        <f>IF(R255="","",IF(R255&gt;=Matriz!$C$19,4,IF(R255&gt;=Matriz!$C$18,3,IF(R255&gt;=Matriz!$C$17,2,1))))</f>
        <v/>
      </c>
      <c r="T255" s="9" t="str">
        <f>IF(S255="","",MAX(S255,IF(I255=5,Matriz!$C$23,0),IF(N255="Sim",Matriz!$C$24,0)))</f>
        <v/>
      </c>
      <c r="U255" s="9" t="str">
        <f t="shared" si="13"/>
        <v/>
      </c>
      <c r="V255" s="26" t="str">
        <f t="shared" si="14"/>
        <v/>
      </c>
      <c r="W255" s="10" t="str">
        <f t="shared" si="15"/>
        <v/>
      </c>
      <c r="X255" s="4"/>
      <c r="Y255" s="4"/>
    </row>
    <row r="256" spans="1:25" ht="28.05" hidden="1" customHeight="1" x14ac:dyDescent="0.3">
      <c r="A256" s="20" t="s">
        <v>695</v>
      </c>
      <c r="B256" s="21" t="s">
        <v>696</v>
      </c>
      <c r="C256" s="4" t="s">
        <v>134</v>
      </c>
      <c r="D256" s="4" t="s">
        <v>697</v>
      </c>
      <c r="E256" s="4" t="s">
        <v>186</v>
      </c>
      <c r="F256" s="22">
        <v>46356</v>
      </c>
      <c r="G256" s="23" t="s">
        <v>100</v>
      </c>
      <c r="H256" s="6"/>
      <c r="I256" s="6"/>
      <c r="J256" s="6"/>
      <c r="K256" s="6"/>
      <c r="L256" s="6"/>
      <c r="M256" s="6"/>
      <c r="N256" s="6"/>
      <c r="O256" s="16" t="str">
        <f>IF(COUNT(I256:M256)&lt;5,"",ROUND((I256*Matriz!$C$5+J256*Matriz!$C$6+K256*Matriz!$C$7+L256*Matriz!$C$8+M256*Matriz!$C$9)/SUM(Matriz!$C$5:$C$9),2))</f>
        <v/>
      </c>
      <c r="P256" s="17">
        <f>IFERROR(INDEX(Processos!$F$8:$F$17,MATCH(C256,Processos!$A$8:$A$17,0)),1)</f>
        <v>1.034</v>
      </c>
      <c r="Q256" s="24">
        <f>IFERROR(INDEX(Matriz!$C$28:$C$33,MATCH(G256,Matriz!$A$28:$A$33,0)),0)</f>
        <v>0</v>
      </c>
      <c r="R256" s="25" t="str">
        <f t="shared" si="12"/>
        <v/>
      </c>
      <c r="S256" s="10" t="str">
        <f>IF(R256="","",IF(R256&gt;=Matriz!$C$19,4,IF(R256&gt;=Matriz!$C$18,3,IF(R256&gt;=Matriz!$C$17,2,1))))</f>
        <v/>
      </c>
      <c r="T256" s="9" t="str">
        <f>IF(S256="","",MAX(S256,IF(I256=5,Matriz!$C$23,0),IF(N256="Sim",Matriz!$C$24,0)))</f>
        <v/>
      </c>
      <c r="U256" s="9" t="str">
        <f t="shared" si="13"/>
        <v/>
      </c>
      <c r="V256" s="26" t="str">
        <f t="shared" si="14"/>
        <v/>
      </c>
      <c r="W256" s="10" t="str">
        <f t="shared" si="15"/>
        <v/>
      </c>
      <c r="X256" s="4"/>
      <c r="Y256" s="4"/>
    </row>
    <row r="257" spans="1:25" ht="28.05" hidden="1" customHeight="1" x14ac:dyDescent="0.3">
      <c r="A257" s="20" t="s">
        <v>698</v>
      </c>
      <c r="B257" s="21" t="s">
        <v>699</v>
      </c>
      <c r="C257" s="4" t="s">
        <v>134</v>
      </c>
      <c r="D257" s="4" t="s">
        <v>697</v>
      </c>
      <c r="E257" s="4" t="s">
        <v>186</v>
      </c>
      <c r="F257" s="22">
        <v>46356</v>
      </c>
      <c r="G257" s="23" t="s">
        <v>100</v>
      </c>
      <c r="H257" s="6"/>
      <c r="I257" s="6"/>
      <c r="J257" s="6"/>
      <c r="K257" s="6"/>
      <c r="L257" s="6"/>
      <c r="M257" s="6"/>
      <c r="N257" s="6"/>
      <c r="O257" s="16" t="str">
        <f>IF(COUNT(I257:M257)&lt;5,"",ROUND((I257*Matriz!$C$5+J257*Matriz!$C$6+K257*Matriz!$C$7+L257*Matriz!$C$8+M257*Matriz!$C$9)/SUM(Matriz!$C$5:$C$9),2))</f>
        <v/>
      </c>
      <c r="P257" s="17">
        <f>IFERROR(INDEX(Processos!$F$8:$F$17,MATCH(C257,Processos!$A$8:$A$17,0)),1)</f>
        <v>1.034</v>
      </c>
      <c r="Q257" s="24">
        <f>IFERROR(INDEX(Matriz!$C$28:$C$33,MATCH(G257,Matriz!$A$28:$A$33,0)),0)</f>
        <v>0</v>
      </c>
      <c r="R257" s="25" t="str">
        <f t="shared" si="12"/>
        <v/>
      </c>
      <c r="S257" s="10" t="str">
        <f>IF(R257="","",IF(R257&gt;=Matriz!$C$19,4,IF(R257&gt;=Matriz!$C$18,3,IF(R257&gt;=Matriz!$C$17,2,1))))</f>
        <v/>
      </c>
      <c r="T257" s="9" t="str">
        <f>IF(S257="","",MAX(S257,IF(I257=5,Matriz!$C$23,0),IF(N257="Sim",Matriz!$C$24,0)))</f>
        <v/>
      </c>
      <c r="U257" s="9" t="str">
        <f t="shared" si="13"/>
        <v/>
      </c>
      <c r="V257" s="26" t="str">
        <f t="shared" si="14"/>
        <v/>
      </c>
      <c r="W257" s="10" t="str">
        <f t="shared" si="15"/>
        <v/>
      </c>
      <c r="X257" s="4"/>
      <c r="Y257" s="4"/>
    </row>
    <row r="258" spans="1:25" ht="28.05" hidden="1" customHeight="1" x14ac:dyDescent="0.3">
      <c r="A258" s="20" t="s">
        <v>700</v>
      </c>
      <c r="B258" s="21" t="s">
        <v>701</v>
      </c>
      <c r="C258" s="4" t="s">
        <v>134</v>
      </c>
      <c r="D258" s="4" t="s">
        <v>242</v>
      </c>
      <c r="E258" s="4" t="s">
        <v>186</v>
      </c>
      <c r="F258" s="22">
        <v>46326</v>
      </c>
      <c r="G258" s="23" t="s">
        <v>100</v>
      </c>
      <c r="H258" s="6"/>
      <c r="I258" s="6"/>
      <c r="J258" s="6"/>
      <c r="K258" s="6"/>
      <c r="L258" s="6"/>
      <c r="M258" s="6"/>
      <c r="N258" s="6"/>
      <c r="O258" s="16" t="str">
        <f>IF(COUNT(I258:M258)&lt;5,"",ROUND((I258*Matriz!$C$5+J258*Matriz!$C$6+K258*Matriz!$C$7+L258*Matriz!$C$8+M258*Matriz!$C$9)/SUM(Matriz!$C$5:$C$9),2))</f>
        <v/>
      </c>
      <c r="P258" s="17">
        <f>IFERROR(INDEX(Processos!$F$8:$F$17,MATCH(C258,Processos!$A$8:$A$17,0)),1)</f>
        <v>1.034</v>
      </c>
      <c r="Q258" s="24">
        <f>IFERROR(INDEX(Matriz!$C$28:$C$33,MATCH(G258,Matriz!$A$28:$A$33,0)),0)</f>
        <v>0</v>
      </c>
      <c r="R258" s="25" t="str">
        <f t="shared" si="12"/>
        <v/>
      </c>
      <c r="S258" s="10" t="str">
        <f>IF(R258="","",IF(R258&gt;=Matriz!$C$19,4,IF(R258&gt;=Matriz!$C$18,3,IF(R258&gt;=Matriz!$C$17,2,1))))</f>
        <v/>
      </c>
      <c r="T258" s="9" t="str">
        <f>IF(S258="","",MAX(S258,IF(I258=5,Matriz!$C$23,0),IF(N258="Sim",Matriz!$C$24,0)))</f>
        <v/>
      </c>
      <c r="U258" s="9" t="str">
        <f t="shared" si="13"/>
        <v/>
      </c>
      <c r="V258" s="26" t="str">
        <f t="shared" si="14"/>
        <v/>
      </c>
      <c r="W258" s="10" t="str">
        <f t="shared" si="15"/>
        <v/>
      </c>
      <c r="X258" s="4"/>
      <c r="Y258" s="4"/>
    </row>
    <row r="259" spans="1:25" ht="28.05" hidden="1" customHeight="1" x14ac:dyDescent="0.3">
      <c r="A259" s="20" t="s">
        <v>702</v>
      </c>
      <c r="B259" s="21" t="s">
        <v>703</v>
      </c>
      <c r="C259" s="4" t="s">
        <v>134</v>
      </c>
      <c r="D259" s="4" t="s">
        <v>242</v>
      </c>
      <c r="E259" s="4" t="s">
        <v>186</v>
      </c>
      <c r="F259" s="22">
        <v>46326</v>
      </c>
      <c r="G259" s="23" t="s">
        <v>104</v>
      </c>
      <c r="H259" s="6"/>
      <c r="I259" s="6"/>
      <c r="J259" s="6"/>
      <c r="K259" s="6"/>
      <c r="L259" s="6"/>
      <c r="M259" s="6"/>
      <c r="N259" s="6"/>
      <c r="O259" s="16" t="str">
        <f>IF(COUNT(I259:M259)&lt;5,"",ROUND((I259*Matriz!$C$5+J259*Matriz!$C$6+K259*Matriz!$C$7+L259*Matriz!$C$8+M259*Matriz!$C$9)/SUM(Matriz!$C$5:$C$9),2))</f>
        <v/>
      </c>
      <c r="P259" s="17">
        <f>IFERROR(INDEX(Processos!$F$8:$F$17,MATCH(C259,Processos!$A$8:$A$17,0)),1)</f>
        <v>1.034</v>
      </c>
      <c r="Q259" s="24">
        <f>IFERROR(INDEX(Matriz!$C$28:$C$33,MATCH(G259,Matriz!$A$28:$A$33,0)),0)</f>
        <v>0</v>
      </c>
      <c r="R259" s="25" t="str">
        <f t="shared" si="12"/>
        <v/>
      </c>
      <c r="S259" s="10" t="str">
        <f>IF(R259="","",IF(R259&gt;=Matriz!$C$19,4,IF(R259&gt;=Matriz!$C$18,3,IF(R259&gt;=Matriz!$C$17,2,1))))</f>
        <v/>
      </c>
      <c r="T259" s="9" t="str">
        <f>IF(S259="","",MAX(S259,IF(I259=5,Matriz!$C$23,0),IF(N259="Sim",Matriz!$C$24,0)))</f>
        <v/>
      </c>
      <c r="U259" s="9" t="str">
        <f t="shared" si="13"/>
        <v/>
      </c>
      <c r="V259" s="26" t="str">
        <f t="shared" si="14"/>
        <v/>
      </c>
      <c r="W259" s="10" t="str">
        <f t="shared" si="15"/>
        <v/>
      </c>
      <c r="X259" s="4"/>
      <c r="Y259" s="4"/>
    </row>
    <row r="260" spans="1:25" ht="28.05" hidden="1" customHeight="1" x14ac:dyDescent="0.3">
      <c r="A260" s="20" t="s">
        <v>704</v>
      </c>
      <c r="B260" s="21" t="s">
        <v>705</v>
      </c>
      <c r="C260" s="4" t="s">
        <v>134</v>
      </c>
      <c r="D260" s="4" t="s">
        <v>657</v>
      </c>
      <c r="E260" s="4" t="s">
        <v>186</v>
      </c>
      <c r="F260" s="22">
        <v>46356</v>
      </c>
      <c r="G260" s="23" t="s">
        <v>108</v>
      </c>
      <c r="H260" s="6"/>
      <c r="I260" s="6"/>
      <c r="J260" s="6"/>
      <c r="K260" s="6"/>
      <c r="L260" s="6"/>
      <c r="M260" s="6"/>
      <c r="N260" s="6"/>
      <c r="O260" s="16" t="str">
        <f>IF(COUNT(I260:M260)&lt;5,"",ROUND((I260*Matriz!$C$5+J260*Matriz!$C$6+K260*Matriz!$C$7+L260*Matriz!$C$8+M260*Matriz!$C$9)/SUM(Matriz!$C$5:$C$9),2))</f>
        <v/>
      </c>
      <c r="P260" s="17">
        <f>IFERROR(INDEX(Processos!$F$8:$F$17,MATCH(C260,Processos!$A$8:$A$17,0)),1)</f>
        <v>1.034</v>
      </c>
      <c r="Q260" s="24">
        <f>IFERROR(INDEX(Matriz!$C$28:$C$33,MATCH(G260,Matriz!$A$28:$A$33,0)),0)</f>
        <v>-0.3</v>
      </c>
      <c r="R260" s="25" t="str">
        <f t="shared" si="12"/>
        <v/>
      </c>
      <c r="S260" s="10" t="str">
        <f>IF(R260="","",IF(R260&gt;=Matriz!$C$19,4,IF(R260&gt;=Matriz!$C$18,3,IF(R260&gt;=Matriz!$C$17,2,1))))</f>
        <v/>
      </c>
      <c r="T260" s="9" t="str">
        <f>IF(S260="","",MAX(S260,IF(I260=5,Matriz!$C$23,0),IF(N260="Sim",Matriz!$C$24,0)))</f>
        <v/>
      </c>
      <c r="U260" s="9" t="str">
        <f t="shared" si="13"/>
        <v/>
      </c>
      <c r="V260" s="26" t="str">
        <f t="shared" si="14"/>
        <v/>
      </c>
      <c r="W260" s="10" t="str">
        <f t="shared" si="15"/>
        <v/>
      </c>
      <c r="X260" s="4"/>
      <c r="Y260" s="4"/>
    </row>
    <row r="261" spans="1:25" ht="28.05" hidden="1" customHeight="1" x14ac:dyDescent="0.3">
      <c r="A261" s="20" t="s">
        <v>706</v>
      </c>
      <c r="B261" s="21" t="s">
        <v>707</v>
      </c>
      <c r="C261" s="4" t="s">
        <v>134</v>
      </c>
      <c r="D261" s="4" t="s">
        <v>657</v>
      </c>
      <c r="E261" s="4" t="s">
        <v>186</v>
      </c>
      <c r="F261" s="22">
        <v>46356</v>
      </c>
      <c r="G261" s="23" t="s">
        <v>108</v>
      </c>
      <c r="H261" s="6"/>
      <c r="I261" s="6"/>
      <c r="J261" s="6"/>
      <c r="K261" s="6"/>
      <c r="L261" s="6"/>
      <c r="M261" s="6"/>
      <c r="N261" s="6"/>
      <c r="O261" s="16" t="str">
        <f>IF(COUNT(I261:M261)&lt;5,"",ROUND((I261*Matriz!$C$5+J261*Matriz!$C$6+K261*Matriz!$C$7+L261*Matriz!$C$8+M261*Matriz!$C$9)/SUM(Matriz!$C$5:$C$9),2))</f>
        <v/>
      </c>
      <c r="P261" s="17">
        <f>IFERROR(INDEX(Processos!$F$8:$F$17,MATCH(C261,Processos!$A$8:$A$17,0)),1)</f>
        <v>1.034</v>
      </c>
      <c r="Q261" s="24">
        <f>IFERROR(INDEX(Matriz!$C$28:$C$33,MATCH(G261,Matriz!$A$28:$A$33,0)),0)</f>
        <v>-0.3</v>
      </c>
      <c r="R261" s="25" t="str">
        <f t="shared" ref="R261:R324" si="16">IF(O261="","",ROUND(O261*P261+Q261,2))</f>
        <v/>
      </c>
      <c r="S261" s="10" t="str">
        <f>IF(R261="","",IF(R261&gt;=Matriz!$C$19,4,IF(R261&gt;=Matriz!$C$18,3,IF(R261&gt;=Matriz!$C$17,2,1))))</f>
        <v/>
      </c>
      <c r="T261" s="9" t="str">
        <f>IF(S261="","",MAX(S261,IF(I261=5,Matriz!$C$23,0),IF(N261="Sim",Matriz!$C$24,0)))</f>
        <v/>
      </c>
      <c r="U261" s="9" t="str">
        <f t="shared" ref="U261:U324" si="17">IF(T261="","",CHOOSE(T261,"Baixa","Normal","Alta","Urgente"))</f>
        <v/>
      </c>
      <c r="V261" s="26" t="str">
        <f t="shared" ref="V261:V324" si="18">IF(T261="","",T261*1000+R261*10-IF(H261="",3,H261)/10-ROW()/1000000)</f>
        <v/>
      </c>
      <c r="W261" s="10" t="str">
        <f t="shared" ref="W261:W324" si="19">IF(V261="","",COUNTIF($V$5:$V$405,"&gt;"&amp;V261)+1)</f>
        <v/>
      </c>
      <c r="X261" s="4"/>
      <c r="Y261" s="4"/>
    </row>
    <row r="262" spans="1:25" ht="28.05" hidden="1" customHeight="1" x14ac:dyDescent="0.3">
      <c r="A262" s="20" t="s">
        <v>708</v>
      </c>
      <c r="B262" s="21" t="s">
        <v>709</v>
      </c>
      <c r="C262" s="4" t="s">
        <v>134</v>
      </c>
      <c r="D262" s="4" t="s">
        <v>657</v>
      </c>
      <c r="E262" s="4" t="s">
        <v>186</v>
      </c>
      <c r="F262" s="22">
        <v>46356</v>
      </c>
      <c r="G262" s="23" t="s">
        <v>108</v>
      </c>
      <c r="H262" s="6"/>
      <c r="I262" s="6"/>
      <c r="J262" s="6"/>
      <c r="K262" s="6"/>
      <c r="L262" s="6"/>
      <c r="M262" s="6"/>
      <c r="N262" s="6"/>
      <c r="O262" s="16" t="str">
        <f>IF(COUNT(I262:M262)&lt;5,"",ROUND((I262*Matriz!$C$5+J262*Matriz!$C$6+K262*Matriz!$C$7+L262*Matriz!$C$8+M262*Matriz!$C$9)/SUM(Matriz!$C$5:$C$9),2))</f>
        <v/>
      </c>
      <c r="P262" s="17">
        <f>IFERROR(INDEX(Processos!$F$8:$F$17,MATCH(C262,Processos!$A$8:$A$17,0)),1)</f>
        <v>1.034</v>
      </c>
      <c r="Q262" s="24">
        <f>IFERROR(INDEX(Matriz!$C$28:$C$33,MATCH(G262,Matriz!$A$28:$A$33,0)),0)</f>
        <v>-0.3</v>
      </c>
      <c r="R262" s="25" t="str">
        <f t="shared" si="16"/>
        <v/>
      </c>
      <c r="S262" s="10" t="str">
        <f>IF(R262="","",IF(R262&gt;=Matriz!$C$19,4,IF(R262&gt;=Matriz!$C$18,3,IF(R262&gt;=Matriz!$C$17,2,1))))</f>
        <v/>
      </c>
      <c r="T262" s="9" t="str">
        <f>IF(S262="","",MAX(S262,IF(I262=5,Matriz!$C$23,0),IF(N262="Sim",Matriz!$C$24,0)))</f>
        <v/>
      </c>
      <c r="U262" s="9" t="str">
        <f t="shared" si="17"/>
        <v/>
      </c>
      <c r="V262" s="26" t="str">
        <f t="shared" si="18"/>
        <v/>
      </c>
      <c r="W262" s="10" t="str">
        <f t="shared" si="19"/>
        <v/>
      </c>
      <c r="X262" s="4"/>
      <c r="Y262" s="4"/>
    </row>
    <row r="263" spans="1:25" ht="28.05" hidden="1" customHeight="1" x14ac:dyDescent="0.3">
      <c r="A263" s="20" t="s">
        <v>710</v>
      </c>
      <c r="B263" s="21" t="s">
        <v>711</v>
      </c>
      <c r="C263" s="4" t="s">
        <v>134</v>
      </c>
      <c r="D263" s="4" t="s">
        <v>657</v>
      </c>
      <c r="E263" s="4" t="s">
        <v>186</v>
      </c>
      <c r="F263" s="22">
        <v>46326</v>
      </c>
      <c r="G263" s="23" t="s">
        <v>108</v>
      </c>
      <c r="H263" s="6"/>
      <c r="I263" s="6"/>
      <c r="J263" s="6"/>
      <c r="K263" s="6"/>
      <c r="L263" s="6"/>
      <c r="M263" s="6"/>
      <c r="N263" s="6"/>
      <c r="O263" s="16" t="str">
        <f>IF(COUNT(I263:M263)&lt;5,"",ROUND((I263*Matriz!$C$5+J263*Matriz!$C$6+K263*Matriz!$C$7+L263*Matriz!$C$8+M263*Matriz!$C$9)/SUM(Matriz!$C$5:$C$9),2))</f>
        <v/>
      </c>
      <c r="P263" s="17">
        <f>IFERROR(INDEX(Processos!$F$8:$F$17,MATCH(C263,Processos!$A$8:$A$17,0)),1)</f>
        <v>1.034</v>
      </c>
      <c r="Q263" s="24">
        <f>IFERROR(INDEX(Matriz!$C$28:$C$33,MATCH(G263,Matriz!$A$28:$A$33,0)),0)</f>
        <v>-0.3</v>
      </c>
      <c r="R263" s="25" t="str">
        <f t="shared" si="16"/>
        <v/>
      </c>
      <c r="S263" s="10" t="str">
        <f>IF(R263="","",IF(R263&gt;=Matriz!$C$19,4,IF(R263&gt;=Matriz!$C$18,3,IF(R263&gt;=Matriz!$C$17,2,1))))</f>
        <v/>
      </c>
      <c r="T263" s="9" t="str">
        <f>IF(S263="","",MAX(S263,IF(I263=5,Matriz!$C$23,0),IF(N263="Sim",Matriz!$C$24,0)))</f>
        <v/>
      </c>
      <c r="U263" s="9" t="str">
        <f t="shared" si="17"/>
        <v/>
      </c>
      <c r="V263" s="26" t="str">
        <f t="shared" si="18"/>
        <v/>
      </c>
      <c r="W263" s="10" t="str">
        <f t="shared" si="19"/>
        <v/>
      </c>
      <c r="X263" s="4"/>
      <c r="Y263" s="4"/>
    </row>
    <row r="264" spans="1:25" ht="28.05" hidden="1" customHeight="1" x14ac:dyDescent="0.3">
      <c r="A264" s="20" t="s">
        <v>712</v>
      </c>
      <c r="B264" s="21" t="s">
        <v>713</v>
      </c>
      <c r="C264" s="4" t="s">
        <v>134</v>
      </c>
      <c r="D264" s="4" t="s">
        <v>563</v>
      </c>
      <c r="E264" s="4" t="s">
        <v>186</v>
      </c>
      <c r="F264" s="22">
        <v>46418</v>
      </c>
      <c r="G264" s="23" t="s">
        <v>102</v>
      </c>
      <c r="H264" s="6"/>
      <c r="I264" s="6"/>
      <c r="J264" s="6"/>
      <c r="K264" s="6"/>
      <c r="L264" s="6"/>
      <c r="M264" s="6"/>
      <c r="N264" s="6"/>
      <c r="O264" s="16" t="str">
        <f>IF(COUNT(I264:M264)&lt;5,"",ROUND((I264*Matriz!$C$5+J264*Matriz!$C$6+K264*Matriz!$C$7+L264*Matriz!$C$8+M264*Matriz!$C$9)/SUM(Matriz!$C$5:$C$9),2))</f>
        <v/>
      </c>
      <c r="P264" s="17">
        <f>IFERROR(INDEX(Processos!$F$8:$F$17,MATCH(C264,Processos!$A$8:$A$17,0)),1)</f>
        <v>1.034</v>
      </c>
      <c r="Q264" s="24">
        <f>IFERROR(INDEX(Matriz!$C$28:$C$33,MATCH(G264,Matriz!$A$28:$A$33,0)),0)</f>
        <v>0</v>
      </c>
      <c r="R264" s="25" t="str">
        <f t="shared" si="16"/>
        <v/>
      </c>
      <c r="S264" s="10" t="str">
        <f>IF(R264="","",IF(R264&gt;=Matriz!$C$19,4,IF(R264&gt;=Matriz!$C$18,3,IF(R264&gt;=Matriz!$C$17,2,1))))</f>
        <v/>
      </c>
      <c r="T264" s="9" t="str">
        <f>IF(S264="","",MAX(S264,IF(I264=5,Matriz!$C$23,0),IF(N264="Sim",Matriz!$C$24,0)))</f>
        <v/>
      </c>
      <c r="U264" s="9" t="str">
        <f t="shared" si="17"/>
        <v/>
      </c>
      <c r="V264" s="26" t="str">
        <f t="shared" si="18"/>
        <v/>
      </c>
      <c r="W264" s="10" t="str">
        <f t="shared" si="19"/>
        <v/>
      </c>
      <c r="X264" s="4"/>
      <c r="Y264" s="4"/>
    </row>
    <row r="265" spans="1:25" ht="28.05" hidden="1" customHeight="1" x14ac:dyDescent="0.3">
      <c r="A265" s="20" t="s">
        <v>714</v>
      </c>
      <c r="B265" s="21" t="s">
        <v>715</v>
      </c>
      <c r="C265" s="4" t="s">
        <v>134</v>
      </c>
      <c r="D265" s="4" t="s">
        <v>388</v>
      </c>
      <c r="E265" s="4" t="s">
        <v>186</v>
      </c>
      <c r="F265" s="22">
        <v>46387</v>
      </c>
      <c r="G265" s="23" t="s">
        <v>98</v>
      </c>
      <c r="H265" s="6"/>
      <c r="I265" s="6"/>
      <c r="J265" s="6"/>
      <c r="K265" s="6"/>
      <c r="L265" s="6"/>
      <c r="M265" s="6"/>
      <c r="N265" s="6"/>
      <c r="O265" s="16" t="str">
        <f>IF(COUNT(I265:M265)&lt;5,"",ROUND((I265*Matriz!$C$5+J265*Matriz!$C$6+K265*Matriz!$C$7+L265*Matriz!$C$8+M265*Matriz!$C$9)/SUM(Matriz!$C$5:$C$9),2))</f>
        <v/>
      </c>
      <c r="P265" s="17">
        <f>IFERROR(INDEX(Processos!$F$8:$F$17,MATCH(C265,Processos!$A$8:$A$17,0)),1)</f>
        <v>1.034</v>
      </c>
      <c r="Q265" s="24">
        <f>IFERROR(INDEX(Matriz!$C$28:$C$33,MATCH(G265,Matriz!$A$28:$A$33,0)),0)</f>
        <v>0.3</v>
      </c>
      <c r="R265" s="25" t="str">
        <f t="shared" si="16"/>
        <v/>
      </c>
      <c r="S265" s="10" t="str">
        <f>IF(R265="","",IF(R265&gt;=Matriz!$C$19,4,IF(R265&gt;=Matriz!$C$18,3,IF(R265&gt;=Matriz!$C$17,2,1))))</f>
        <v/>
      </c>
      <c r="T265" s="9" t="str">
        <f>IF(S265="","",MAX(S265,IF(I265=5,Matriz!$C$23,0),IF(N265="Sim",Matriz!$C$24,0)))</f>
        <v/>
      </c>
      <c r="U265" s="9" t="str">
        <f t="shared" si="17"/>
        <v/>
      </c>
      <c r="V265" s="26" t="str">
        <f t="shared" si="18"/>
        <v/>
      </c>
      <c r="W265" s="10" t="str">
        <f t="shared" si="19"/>
        <v/>
      </c>
      <c r="X265" s="4"/>
      <c r="Y265" s="4"/>
    </row>
    <row r="266" spans="1:25" ht="28.05" hidden="1" customHeight="1" x14ac:dyDescent="0.3">
      <c r="A266" s="20" t="s">
        <v>716</v>
      </c>
      <c r="B266" s="21" t="s">
        <v>717</v>
      </c>
      <c r="C266" s="4" t="s">
        <v>134</v>
      </c>
      <c r="D266" s="4" t="s">
        <v>213</v>
      </c>
      <c r="E266" s="4" t="s">
        <v>186</v>
      </c>
      <c r="F266" s="22">
        <v>46326</v>
      </c>
      <c r="G266" s="23" t="s">
        <v>104</v>
      </c>
      <c r="H266" s="6"/>
      <c r="I266" s="6"/>
      <c r="J266" s="6"/>
      <c r="K266" s="6"/>
      <c r="L266" s="6"/>
      <c r="M266" s="6"/>
      <c r="N266" s="6"/>
      <c r="O266" s="16" t="str">
        <f>IF(COUNT(I266:M266)&lt;5,"",ROUND((I266*Matriz!$C$5+J266*Matriz!$C$6+K266*Matriz!$C$7+L266*Matriz!$C$8+M266*Matriz!$C$9)/SUM(Matriz!$C$5:$C$9),2))</f>
        <v/>
      </c>
      <c r="P266" s="17">
        <f>IFERROR(INDEX(Processos!$F$8:$F$17,MATCH(C266,Processos!$A$8:$A$17,0)),1)</f>
        <v>1.034</v>
      </c>
      <c r="Q266" s="24">
        <f>IFERROR(INDEX(Matriz!$C$28:$C$33,MATCH(G266,Matriz!$A$28:$A$33,0)),0)</f>
        <v>0</v>
      </c>
      <c r="R266" s="25" t="str">
        <f t="shared" si="16"/>
        <v/>
      </c>
      <c r="S266" s="10" t="str">
        <f>IF(R266="","",IF(R266&gt;=Matriz!$C$19,4,IF(R266&gt;=Matriz!$C$18,3,IF(R266&gt;=Matriz!$C$17,2,1))))</f>
        <v/>
      </c>
      <c r="T266" s="9" t="str">
        <f>IF(S266="","",MAX(S266,IF(I266=5,Matriz!$C$23,0),IF(N266="Sim",Matriz!$C$24,0)))</f>
        <v/>
      </c>
      <c r="U266" s="9" t="str">
        <f t="shared" si="17"/>
        <v/>
      </c>
      <c r="V266" s="26" t="str">
        <f t="shared" si="18"/>
        <v/>
      </c>
      <c r="W266" s="10" t="str">
        <f t="shared" si="19"/>
        <v/>
      </c>
      <c r="X266" s="4"/>
      <c r="Y266" s="4"/>
    </row>
    <row r="267" spans="1:25" ht="28.05" hidden="1" customHeight="1" x14ac:dyDescent="0.3">
      <c r="A267" s="20" t="s">
        <v>718</v>
      </c>
      <c r="B267" s="21" t="s">
        <v>719</v>
      </c>
      <c r="C267" s="4" t="s">
        <v>134</v>
      </c>
      <c r="D267" s="4" t="s">
        <v>563</v>
      </c>
      <c r="E267" s="4" t="s">
        <v>186</v>
      </c>
      <c r="F267" s="22">
        <v>46325</v>
      </c>
      <c r="G267" s="23" t="s">
        <v>98</v>
      </c>
      <c r="H267" s="6"/>
      <c r="I267" s="6"/>
      <c r="J267" s="6"/>
      <c r="K267" s="6"/>
      <c r="L267" s="6"/>
      <c r="M267" s="6"/>
      <c r="N267" s="6"/>
      <c r="O267" s="16" t="str">
        <f>IF(COUNT(I267:M267)&lt;5,"",ROUND((I267*Matriz!$C$5+J267*Matriz!$C$6+K267*Matriz!$C$7+L267*Matriz!$C$8+M267*Matriz!$C$9)/SUM(Matriz!$C$5:$C$9),2))</f>
        <v/>
      </c>
      <c r="P267" s="17">
        <f>IFERROR(INDEX(Processos!$F$8:$F$17,MATCH(C267,Processos!$A$8:$A$17,0)),1)</f>
        <v>1.034</v>
      </c>
      <c r="Q267" s="24">
        <f>IFERROR(INDEX(Matriz!$C$28:$C$33,MATCH(G267,Matriz!$A$28:$A$33,0)),0)</f>
        <v>0.3</v>
      </c>
      <c r="R267" s="25" t="str">
        <f t="shared" si="16"/>
        <v/>
      </c>
      <c r="S267" s="10" t="str">
        <f>IF(R267="","",IF(R267&gt;=Matriz!$C$19,4,IF(R267&gt;=Matriz!$C$18,3,IF(R267&gt;=Matriz!$C$17,2,1))))</f>
        <v/>
      </c>
      <c r="T267" s="9" t="str">
        <f>IF(S267="","",MAX(S267,IF(I267=5,Matriz!$C$23,0),IF(N267="Sim",Matriz!$C$24,0)))</f>
        <v/>
      </c>
      <c r="U267" s="9" t="str">
        <f t="shared" si="17"/>
        <v/>
      </c>
      <c r="V267" s="26" t="str">
        <f t="shared" si="18"/>
        <v/>
      </c>
      <c r="W267" s="10" t="str">
        <f t="shared" si="19"/>
        <v/>
      </c>
      <c r="X267" s="4"/>
      <c r="Y267" s="4"/>
    </row>
    <row r="268" spans="1:25" ht="28.05" hidden="1" customHeight="1" x14ac:dyDescent="0.3">
      <c r="A268" s="20" t="s">
        <v>720</v>
      </c>
      <c r="B268" s="21" t="s">
        <v>721</v>
      </c>
      <c r="C268" s="4" t="s">
        <v>134</v>
      </c>
      <c r="D268" s="4" t="s">
        <v>657</v>
      </c>
      <c r="E268" s="4" t="s">
        <v>186</v>
      </c>
      <c r="F268" s="22">
        <v>46418</v>
      </c>
      <c r="G268" s="23" t="s">
        <v>102</v>
      </c>
      <c r="H268" s="6"/>
      <c r="I268" s="6"/>
      <c r="J268" s="6"/>
      <c r="K268" s="6"/>
      <c r="L268" s="6"/>
      <c r="M268" s="6"/>
      <c r="N268" s="6"/>
      <c r="O268" s="16" t="str">
        <f>IF(COUNT(I268:M268)&lt;5,"",ROUND((I268*Matriz!$C$5+J268*Matriz!$C$6+K268*Matriz!$C$7+L268*Matriz!$C$8+M268*Matriz!$C$9)/SUM(Matriz!$C$5:$C$9),2))</f>
        <v/>
      </c>
      <c r="P268" s="17">
        <f>IFERROR(INDEX(Processos!$F$8:$F$17,MATCH(C268,Processos!$A$8:$A$17,0)),1)</f>
        <v>1.034</v>
      </c>
      <c r="Q268" s="24">
        <f>IFERROR(INDEX(Matriz!$C$28:$C$33,MATCH(G268,Matriz!$A$28:$A$33,0)),0)</f>
        <v>0</v>
      </c>
      <c r="R268" s="25" t="str">
        <f t="shared" si="16"/>
        <v/>
      </c>
      <c r="S268" s="10" t="str">
        <f>IF(R268="","",IF(R268&gt;=Matriz!$C$19,4,IF(R268&gt;=Matriz!$C$18,3,IF(R268&gt;=Matriz!$C$17,2,1))))</f>
        <v/>
      </c>
      <c r="T268" s="9" t="str">
        <f>IF(S268="","",MAX(S268,IF(I268=5,Matriz!$C$23,0),IF(N268="Sim",Matriz!$C$24,0)))</f>
        <v/>
      </c>
      <c r="U268" s="9" t="str">
        <f t="shared" si="17"/>
        <v/>
      </c>
      <c r="V268" s="26" t="str">
        <f t="shared" si="18"/>
        <v/>
      </c>
      <c r="W268" s="10" t="str">
        <f t="shared" si="19"/>
        <v/>
      </c>
      <c r="X268" s="4"/>
      <c r="Y268" s="4"/>
    </row>
    <row r="269" spans="1:25" ht="28.05" hidden="1" customHeight="1" x14ac:dyDescent="0.3">
      <c r="A269" s="20" t="s">
        <v>722</v>
      </c>
      <c r="B269" s="21" t="s">
        <v>723</v>
      </c>
      <c r="C269" s="4" t="s">
        <v>134</v>
      </c>
      <c r="D269" s="4" t="s">
        <v>657</v>
      </c>
      <c r="E269" s="4" t="s">
        <v>186</v>
      </c>
      <c r="F269" s="22">
        <v>46387</v>
      </c>
      <c r="G269" s="23" t="s">
        <v>104</v>
      </c>
      <c r="H269" s="6"/>
      <c r="I269" s="6"/>
      <c r="J269" s="6"/>
      <c r="K269" s="6"/>
      <c r="L269" s="6"/>
      <c r="M269" s="6"/>
      <c r="N269" s="6"/>
      <c r="O269" s="16" t="str">
        <f>IF(COUNT(I269:M269)&lt;5,"",ROUND((I269*Matriz!$C$5+J269*Matriz!$C$6+K269*Matriz!$C$7+L269*Matriz!$C$8+M269*Matriz!$C$9)/SUM(Matriz!$C$5:$C$9),2))</f>
        <v/>
      </c>
      <c r="P269" s="17">
        <f>IFERROR(INDEX(Processos!$F$8:$F$17,MATCH(C269,Processos!$A$8:$A$17,0)),1)</f>
        <v>1.034</v>
      </c>
      <c r="Q269" s="24">
        <f>IFERROR(INDEX(Matriz!$C$28:$C$33,MATCH(G269,Matriz!$A$28:$A$33,0)),0)</f>
        <v>0</v>
      </c>
      <c r="R269" s="25" t="str">
        <f t="shared" si="16"/>
        <v/>
      </c>
      <c r="S269" s="10" t="str">
        <f>IF(R269="","",IF(R269&gt;=Matriz!$C$19,4,IF(R269&gt;=Matriz!$C$18,3,IF(R269&gt;=Matriz!$C$17,2,1))))</f>
        <v/>
      </c>
      <c r="T269" s="9" t="str">
        <f>IF(S269="","",MAX(S269,IF(I269=5,Matriz!$C$23,0),IF(N269="Sim",Matriz!$C$24,0)))</f>
        <v/>
      </c>
      <c r="U269" s="9" t="str">
        <f t="shared" si="17"/>
        <v/>
      </c>
      <c r="V269" s="26" t="str">
        <f t="shared" si="18"/>
        <v/>
      </c>
      <c r="W269" s="10" t="str">
        <f t="shared" si="19"/>
        <v/>
      </c>
      <c r="X269" s="4"/>
      <c r="Y269" s="4"/>
    </row>
    <row r="270" spans="1:25" ht="28.05" hidden="1" customHeight="1" x14ac:dyDescent="0.3">
      <c r="A270" s="20" t="s">
        <v>724</v>
      </c>
      <c r="B270" s="21" t="s">
        <v>725</v>
      </c>
      <c r="C270" s="4" t="s">
        <v>134</v>
      </c>
      <c r="D270" s="4" t="s">
        <v>657</v>
      </c>
      <c r="E270" s="4" t="s">
        <v>186</v>
      </c>
      <c r="F270" s="22">
        <v>46387</v>
      </c>
      <c r="G270" s="23" t="s">
        <v>106</v>
      </c>
      <c r="H270" s="6"/>
      <c r="I270" s="6"/>
      <c r="J270" s="6"/>
      <c r="K270" s="6"/>
      <c r="L270" s="6"/>
      <c r="M270" s="6"/>
      <c r="N270" s="6"/>
      <c r="O270" s="16" t="str">
        <f>IF(COUNT(I270:M270)&lt;5,"",ROUND((I270*Matriz!$C$5+J270*Matriz!$C$6+K270*Matriz!$C$7+L270*Matriz!$C$8+M270*Matriz!$C$9)/SUM(Matriz!$C$5:$C$9),2))</f>
        <v/>
      </c>
      <c r="P270" s="17">
        <f>IFERROR(INDEX(Processos!$F$8:$F$17,MATCH(C270,Processos!$A$8:$A$17,0)),1)</f>
        <v>1.034</v>
      </c>
      <c r="Q270" s="24">
        <f>IFERROR(INDEX(Matriz!$C$28:$C$33,MATCH(G270,Matriz!$A$28:$A$33,0)),0)</f>
        <v>-0.2</v>
      </c>
      <c r="R270" s="25" t="str">
        <f t="shared" si="16"/>
        <v/>
      </c>
      <c r="S270" s="10" t="str">
        <f>IF(R270="","",IF(R270&gt;=Matriz!$C$19,4,IF(R270&gt;=Matriz!$C$18,3,IF(R270&gt;=Matriz!$C$17,2,1))))</f>
        <v/>
      </c>
      <c r="T270" s="9" t="str">
        <f>IF(S270="","",MAX(S270,IF(I270=5,Matriz!$C$23,0),IF(N270="Sim",Matriz!$C$24,0)))</f>
        <v/>
      </c>
      <c r="U270" s="9" t="str">
        <f t="shared" si="17"/>
        <v/>
      </c>
      <c r="V270" s="26" t="str">
        <f t="shared" si="18"/>
        <v/>
      </c>
      <c r="W270" s="10" t="str">
        <f t="shared" si="19"/>
        <v/>
      </c>
      <c r="X270" s="4"/>
      <c r="Y270" s="4"/>
    </row>
    <row r="271" spans="1:25" ht="28.05" hidden="1" customHeight="1" x14ac:dyDescent="0.3">
      <c r="A271" s="20" t="s">
        <v>726</v>
      </c>
      <c r="B271" s="21" t="s">
        <v>727</v>
      </c>
      <c r="C271" s="4" t="s">
        <v>134</v>
      </c>
      <c r="D271" s="4" t="s">
        <v>657</v>
      </c>
      <c r="E271" s="4" t="s">
        <v>186</v>
      </c>
      <c r="F271" s="22">
        <v>46326</v>
      </c>
      <c r="G271" s="23" t="s">
        <v>106</v>
      </c>
      <c r="H271" s="6"/>
      <c r="I271" s="6"/>
      <c r="J271" s="6"/>
      <c r="K271" s="6"/>
      <c r="L271" s="6"/>
      <c r="M271" s="6"/>
      <c r="N271" s="6"/>
      <c r="O271" s="16" t="str">
        <f>IF(COUNT(I271:M271)&lt;5,"",ROUND((I271*Matriz!$C$5+J271*Matriz!$C$6+K271*Matriz!$C$7+L271*Matriz!$C$8+M271*Matriz!$C$9)/SUM(Matriz!$C$5:$C$9),2))</f>
        <v/>
      </c>
      <c r="P271" s="17">
        <f>IFERROR(INDEX(Processos!$F$8:$F$17,MATCH(C271,Processos!$A$8:$A$17,0)),1)</f>
        <v>1.034</v>
      </c>
      <c r="Q271" s="24">
        <f>IFERROR(INDEX(Matriz!$C$28:$C$33,MATCH(G271,Matriz!$A$28:$A$33,0)),0)</f>
        <v>-0.2</v>
      </c>
      <c r="R271" s="25" t="str">
        <f t="shared" si="16"/>
        <v/>
      </c>
      <c r="S271" s="10" t="str">
        <f>IF(R271="","",IF(R271&gt;=Matriz!$C$19,4,IF(R271&gt;=Matriz!$C$18,3,IF(R271&gt;=Matriz!$C$17,2,1))))</f>
        <v/>
      </c>
      <c r="T271" s="9" t="str">
        <f>IF(S271="","",MAX(S271,IF(I271=5,Matriz!$C$23,0),IF(N271="Sim",Matriz!$C$24,0)))</f>
        <v/>
      </c>
      <c r="U271" s="9" t="str">
        <f t="shared" si="17"/>
        <v/>
      </c>
      <c r="V271" s="26" t="str">
        <f t="shared" si="18"/>
        <v/>
      </c>
      <c r="W271" s="10" t="str">
        <f t="shared" si="19"/>
        <v/>
      </c>
      <c r="X271" s="4"/>
      <c r="Y271" s="4"/>
    </row>
    <row r="272" spans="1:25" ht="28.05" hidden="1" customHeight="1" x14ac:dyDescent="0.3">
      <c r="A272" s="20" t="s">
        <v>728</v>
      </c>
      <c r="B272" s="21" t="s">
        <v>729</v>
      </c>
      <c r="C272" s="4" t="s">
        <v>134</v>
      </c>
      <c r="D272" s="4" t="s">
        <v>563</v>
      </c>
      <c r="E272" s="4" t="s">
        <v>186</v>
      </c>
      <c r="F272" s="22">
        <v>46325</v>
      </c>
      <c r="G272" s="23" t="s">
        <v>98</v>
      </c>
      <c r="H272" s="6"/>
      <c r="I272" s="6"/>
      <c r="J272" s="6"/>
      <c r="K272" s="6"/>
      <c r="L272" s="6"/>
      <c r="M272" s="6"/>
      <c r="N272" s="6"/>
      <c r="O272" s="16" t="str">
        <f>IF(COUNT(I272:M272)&lt;5,"",ROUND((I272*Matriz!$C$5+J272*Matriz!$C$6+K272*Matriz!$C$7+L272*Matriz!$C$8+M272*Matriz!$C$9)/SUM(Matriz!$C$5:$C$9),2))</f>
        <v/>
      </c>
      <c r="P272" s="17">
        <f>IFERROR(INDEX(Processos!$F$8:$F$17,MATCH(C272,Processos!$A$8:$A$17,0)),1)</f>
        <v>1.034</v>
      </c>
      <c r="Q272" s="24">
        <f>IFERROR(INDEX(Matriz!$C$28:$C$33,MATCH(G272,Matriz!$A$28:$A$33,0)),0)</f>
        <v>0.3</v>
      </c>
      <c r="R272" s="25" t="str">
        <f t="shared" si="16"/>
        <v/>
      </c>
      <c r="S272" s="10" t="str">
        <f>IF(R272="","",IF(R272&gt;=Matriz!$C$19,4,IF(R272&gt;=Matriz!$C$18,3,IF(R272&gt;=Matriz!$C$17,2,1))))</f>
        <v/>
      </c>
      <c r="T272" s="9" t="str">
        <f>IF(S272="","",MAX(S272,IF(I272=5,Matriz!$C$23,0),IF(N272="Sim",Matriz!$C$24,0)))</f>
        <v/>
      </c>
      <c r="U272" s="9" t="str">
        <f t="shared" si="17"/>
        <v/>
      </c>
      <c r="V272" s="26" t="str">
        <f t="shared" si="18"/>
        <v/>
      </c>
      <c r="W272" s="10" t="str">
        <f t="shared" si="19"/>
        <v/>
      </c>
      <c r="X272" s="4"/>
      <c r="Y272" s="4"/>
    </row>
    <row r="273" spans="1:25" ht="28.05" hidden="1" customHeight="1" x14ac:dyDescent="0.3">
      <c r="A273" s="20" t="s">
        <v>730</v>
      </c>
      <c r="B273" s="21" t="s">
        <v>731</v>
      </c>
      <c r="C273" s="4" t="s">
        <v>134</v>
      </c>
      <c r="D273" s="4" t="s">
        <v>664</v>
      </c>
      <c r="E273" s="4" t="s">
        <v>186</v>
      </c>
      <c r="F273" s="22">
        <v>46356</v>
      </c>
      <c r="G273" s="23" t="s">
        <v>104</v>
      </c>
      <c r="H273" s="6"/>
      <c r="I273" s="6"/>
      <c r="J273" s="6"/>
      <c r="K273" s="6"/>
      <c r="L273" s="6"/>
      <c r="M273" s="6"/>
      <c r="N273" s="6"/>
      <c r="O273" s="16" t="str">
        <f>IF(COUNT(I273:M273)&lt;5,"",ROUND((I273*Matriz!$C$5+J273*Matriz!$C$6+K273*Matriz!$C$7+L273*Matriz!$C$8+M273*Matriz!$C$9)/SUM(Matriz!$C$5:$C$9),2))</f>
        <v/>
      </c>
      <c r="P273" s="17">
        <f>IFERROR(INDEX(Processos!$F$8:$F$17,MATCH(C273,Processos!$A$8:$A$17,0)),1)</f>
        <v>1.034</v>
      </c>
      <c r="Q273" s="24">
        <f>IFERROR(INDEX(Matriz!$C$28:$C$33,MATCH(G273,Matriz!$A$28:$A$33,0)),0)</f>
        <v>0</v>
      </c>
      <c r="R273" s="25" t="str">
        <f t="shared" si="16"/>
        <v/>
      </c>
      <c r="S273" s="10" t="str">
        <f>IF(R273="","",IF(R273&gt;=Matriz!$C$19,4,IF(R273&gt;=Matriz!$C$18,3,IF(R273&gt;=Matriz!$C$17,2,1))))</f>
        <v/>
      </c>
      <c r="T273" s="9" t="str">
        <f>IF(S273="","",MAX(S273,IF(I273=5,Matriz!$C$23,0),IF(N273="Sim",Matriz!$C$24,0)))</f>
        <v/>
      </c>
      <c r="U273" s="9" t="str">
        <f t="shared" si="17"/>
        <v/>
      </c>
      <c r="V273" s="26" t="str">
        <f t="shared" si="18"/>
        <v/>
      </c>
      <c r="W273" s="10" t="str">
        <f t="shared" si="19"/>
        <v/>
      </c>
      <c r="X273" s="4"/>
      <c r="Y273" s="4"/>
    </row>
    <row r="274" spans="1:25" ht="28.05" hidden="1" customHeight="1" x14ac:dyDescent="0.3">
      <c r="A274" s="20" t="s">
        <v>732</v>
      </c>
      <c r="B274" s="21" t="s">
        <v>733</v>
      </c>
      <c r="C274" s="4" t="s">
        <v>134</v>
      </c>
      <c r="D274" s="4" t="s">
        <v>697</v>
      </c>
      <c r="E274" s="4" t="s">
        <v>186</v>
      </c>
      <c r="F274" s="22">
        <v>46326</v>
      </c>
      <c r="G274" s="23" t="s">
        <v>104</v>
      </c>
      <c r="H274" s="6"/>
      <c r="I274" s="6"/>
      <c r="J274" s="6"/>
      <c r="K274" s="6"/>
      <c r="L274" s="6"/>
      <c r="M274" s="6"/>
      <c r="N274" s="6"/>
      <c r="O274" s="16" t="str">
        <f>IF(COUNT(I274:M274)&lt;5,"",ROUND((I274*Matriz!$C$5+J274*Matriz!$C$6+K274*Matriz!$C$7+L274*Matriz!$C$8+M274*Matriz!$C$9)/SUM(Matriz!$C$5:$C$9),2))</f>
        <v/>
      </c>
      <c r="P274" s="17">
        <f>IFERROR(INDEX(Processos!$F$8:$F$17,MATCH(C274,Processos!$A$8:$A$17,0)),1)</f>
        <v>1.034</v>
      </c>
      <c r="Q274" s="24">
        <f>IFERROR(INDEX(Matriz!$C$28:$C$33,MATCH(G274,Matriz!$A$28:$A$33,0)),0)</f>
        <v>0</v>
      </c>
      <c r="R274" s="25" t="str">
        <f t="shared" si="16"/>
        <v/>
      </c>
      <c r="S274" s="10" t="str">
        <f>IF(R274="","",IF(R274&gt;=Matriz!$C$19,4,IF(R274&gt;=Matriz!$C$18,3,IF(R274&gt;=Matriz!$C$17,2,1))))</f>
        <v/>
      </c>
      <c r="T274" s="9" t="str">
        <f>IF(S274="","",MAX(S274,IF(I274=5,Matriz!$C$23,0),IF(N274="Sim",Matriz!$C$24,0)))</f>
        <v/>
      </c>
      <c r="U274" s="9" t="str">
        <f t="shared" si="17"/>
        <v/>
      </c>
      <c r="V274" s="26" t="str">
        <f t="shared" si="18"/>
        <v/>
      </c>
      <c r="W274" s="10" t="str">
        <f t="shared" si="19"/>
        <v/>
      </c>
      <c r="X274" s="4"/>
      <c r="Y274" s="4"/>
    </row>
    <row r="275" spans="1:25" ht="28.05" hidden="1" customHeight="1" x14ac:dyDescent="0.3">
      <c r="A275" s="20" t="s">
        <v>734</v>
      </c>
      <c r="B275" s="21" t="s">
        <v>735</v>
      </c>
      <c r="C275" s="4" t="s">
        <v>134</v>
      </c>
      <c r="D275" s="4" t="s">
        <v>223</v>
      </c>
      <c r="E275" s="4" t="s">
        <v>226</v>
      </c>
      <c r="F275" s="22"/>
      <c r="G275" s="23" t="s">
        <v>98</v>
      </c>
      <c r="H275" s="6"/>
      <c r="I275" s="6"/>
      <c r="J275" s="6"/>
      <c r="K275" s="6"/>
      <c r="L275" s="6"/>
      <c r="M275" s="6"/>
      <c r="N275" s="6"/>
      <c r="O275" s="16" t="str">
        <f>IF(COUNT(I275:M275)&lt;5,"",ROUND((I275*Matriz!$C$5+J275*Matriz!$C$6+K275*Matriz!$C$7+L275*Matriz!$C$8+M275*Matriz!$C$9)/SUM(Matriz!$C$5:$C$9),2))</f>
        <v/>
      </c>
      <c r="P275" s="17">
        <f>IFERROR(INDEX(Processos!$F$8:$F$17,MATCH(C275,Processos!$A$8:$A$17,0)),1)</f>
        <v>1.034</v>
      </c>
      <c r="Q275" s="24">
        <f>IFERROR(INDEX(Matriz!$C$28:$C$33,MATCH(G275,Matriz!$A$28:$A$33,0)),0)</f>
        <v>0.3</v>
      </c>
      <c r="R275" s="25" t="str">
        <f t="shared" si="16"/>
        <v/>
      </c>
      <c r="S275" s="10" t="str">
        <f>IF(R275="","",IF(R275&gt;=Matriz!$C$19,4,IF(R275&gt;=Matriz!$C$18,3,IF(R275&gt;=Matriz!$C$17,2,1))))</f>
        <v/>
      </c>
      <c r="T275" s="9" t="str">
        <f>IF(S275="","",MAX(S275,IF(I275=5,Matriz!$C$23,0),IF(N275="Sim",Matriz!$C$24,0)))</f>
        <v/>
      </c>
      <c r="U275" s="9" t="str">
        <f t="shared" si="17"/>
        <v/>
      </c>
      <c r="V275" s="26" t="str">
        <f t="shared" si="18"/>
        <v/>
      </c>
      <c r="W275" s="10" t="str">
        <f t="shared" si="19"/>
        <v/>
      </c>
      <c r="X275" s="4"/>
      <c r="Y275" s="4"/>
    </row>
    <row r="276" spans="1:25" ht="28.05" hidden="1" customHeight="1" x14ac:dyDescent="0.3">
      <c r="A276" s="20" t="s">
        <v>736</v>
      </c>
      <c r="B276" s="21" t="s">
        <v>737</v>
      </c>
      <c r="C276" s="4" t="s">
        <v>134</v>
      </c>
      <c r="D276" s="4" t="s">
        <v>213</v>
      </c>
      <c r="E276" s="4" t="s">
        <v>226</v>
      </c>
      <c r="F276" s="22"/>
      <c r="G276" s="23" t="s">
        <v>104</v>
      </c>
      <c r="H276" s="6"/>
      <c r="I276" s="6"/>
      <c r="J276" s="6"/>
      <c r="K276" s="6"/>
      <c r="L276" s="6"/>
      <c r="M276" s="6"/>
      <c r="N276" s="6"/>
      <c r="O276" s="16" t="str">
        <f>IF(COUNT(I276:M276)&lt;5,"",ROUND((I276*Matriz!$C$5+J276*Matriz!$C$6+K276*Matriz!$C$7+L276*Matriz!$C$8+M276*Matriz!$C$9)/SUM(Matriz!$C$5:$C$9),2))</f>
        <v/>
      </c>
      <c r="P276" s="17">
        <f>IFERROR(INDEX(Processos!$F$8:$F$17,MATCH(C276,Processos!$A$8:$A$17,0)),1)</f>
        <v>1.034</v>
      </c>
      <c r="Q276" s="24">
        <f>IFERROR(INDEX(Matriz!$C$28:$C$33,MATCH(G276,Matriz!$A$28:$A$33,0)),0)</f>
        <v>0</v>
      </c>
      <c r="R276" s="25" t="str">
        <f t="shared" si="16"/>
        <v/>
      </c>
      <c r="S276" s="10" t="str">
        <f>IF(R276="","",IF(R276&gt;=Matriz!$C$19,4,IF(R276&gt;=Matriz!$C$18,3,IF(R276&gt;=Matriz!$C$17,2,1))))</f>
        <v/>
      </c>
      <c r="T276" s="9" t="str">
        <f>IF(S276="","",MAX(S276,IF(I276=5,Matriz!$C$23,0),IF(N276="Sim",Matriz!$C$24,0)))</f>
        <v/>
      </c>
      <c r="U276" s="9" t="str">
        <f t="shared" si="17"/>
        <v/>
      </c>
      <c r="V276" s="26" t="str">
        <f t="shared" si="18"/>
        <v/>
      </c>
      <c r="W276" s="10" t="str">
        <f t="shared" si="19"/>
        <v/>
      </c>
      <c r="X276" s="4"/>
      <c r="Y276" s="4"/>
    </row>
    <row r="277" spans="1:25" ht="28.05" hidden="1" customHeight="1" x14ac:dyDescent="0.3">
      <c r="A277" s="20" t="s">
        <v>738</v>
      </c>
      <c r="B277" s="21" t="s">
        <v>739</v>
      </c>
      <c r="C277" s="4" t="s">
        <v>134</v>
      </c>
      <c r="D277" s="4" t="s">
        <v>657</v>
      </c>
      <c r="E277" s="4" t="s">
        <v>226</v>
      </c>
      <c r="F277" s="22"/>
      <c r="G277" s="23" t="s">
        <v>102</v>
      </c>
      <c r="H277" s="6"/>
      <c r="I277" s="6"/>
      <c r="J277" s="6"/>
      <c r="K277" s="6"/>
      <c r="L277" s="6"/>
      <c r="M277" s="6"/>
      <c r="N277" s="6"/>
      <c r="O277" s="16" t="str">
        <f>IF(COUNT(I277:M277)&lt;5,"",ROUND((I277*Matriz!$C$5+J277*Matriz!$C$6+K277*Matriz!$C$7+L277*Matriz!$C$8+M277*Matriz!$C$9)/SUM(Matriz!$C$5:$C$9),2))</f>
        <v/>
      </c>
      <c r="P277" s="17">
        <f>IFERROR(INDEX(Processos!$F$8:$F$17,MATCH(C277,Processos!$A$8:$A$17,0)),1)</f>
        <v>1.034</v>
      </c>
      <c r="Q277" s="24">
        <f>IFERROR(INDEX(Matriz!$C$28:$C$33,MATCH(G277,Matriz!$A$28:$A$33,0)),0)</f>
        <v>0</v>
      </c>
      <c r="R277" s="25" t="str">
        <f t="shared" si="16"/>
        <v/>
      </c>
      <c r="S277" s="10" t="str">
        <f>IF(R277="","",IF(R277&gt;=Matriz!$C$19,4,IF(R277&gt;=Matriz!$C$18,3,IF(R277&gt;=Matriz!$C$17,2,1))))</f>
        <v/>
      </c>
      <c r="T277" s="9" t="str">
        <f>IF(S277="","",MAX(S277,IF(I277=5,Matriz!$C$23,0),IF(N277="Sim",Matriz!$C$24,0)))</f>
        <v/>
      </c>
      <c r="U277" s="9" t="str">
        <f t="shared" si="17"/>
        <v/>
      </c>
      <c r="V277" s="26" t="str">
        <f t="shared" si="18"/>
        <v/>
      </c>
      <c r="W277" s="10" t="str">
        <f t="shared" si="19"/>
        <v/>
      </c>
      <c r="X277" s="4"/>
      <c r="Y277" s="4"/>
    </row>
    <row r="278" spans="1:25" ht="28.05" hidden="1" customHeight="1" x14ac:dyDescent="0.3">
      <c r="A278" s="20" t="s">
        <v>740</v>
      </c>
      <c r="B278" s="21" t="s">
        <v>741</v>
      </c>
      <c r="C278" s="4" t="s">
        <v>134</v>
      </c>
      <c r="D278" s="4" t="s">
        <v>742</v>
      </c>
      <c r="E278" s="4" t="s">
        <v>226</v>
      </c>
      <c r="F278" s="22"/>
      <c r="G278" s="23" t="s">
        <v>104</v>
      </c>
      <c r="H278" s="6"/>
      <c r="I278" s="6"/>
      <c r="J278" s="6"/>
      <c r="K278" s="6"/>
      <c r="L278" s="6"/>
      <c r="M278" s="6"/>
      <c r="N278" s="6"/>
      <c r="O278" s="16" t="str">
        <f>IF(COUNT(I278:M278)&lt;5,"",ROUND((I278*Matriz!$C$5+J278*Matriz!$C$6+K278*Matriz!$C$7+L278*Matriz!$C$8+M278*Matriz!$C$9)/SUM(Matriz!$C$5:$C$9),2))</f>
        <v/>
      </c>
      <c r="P278" s="17">
        <f>IFERROR(INDEX(Processos!$F$8:$F$17,MATCH(C278,Processos!$A$8:$A$17,0)),1)</f>
        <v>1.034</v>
      </c>
      <c r="Q278" s="24">
        <f>IFERROR(INDEX(Matriz!$C$28:$C$33,MATCH(G278,Matriz!$A$28:$A$33,0)),0)</f>
        <v>0</v>
      </c>
      <c r="R278" s="25" t="str">
        <f t="shared" si="16"/>
        <v/>
      </c>
      <c r="S278" s="10" t="str">
        <f>IF(R278="","",IF(R278&gt;=Matriz!$C$19,4,IF(R278&gt;=Matriz!$C$18,3,IF(R278&gt;=Matriz!$C$17,2,1))))</f>
        <v/>
      </c>
      <c r="T278" s="9" t="str">
        <f>IF(S278="","",MAX(S278,IF(I278=5,Matriz!$C$23,0),IF(N278="Sim",Matriz!$C$24,0)))</f>
        <v/>
      </c>
      <c r="U278" s="9" t="str">
        <f t="shared" si="17"/>
        <v/>
      </c>
      <c r="V278" s="26" t="str">
        <f t="shared" si="18"/>
        <v/>
      </c>
      <c r="W278" s="10" t="str">
        <f t="shared" si="19"/>
        <v/>
      </c>
      <c r="X278" s="4"/>
      <c r="Y278" s="4"/>
    </row>
    <row r="279" spans="1:25" ht="28.05" hidden="1" customHeight="1" x14ac:dyDescent="0.3">
      <c r="A279" s="20" t="s">
        <v>743</v>
      </c>
      <c r="B279" s="21" t="s">
        <v>744</v>
      </c>
      <c r="C279" s="4" t="s">
        <v>134</v>
      </c>
      <c r="D279" s="4" t="s">
        <v>229</v>
      </c>
      <c r="E279" s="4" t="s">
        <v>226</v>
      </c>
      <c r="F279" s="22"/>
      <c r="G279" s="23" t="s">
        <v>102</v>
      </c>
      <c r="H279" s="6"/>
      <c r="I279" s="6"/>
      <c r="J279" s="6"/>
      <c r="K279" s="6"/>
      <c r="L279" s="6"/>
      <c r="M279" s="6"/>
      <c r="N279" s="6"/>
      <c r="O279" s="16" t="str">
        <f>IF(COUNT(I279:M279)&lt;5,"",ROUND((I279*Matriz!$C$5+J279*Matriz!$C$6+K279*Matriz!$C$7+L279*Matriz!$C$8+M279*Matriz!$C$9)/SUM(Matriz!$C$5:$C$9),2))</f>
        <v/>
      </c>
      <c r="P279" s="17">
        <f>IFERROR(INDEX(Processos!$F$8:$F$17,MATCH(C279,Processos!$A$8:$A$17,0)),1)</f>
        <v>1.034</v>
      </c>
      <c r="Q279" s="24">
        <f>IFERROR(INDEX(Matriz!$C$28:$C$33,MATCH(G279,Matriz!$A$28:$A$33,0)),0)</f>
        <v>0</v>
      </c>
      <c r="R279" s="25" t="str">
        <f t="shared" si="16"/>
        <v/>
      </c>
      <c r="S279" s="10" t="str">
        <f>IF(R279="","",IF(R279&gt;=Matriz!$C$19,4,IF(R279&gt;=Matriz!$C$18,3,IF(R279&gt;=Matriz!$C$17,2,1))))</f>
        <v/>
      </c>
      <c r="T279" s="9" t="str">
        <f>IF(S279="","",MAX(S279,IF(I279=5,Matriz!$C$23,0),IF(N279="Sim",Matriz!$C$24,0)))</f>
        <v/>
      </c>
      <c r="U279" s="9" t="str">
        <f t="shared" si="17"/>
        <v/>
      </c>
      <c r="V279" s="26" t="str">
        <f t="shared" si="18"/>
        <v/>
      </c>
      <c r="W279" s="10" t="str">
        <f t="shared" si="19"/>
        <v/>
      </c>
      <c r="X279" s="4"/>
      <c r="Y279" s="4"/>
    </row>
    <row r="280" spans="1:25" ht="28.05" hidden="1" customHeight="1" x14ac:dyDescent="0.3">
      <c r="A280" s="20" t="s">
        <v>745</v>
      </c>
      <c r="B280" s="21" t="s">
        <v>746</v>
      </c>
      <c r="C280" s="4" t="s">
        <v>134</v>
      </c>
      <c r="D280" s="4" t="s">
        <v>229</v>
      </c>
      <c r="E280" s="4" t="s">
        <v>226</v>
      </c>
      <c r="F280" s="22"/>
      <c r="G280" s="23" t="s">
        <v>102</v>
      </c>
      <c r="H280" s="6"/>
      <c r="I280" s="6"/>
      <c r="J280" s="6"/>
      <c r="K280" s="6"/>
      <c r="L280" s="6"/>
      <c r="M280" s="6"/>
      <c r="N280" s="6"/>
      <c r="O280" s="16" t="str">
        <f>IF(COUNT(I280:M280)&lt;5,"",ROUND((I280*Matriz!$C$5+J280*Matriz!$C$6+K280*Matriz!$C$7+L280*Matriz!$C$8+M280*Matriz!$C$9)/SUM(Matriz!$C$5:$C$9),2))</f>
        <v/>
      </c>
      <c r="P280" s="17">
        <f>IFERROR(INDEX(Processos!$F$8:$F$17,MATCH(C280,Processos!$A$8:$A$17,0)),1)</f>
        <v>1.034</v>
      </c>
      <c r="Q280" s="24">
        <f>IFERROR(INDEX(Matriz!$C$28:$C$33,MATCH(G280,Matriz!$A$28:$A$33,0)),0)</f>
        <v>0</v>
      </c>
      <c r="R280" s="25" t="str">
        <f t="shared" si="16"/>
        <v/>
      </c>
      <c r="S280" s="10" t="str">
        <f>IF(R280="","",IF(R280&gt;=Matriz!$C$19,4,IF(R280&gt;=Matriz!$C$18,3,IF(R280&gt;=Matriz!$C$17,2,1))))</f>
        <v/>
      </c>
      <c r="T280" s="9" t="str">
        <f>IF(S280="","",MAX(S280,IF(I280=5,Matriz!$C$23,0),IF(N280="Sim",Matriz!$C$24,0)))</f>
        <v/>
      </c>
      <c r="U280" s="9" t="str">
        <f t="shared" si="17"/>
        <v/>
      </c>
      <c r="V280" s="26" t="str">
        <f t="shared" si="18"/>
        <v/>
      </c>
      <c r="W280" s="10" t="str">
        <f t="shared" si="19"/>
        <v/>
      </c>
      <c r="X280" s="4"/>
      <c r="Y280" s="4"/>
    </row>
    <row r="281" spans="1:25" ht="28.05" hidden="1" customHeight="1" x14ac:dyDescent="0.3">
      <c r="A281" s="20" t="s">
        <v>747</v>
      </c>
      <c r="B281" s="21" t="s">
        <v>748</v>
      </c>
      <c r="C281" s="4" t="s">
        <v>134</v>
      </c>
      <c r="D281" s="4" t="s">
        <v>229</v>
      </c>
      <c r="E281" s="4" t="s">
        <v>226</v>
      </c>
      <c r="F281" s="22"/>
      <c r="G281" s="23" t="s">
        <v>102</v>
      </c>
      <c r="H281" s="6"/>
      <c r="I281" s="6"/>
      <c r="J281" s="6"/>
      <c r="K281" s="6"/>
      <c r="L281" s="6"/>
      <c r="M281" s="6"/>
      <c r="N281" s="6"/>
      <c r="O281" s="16" t="str">
        <f>IF(COUNT(I281:M281)&lt;5,"",ROUND((I281*Matriz!$C$5+J281*Matriz!$C$6+K281*Matriz!$C$7+L281*Matriz!$C$8+M281*Matriz!$C$9)/SUM(Matriz!$C$5:$C$9),2))</f>
        <v/>
      </c>
      <c r="P281" s="17">
        <f>IFERROR(INDEX(Processos!$F$8:$F$17,MATCH(C281,Processos!$A$8:$A$17,0)),1)</f>
        <v>1.034</v>
      </c>
      <c r="Q281" s="24">
        <f>IFERROR(INDEX(Matriz!$C$28:$C$33,MATCH(G281,Matriz!$A$28:$A$33,0)),0)</f>
        <v>0</v>
      </c>
      <c r="R281" s="25" t="str">
        <f t="shared" si="16"/>
        <v/>
      </c>
      <c r="S281" s="10" t="str">
        <f>IF(R281="","",IF(R281&gt;=Matriz!$C$19,4,IF(R281&gt;=Matriz!$C$18,3,IF(R281&gt;=Matriz!$C$17,2,1))))</f>
        <v/>
      </c>
      <c r="T281" s="9" t="str">
        <f>IF(S281="","",MAX(S281,IF(I281=5,Matriz!$C$23,0),IF(N281="Sim",Matriz!$C$24,0)))</f>
        <v/>
      </c>
      <c r="U281" s="9" t="str">
        <f t="shared" si="17"/>
        <v/>
      </c>
      <c r="V281" s="26" t="str">
        <f t="shared" si="18"/>
        <v/>
      </c>
      <c r="W281" s="10" t="str">
        <f t="shared" si="19"/>
        <v/>
      </c>
      <c r="X281" s="4"/>
      <c r="Y281" s="4"/>
    </row>
    <row r="282" spans="1:25" ht="28.05" hidden="1" customHeight="1" x14ac:dyDescent="0.3">
      <c r="A282" s="20" t="s">
        <v>749</v>
      </c>
      <c r="B282" s="21" t="s">
        <v>750</v>
      </c>
      <c r="C282" s="4" t="s">
        <v>134</v>
      </c>
      <c r="D282" s="4" t="s">
        <v>229</v>
      </c>
      <c r="E282" s="4" t="s">
        <v>226</v>
      </c>
      <c r="F282" s="22"/>
      <c r="G282" s="23" t="s">
        <v>102</v>
      </c>
      <c r="H282" s="6"/>
      <c r="I282" s="6"/>
      <c r="J282" s="6"/>
      <c r="K282" s="6"/>
      <c r="L282" s="6"/>
      <c r="M282" s="6"/>
      <c r="N282" s="6"/>
      <c r="O282" s="16" t="str">
        <f>IF(COUNT(I282:M282)&lt;5,"",ROUND((I282*Matriz!$C$5+J282*Matriz!$C$6+K282*Matriz!$C$7+L282*Matriz!$C$8+M282*Matriz!$C$9)/SUM(Matriz!$C$5:$C$9),2))</f>
        <v/>
      </c>
      <c r="P282" s="17">
        <f>IFERROR(INDEX(Processos!$F$8:$F$17,MATCH(C282,Processos!$A$8:$A$17,0)),1)</f>
        <v>1.034</v>
      </c>
      <c r="Q282" s="24">
        <f>IFERROR(INDEX(Matriz!$C$28:$C$33,MATCH(G282,Matriz!$A$28:$A$33,0)),0)</f>
        <v>0</v>
      </c>
      <c r="R282" s="25" t="str">
        <f t="shared" si="16"/>
        <v/>
      </c>
      <c r="S282" s="10" t="str">
        <f>IF(R282="","",IF(R282&gt;=Matriz!$C$19,4,IF(R282&gt;=Matriz!$C$18,3,IF(R282&gt;=Matriz!$C$17,2,1))))</f>
        <v/>
      </c>
      <c r="T282" s="9" t="str">
        <f>IF(S282="","",MAX(S282,IF(I282=5,Matriz!$C$23,0),IF(N282="Sim",Matriz!$C$24,0)))</f>
        <v/>
      </c>
      <c r="U282" s="9" t="str">
        <f t="shared" si="17"/>
        <v/>
      </c>
      <c r="V282" s="26" t="str">
        <f t="shared" si="18"/>
        <v/>
      </c>
      <c r="W282" s="10" t="str">
        <f t="shared" si="19"/>
        <v/>
      </c>
      <c r="X282" s="4"/>
      <c r="Y282" s="4"/>
    </row>
    <row r="283" spans="1:25" ht="28.05" hidden="1" customHeight="1" x14ac:dyDescent="0.3">
      <c r="A283" s="20" t="s">
        <v>751</v>
      </c>
      <c r="B283" s="21" t="s">
        <v>752</v>
      </c>
      <c r="C283" s="4" t="s">
        <v>134</v>
      </c>
      <c r="D283" s="4" t="s">
        <v>566</v>
      </c>
      <c r="E283" s="4" t="s">
        <v>226</v>
      </c>
      <c r="F283" s="22"/>
      <c r="G283" s="23" t="s">
        <v>98</v>
      </c>
      <c r="H283" s="6"/>
      <c r="I283" s="6"/>
      <c r="J283" s="6"/>
      <c r="K283" s="6"/>
      <c r="L283" s="6"/>
      <c r="M283" s="6"/>
      <c r="N283" s="6"/>
      <c r="O283" s="16" t="str">
        <f>IF(COUNT(I283:M283)&lt;5,"",ROUND((I283*Matriz!$C$5+J283*Matriz!$C$6+K283*Matriz!$C$7+L283*Matriz!$C$8+M283*Matriz!$C$9)/SUM(Matriz!$C$5:$C$9),2))</f>
        <v/>
      </c>
      <c r="P283" s="17">
        <f>IFERROR(INDEX(Processos!$F$8:$F$17,MATCH(C283,Processos!$A$8:$A$17,0)),1)</f>
        <v>1.034</v>
      </c>
      <c r="Q283" s="24">
        <f>IFERROR(INDEX(Matriz!$C$28:$C$33,MATCH(G283,Matriz!$A$28:$A$33,0)),0)</f>
        <v>0.3</v>
      </c>
      <c r="R283" s="25" t="str">
        <f t="shared" si="16"/>
        <v/>
      </c>
      <c r="S283" s="10" t="str">
        <f>IF(R283="","",IF(R283&gt;=Matriz!$C$19,4,IF(R283&gt;=Matriz!$C$18,3,IF(R283&gt;=Matriz!$C$17,2,1))))</f>
        <v/>
      </c>
      <c r="T283" s="9" t="str">
        <f>IF(S283="","",MAX(S283,IF(I283=5,Matriz!$C$23,0),IF(N283="Sim",Matriz!$C$24,0)))</f>
        <v/>
      </c>
      <c r="U283" s="9" t="str">
        <f t="shared" si="17"/>
        <v/>
      </c>
      <c r="V283" s="26" t="str">
        <f t="shared" si="18"/>
        <v/>
      </c>
      <c r="W283" s="10" t="str">
        <f t="shared" si="19"/>
        <v/>
      </c>
      <c r="X283" s="4"/>
      <c r="Y283" s="4"/>
    </row>
    <row r="284" spans="1:25" ht="28.05" hidden="1" customHeight="1" x14ac:dyDescent="0.3">
      <c r="A284" s="20" t="s">
        <v>753</v>
      </c>
      <c r="B284" s="21" t="s">
        <v>754</v>
      </c>
      <c r="C284" s="4" t="s">
        <v>134</v>
      </c>
      <c r="D284" s="4" t="s">
        <v>479</v>
      </c>
      <c r="E284" s="4" t="s">
        <v>226</v>
      </c>
      <c r="F284" s="22"/>
      <c r="G284" s="23" t="s">
        <v>104</v>
      </c>
      <c r="H284" s="6"/>
      <c r="I284" s="6"/>
      <c r="J284" s="6"/>
      <c r="K284" s="6"/>
      <c r="L284" s="6"/>
      <c r="M284" s="6"/>
      <c r="N284" s="6"/>
      <c r="O284" s="16" t="str">
        <f>IF(COUNT(I284:M284)&lt;5,"",ROUND((I284*Matriz!$C$5+J284*Matriz!$C$6+K284*Matriz!$C$7+L284*Matriz!$C$8+M284*Matriz!$C$9)/SUM(Matriz!$C$5:$C$9),2))</f>
        <v/>
      </c>
      <c r="P284" s="17">
        <f>IFERROR(INDEX(Processos!$F$8:$F$17,MATCH(C284,Processos!$A$8:$A$17,0)),1)</f>
        <v>1.034</v>
      </c>
      <c r="Q284" s="24">
        <f>IFERROR(INDEX(Matriz!$C$28:$C$33,MATCH(G284,Matriz!$A$28:$A$33,0)),0)</f>
        <v>0</v>
      </c>
      <c r="R284" s="25" t="str">
        <f t="shared" si="16"/>
        <v/>
      </c>
      <c r="S284" s="10" t="str">
        <f>IF(R284="","",IF(R284&gt;=Matriz!$C$19,4,IF(R284&gt;=Matriz!$C$18,3,IF(R284&gt;=Matriz!$C$17,2,1))))</f>
        <v/>
      </c>
      <c r="T284" s="9" t="str">
        <f>IF(S284="","",MAX(S284,IF(I284=5,Matriz!$C$23,0),IF(N284="Sim",Matriz!$C$24,0)))</f>
        <v/>
      </c>
      <c r="U284" s="9" t="str">
        <f t="shared" si="17"/>
        <v/>
      </c>
      <c r="V284" s="26" t="str">
        <f t="shared" si="18"/>
        <v/>
      </c>
      <c r="W284" s="10" t="str">
        <f t="shared" si="19"/>
        <v/>
      </c>
      <c r="X284" s="4"/>
      <c r="Y284" s="4"/>
    </row>
    <row r="285" spans="1:25" ht="28.05" hidden="1" customHeight="1" x14ac:dyDescent="0.3">
      <c r="A285" s="20" t="s">
        <v>755</v>
      </c>
      <c r="B285" s="21" t="s">
        <v>756</v>
      </c>
      <c r="C285" s="4" t="s">
        <v>134</v>
      </c>
      <c r="D285" s="4" t="s">
        <v>229</v>
      </c>
      <c r="E285" s="4" t="s">
        <v>226</v>
      </c>
      <c r="F285" s="22"/>
      <c r="G285" s="23" t="s">
        <v>104</v>
      </c>
      <c r="H285" s="6"/>
      <c r="I285" s="6"/>
      <c r="J285" s="6"/>
      <c r="K285" s="6"/>
      <c r="L285" s="6"/>
      <c r="M285" s="6"/>
      <c r="N285" s="6"/>
      <c r="O285" s="16" t="str">
        <f>IF(COUNT(I285:M285)&lt;5,"",ROUND((I285*Matriz!$C$5+J285*Matriz!$C$6+K285*Matriz!$C$7+L285*Matriz!$C$8+M285*Matriz!$C$9)/SUM(Matriz!$C$5:$C$9),2))</f>
        <v/>
      </c>
      <c r="P285" s="17">
        <f>IFERROR(INDEX(Processos!$F$8:$F$17,MATCH(C285,Processos!$A$8:$A$17,0)),1)</f>
        <v>1.034</v>
      </c>
      <c r="Q285" s="24">
        <f>IFERROR(INDEX(Matriz!$C$28:$C$33,MATCH(G285,Matriz!$A$28:$A$33,0)),0)</f>
        <v>0</v>
      </c>
      <c r="R285" s="25" t="str">
        <f t="shared" si="16"/>
        <v/>
      </c>
      <c r="S285" s="10" t="str">
        <f>IF(R285="","",IF(R285&gt;=Matriz!$C$19,4,IF(R285&gt;=Matriz!$C$18,3,IF(R285&gt;=Matriz!$C$17,2,1))))</f>
        <v/>
      </c>
      <c r="T285" s="9" t="str">
        <f>IF(S285="","",MAX(S285,IF(I285=5,Matriz!$C$23,0),IF(N285="Sim",Matriz!$C$24,0)))</f>
        <v/>
      </c>
      <c r="U285" s="9" t="str">
        <f t="shared" si="17"/>
        <v/>
      </c>
      <c r="V285" s="26" t="str">
        <f t="shared" si="18"/>
        <v/>
      </c>
      <c r="W285" s="10" t="str">
        <f t="shared" si="19"/>
        <v/>
      </c>
      <c r="X285" s="4"/>
      <c r="Y285" s="4"/>
    </row>
    <row r="286" spans="1:25" ht="28.05" hidden="1" customHeight="1" x14ac:dyDescent="0.3">
      <c r="A286" s="20" t="s">
        <v>757</v>
      </c>
      <c r="B286" s="21" t="s">
        <v>758</v>
      </c>
      <c r="C286" s="4" t="s">
        <v>134</v>
      </c>
      <c r="D286" s="4" t="s">
        <v>229</v>
      </c>
      <c r="E286" s="4" t="s">
        <v>226</v>
      </c>
      <c r="F286" s="22"/>
      <c r="G286" s="23" t="s">
        <v>104</v>
      </c>
      <c r="H286" s="6"/>
      <c r="I286" s="6"/>
      <c r="J286" s="6"/>
      <c r="K286" s="6"/>
      <c r="L286" s="6"/>
      <c r="M286" s="6"/>
      <c r="N286" s="6"/>
      <c r="O286" s="16" t="str">
        <f>IF(COUNT(I286:M286)&lt;5,"",ROUND((I286*Matriz!$C$5+J286*Matriz!$C$6+K286*Matriz!$C$7+L286*Matriz!$C$8+M286*Matriz!$C$9)/SUM(Matriz!$C$5:$C$9),2))</f>
        <v/>
      </c>
      <c r="P286" s="17">
        <f>IFERROR(INDEX(Processos!$F$8:$F$17,MATCH(C286,Processos!$A$8:$A$17,0)),1)</f>
        <v>1.034</v>
      </c>
      <c r="Q286" s="24">
        <f>IFERROR(INDEX(Matriz!$C$28:$C$33,MATCH(G286,Matriz!$A$28:$A$33,0)),0)</f>
        <v>0</v>
      </c>
      <c r="R286" s="25" t="str">
        <f t="shared" si="16"/>
        <v/>
      </c>
      <c r="S286" s="10" t="str">
        <f>IF(R286="","",IF(R286&gt;=Matriz!$C$19,4,IF(R286&gt;=Matriz!$C$18,3,IF(R286&gt;=Matriz!$C$17,2,1))))</f>
        <v/>
      </c>
      <c r="T286" s="9" t="str">
        <f>IF(S286="","",MAX(S286,IF(I286=5,Matriz!$C$23,0),IF(N286="Sim",Matriz!$C$24,0)))</f>
        <v/>
      </c>
      <c r="U286" s="9" t="str">
        <f t="shared" si="17"/>
        <v/>
      </c>
      <c r="V286" s="26" t="str">
        <f t="shared" si="18"/>
        <v/>
      </c>
      <c r="W286" s="10" t="str">
        <f t="shared" si="19"/>
        <v/>
      </c>
      <c r="X286" s="4"/>
      <c r="Y286" s="4"/>
    </row>
    <row r="287" spans="1:25" ht="28.05" hidden="1" customHeight="1" x14ac:dyDescent="0.3">
      <c r="A287" s="20" t="s">
        <v>759</v>
      </c>
      <c r="B287" s="21" t="s">
        <v>760</v>
      </c>
      <c r="C287" s="4" t="s">
        <v>134</v>
      </c>
      <c r="D287" s="4" t="s">
        <v>657</v>
      </c>
      <c r="E287" s="4" t="s">
        <v>226</v>
      </c>
      <c r="F287" s="22"/>
      <c r="G287" s="23" t="s">
        <v>98</v>
      </c>
      <c r="H287" s="6"/>
      <c r="I287" s="6"/>
      <c r="J287" s="6"/>
      <c r="K287" s="6"/>
      <c r="L287" s="6"/>
      <c r="M287" s="6"/>
      <c r="N287" s="6"/>
      <c r="O287" s="16" t="str">
        <f>IF(COUNT(I287:M287)&lt;5,"",ROUND((I287*Matriz!$C$5+J287*Matriz!$C$6+K287*Matriz!$C$7+L287*Matriz!$C$8+M287*Matriz!$C$9)/SUM(Matriz!$C$5:$C$9),2))</f>
        <v/>
      </c>
      <c r="P287" s="17">
        <f>IFERROR(INDEX(Processos!$F$8:$F$17,MATCH(C287,Processos!$A$8:$A$17,0)),1)</f>
        <v>1.034</v>
      </c>
      <c r="Q287" s="24">
        <f>IFERROR(INDEX(Matriz!$C$28:$C$33,MATCH(G287,Matriz!$A$28:$A$33,0)),0)</f>
        <v>0.3</v>
      </c>
      <c r="R287" s="25" t="str">
        <f t="shared" si="16"/>
        <v/>
      </c>
      <c r="S287" s="10" t="str">
        <f>IF(R287="","",IF(R287&gt;=Matriz!$C$19,4,IF(R287&gt;=Matriz!$C$18,3,IF(R287&gt;=Matriz!$C$17,2,1))))</f>
        <v/>
      </c>
      <c r="T287" s="9" t="str">
        <f>IF(S287="","",MAX(S287,IF(I287=5,Matriz!$C$23,0),IF(N287="Sim",Matriz!$C$24,0)))</f>
        <v/>
      </c>
      <c r="U287" s="9" t="str">
        <f t="shared" si="17"/>
        <v/>
      </c>
      <c r="V287" s="26" t="str">
        <f t="shared" si="18"/>
        <v/>
      </c>
      <c r="W287" s="10" t="str">
        <f t="shared" si="19"/>
        <v/>
      </c>
      <c r="X287" s="4"/>
      <c r="Y287" s="4"/>
    </row>
    <row r="288" spans="1:25" ht="28.05" hidden="1" customHeight="1" x14ac:dyDescent="0.3">
      <c r="A288" s="20" t="s">
        <v>761</v>
      </c>
      <c r="B288" s="21" t="s">
        <v>762</v>
      </c>
      <c r="C288" s="4" t="s">
        <v>134</v>
      </c>
      <c r="D288" s="4" t="s">
        <v>229</v>
      </c>
      <c r="E288" s="4" t="s">
        <v>226</v>
      </c>
      <c r="F288" s="22"/>
      <c r="G288" s="23" t="s">
        <v>98</v>
      </c>
      <c r="H288" s="6"/>
      <c r="I288" s="6"/>
      <c r="J288" s="6"/>
      <c r="K288" s="6"/>
      <c r="L288" s="6"/>
      <c r="M288" s="6"/>
      <c r="N288" s="6"/>
      <c r="O288" s="16" t="str">
        <f>IF(COUNT(I288:M288)&lt;5,"",ROUND((I288*Matriz!$C$5+J288*Matriz!$C$6+K288*Matriz!$C$7+L288*Matriz!$C$8+M288*Matriz!$C$9)/SUM(Matriz!$C$5:$C$9),2))</f>
        <v/>
      </c>
      <c r="P288" s="17">
        <f>IFERROR(INDEX(Processos!$F$8:$F$17,MATCH(C288,Processos!$A$8:$A$17,0)),1)</f>
        <v>1.034</v>
      </c>
      <c r="Q288" s="24">
        <f>IFERROR(INDEX(Matriz!$C$28:$C$33,MATCH(G288,Matriz!$A$28:$A$33,0)),0)</f>
        <v>0.3</v>
      </c>
      <c r="R288" s="25" t="str">
        <f t="shared" si="16"/>
        <v/>
      </c>
      <c r="S288" s="10" t="str">
        <f>IF(R288="","",IF(R288&gt;=Matriz!$C$19,4,IF(R288&gt;=Matriz!$C$18,3,IF(R288&gt;=Matriz!$C$17,2,1))))</f>
        <v/>
      </c>
      <c r="T288" s="9" t="str">
        <f>IF(S288="","",MAX(S288,IF(I288=5,Matriz!$C$23,0),IF(N288="Sim",Matriz!$C$24,0)))</f>
        <v/>
      </c>
      <c r="U288" s="9" t="str">
        <f t="shared" si="17"/>
        <v/>
      </c>
      <c r="V288" s="26" t="str">
        <f t="shared" si="18"/>
        <v/>
      </c>
      <c r="W288" s="10" t="str">
        <f t="shared" si="19"/>
        <v/>
      </c>
      <c r="X288" s="4"/>
      <c r="Y288" s="4"/>
    </row>
    <row r="289" spans="1:25" ht="28.05" hidden="1" customHeight="1" x14ac:dyDescent="0.3">
      <c r="A289" s="20" t="s">
        <v>763</v>
      </c>
      <c r="B289" s="21" t="s">
        <v>764</v>
      </c>
      <c r="C289" s="4" t="s">
        <v>134</v>
      </c>
      <c r="D289" s="4" t="s">
        <v>213</v>
      </c>
      <c r="E289" s="4" t="s">
        <v>226</v>
      </c>
      <c r="F289" s="22"/>
      <c r="G289" s="23" t="s">
        <v>104</v>
      </c>
      <c r="H289" s="6"/>
      <c r="I289" s="6"/>
      <c r="J289" s="6"/>
      <c r="K289" s="6"/>
      <c r="L289" s="6"/>
      <c r="M289" s="6"/>
      <c r="N289" s="6"/>
      <c r="O289" s="16" t="str">
        <f>IF(COUNT(I289:M289)&lt;5,"",ROUND((I289*Matriz!$C$5+J289*Matriz!$C$6+K289*Matriz!$C$7+L289*Matriz!$C$8+M289*Matriz!$C$9)/SUM(Matriz!$C$5:$C$9),2))</f>
        <v/>
      </c>
      <c r="P289" s="17">
        <f>IFERROR(INDEX(Processos!$F$8:$F$17,MATCH(C289,Processos!$A$8:$A$17,0)),1)</f>
        <v>1.034</v>
      </c>
      <c r="Q289" s="24">
        <f>IFERROR(INDEX(Matriz!$C$28:$C$33,MATCH(G289,Matriz!$A$28:$A$33,0)),0)</f>
        <v>0</v>
      </c>
      <c r="R289" s="25" t="str">
        <f t="shared" si="16"/>
        <v/>
      </c>
      <c r="S289" s="10" t="str">
        <f>IF(R289="","",IF(R289&gt;=Matriz!$C$19,4,IF(R289&gt;=Matriz!$C$18,3,IF(R289&gt;=Matriz!$C$17,2,1))))</f>
        <v/>
      </c>
      <c r="T289" s="9" t="str">
        <f>IF(S289="","",MAX(S289,IF(I289=5,Matriz!$C$23,0),IF(N289="Sim",Matriz!$C$24,0)))</f>
        <v/>
      </c>
      <c r="U289" s="9" t="str">
        <f t="shared" si="17"/>
        <v/>
      </c>
      <c r="V289" s="26" t="str">
        <f t="shared" si="18"/>
        <v/>
      </c>
      <c r="W289" s="10" t="str">
        <f t="shared" si="19"/>
        <v/>
      </c>
      <c r="X289" s="4"/>
      <c r="Y289" s="4"/>
    </row>
    <row r="290" spans="1:25" ht="28.05" hidden="1" customHeight="1" x14ac:dyDescent="0.3">
      <c r="A290" s="20" t="s">
        <v>765</v>
      </c>
      <c r="B290" s="21" t="s">
        <v>766</v>
      </c>
      <c r="C290" s="4" t="s">
        <v>134</v>
      </c>
      <c r="D290" s="4" t="s">
        <v>657</v>
      </c>
      <c r="E290" s="4" t="s">
        <v>226</v>
      </c>
      <c r="F290" s="22"/>
      <c r="G290" s="23" t="s">
        <v>98</v>
      </c>
      <c r="H290" s="6"/>
      <c r="I290" s="6"/>
      <c r="J290" s="6"/>
      <c r="K290" s="6"/>
      <c r="L290" s="6"/>
      <c r="M290" s="6"/>
      <c r="N290" s="6"/>
      <c r="O290" s="16" t="str">
        <f>IF(COUNT(I290:M290)&lt;5,"",ROUND((I290*Matriz!$C$5+J290*Matriz!$C$6+K290*Matriz!$C$7+L290*Matriz!$C$8+M290*Matriz!$C$9)/SUM(Matriz!$C$5:$C$9),2))</f>
        <v/>
      </c>
      <c r="P290" s="17">
        <f>IFERROR(INDEX(Processos!$F$8:$F$17,MATCH(C290,Processos!$A$8:$A$17,0)),1)</f>
        <v>1.034</v>
      </c>
      <c r="Q290" s="24">
        <f>IFERROR(INDEX(Matriz!$C$28:$C$33,MATCH(G290,Matriz!$A$28:$A$33,0)),0)</f>
        <v>0.3</v>
      </c>
      <c r="R290" s="25" t="str">
        <f t="shared" si="16"/>
        <v/>
      </c>
      <c r="S290" s="10" t="str">
        <f>IF(R290="","",IF(R290&gt;=Matriz!$C$19,4,IF(R290&gt;=Matriz!$C$18,3,IF(R290&gt;=Matriz!$C$17,2,1))))</f>
        <v/>
      </c>
      <c r="T290" s="9" t="str">
        <f>IF(S290="","",MAX(S290,IF(I290=5,Matriz!$C$23,0),IF(N290="Sim",Matriz!$C$24,0)))</f>
        <v/>
      </c>
      <c r="U290" s="9" t="str">
        <f t="shared" si="17"/>
        <v/>
      </c>
      <c r="V290" s="26" t="str">
        <f t="shared" si="18"/>
        <v/>
      </c>
      <c r="W290" s="10" t="str">
        <f t="shared" si="19"/>
        <v/>
      </c>
      <c r="X290" s="4"/>
      <c r="Y290" s="4"/>
    </row>
    <row r="291" spans="1:25" ht="28.05" hidden="1" customHeight="1" x14ac:dyDescent="0.3">
      <c r="A291" s="20" t="s">
        <v>767</v>
      </c>
      <c r="B291" s="21" t="s">
        <v>768</v>
      </c>
      <c r="C291" s="4" t="s">
        <v>134</v>
      </c>
      <c r="D291" s="4" t="s">
        <v>223</v>
      </c>
      <c r="E291" s="4" t="s">
        <v>226</v>
      </c>
      <c r="F291" s="22"/>
      <c r="G291" s="23" t="s">
        <v>98</v>
      </c>
      <c r="H291" s="6"/>
      <c r="I291" s="6"/>
      <c r="J291" s="6"/>
      <c r="K291" s="6"/>
      <c r="L291" s="6"/>
      <c r="M291" s="6"/>
      <c r="N291" s="6"/>
      <c r="O291" s="16" t="str">
        <f>IF(COUNT(I291:M291)&lt;5,"",ROUND((I291*Matriz!$C$5+J291*Matriz!$C$6+K291*Matriz!$C$7+L291*Matriz!$C$8+M291*Matriz!$C$9)/SUM(Matriz!$C$5:$C$9),2))</f>
        <v/>
      </c>
      <c r="P291" s="17">
        <f>IFERROR(INDEX(Processos!$F$8:$F$17,MATCH(C291,Processos!$A$8:$A$17,0)),1)</f>
        <v>1.034</v>
      </c>
      <c r="Q291" s="24">
        <f>IFERROR(INDEX(Matriz!$C$28:$C$33,MATCH(G291,Matriz!$A$28:$A$33,0)),0)</f>
        <v>0.3</v>
      </c>
      <c r="R291" s="25" t="str">
        <f t="shared" si="16"/>
        <v/>
      </c>
      <c r="S291" s="10" t="str">
        <f>IF(R291="","",IF(R291&gt;=Matriz!$C$19,4,IF(R291&gt;=Matriz!$C$18,3,IF(R291&gt;=Matriz!$C$17,2,1))))</f>
        <v/>
      </c>
      <c r="T291" s="9" t="str">
        <f>IF(S291="","",MAX(S291,IF(I291=5,Matriz!$C$23,0),IF(N291="Sim",Matriz!$C$24,0)))</f>
        <v/>
      </c>
      <c r="U291" s="9" t="str">
        <f t="shared" si="17"/>
        <v/>
      </c>
      <c r="V291" s="26" t="str">
        <f t="shared" si="18"/>
        <v/>
      </c>
      <c r="W291" s="10" t="str">
        <f t="shared" si="19"/>
        <v/>
      </c>
      <c r="X291" s="4"/>
      <c r="Y291" s="4"/>
    </row>
    <row r="292" spans="1:25" ht="28.05" hidden="1" customHeight="1" x14ac:dyDescent="0.3">
      <c r="A292" s="20" t="s">
        <v>769</v>
      </c>
      <c r="B292" s="21" t="s">
        <v>770</v>
      </c>
      <c r="C292" s="4" t="s">
        <v>134</v>
      </c>
      <c r="D292" s="4" t="s">
        <v>229</v>
      </c>
      <c r="E292" s="4" t="s">
        <v>226</v>
      </c>
      <c r="F292" s="22"/>
      <c r="G292" s="23" t="s">
        <v>102</v>
      </c>
      <c r="H292" s="6"/>
      <c r="I292" s="6"/>
      <c r="J292" s="6"/>
      <c r="K292" s="6"/>
      <c r="L292" s="6"/>
      <c r="M292" s="6"/>
      <c r="N292" s="6"/>
      <c r="O292" s="16" t="str">
        <f>IF(COUNT(I292:M292)&lt;5,"",ROUND((I292*Matriz!$C$5+J292*Matriz!$C$6+K292*Matriz!$C$7+L292*Matriz!$C$8+M292*Matriz!$C$9)/SUM(Matriz!$C$5:$C$9),2))</f>
        <v/>
      </c>
      <c r="P292" s="17">
        <f>IFERROR(INDEX(Processos!$F$8:$F$17,MATCH(C292,Processos!$A$8:$A$17,0)),1)</f>
        <v>1.034</v>
      </c>
      <c r="Q292" s="24">
        <f>IFERROR(INDEX(Matriz!$C$28:$C$33,MATCH(G292,Matriz!$A$28:$A$33,0)),0)</f>
        <v>0</v>
      </c>
      <c r="R292" s="25" t="str">
        <f t="shared" si="16"/>
        <v/>
      </c>
      <c r="S292" s="10" t="str">
        <f>IF(R292="","",IF(R292&gt;=Matriz!$C$19,4,IF(R292&gt;=Matriz!$C$18,3,IF(R292&gt;=Matriz!$C$17,2,1))))</f>
        <v/>
      </c>
      <c r="T292" s="9" t="str">
        <f>IF(S292="","",MAX(S292,IF(I292=5,Matriz!$C$23,0),IF(N292="Sim",Matriz!$C$24,0)))</f>
        <v/>
      </c>
      <c r="U292" s="9" t="str">
        <f t="shared" si="17"/>
        <v/>
      </c>
      <c r="V292" s="26" t="str">
        <f t="shared" si="18"/>
        <v/>
      </c>
      <c r="W292" s="10" t="str">
        <f t="shared" si="19"/>
        <v/>
      </c>
      <c r="X292" s="4"/>
      <c r="Y292" s="4"/>
    </row>
    <row r="293" spans="1:25" ht="28.05" hidden="1" customHeight="1" x14ac:dyDescent="0.3">
      <c r="A293" s="20" t="s">
        <v>771</v>
      </c>
      <c r="B293" s="21" t="s">
        <v>772</v>
      </c>
      <c r="C293" s="4" t="s">
        <v>134</v>
      </c>
      <c r="D293" s="4" t="s">
        <v>479</v>
      </c>
      <c r="E293" s="4" t="s">
        <v>226</v>
      </c>
      <c r="F293" s="22"/>
      <c r="G293" s="23" t="s">
        <v>104</v>
      </c>
      <c r="H293" s="6"/>
      <c r="I293" s="6"/>
      <c r="J293" s="6"/>
      <c r="K293" s="6"/>
      <c r="L293" s="6"/>
      <c r="M293" s="6"/>
      <c r="N293" s="6"/>
      <c r="O293" s="16" t="str">
        <f>IF(COUNT(I293:M293)&lt;5,"",ROUND((I293*Matriz!$C$5+J293*Matriz!$C$6+K293*Matriz!$C$7+L293*Matriz!$C$8+M293*Matriz!$C$9)/SUM(Matriz!$C$5:$C$9),2))</f>
        <v/>
      </c>
      <c r="P293" s="17">
        <f>IFERROR(INDEX(Processos!$F$8:$F$17,MATCH(C293,Processos!$A$8:$A$17,0)),1)</f>
        <v>1.034</v>
      </c>
      <c r="Q293" s="24">
        <f>IFERROR(INDEX(Matriz!$C$28:$C$33,MATCH(G293,Matriz!$A$28:$A$33,0)),0)</f>
        <v>0</v>
      </c>
      <c r="R293" s="25" t="str">
        <f t="shared" si="16"/>
        <v/>
      </c>
      <c r="S293" s="10" t="str">
        <f>IF(R293="","",IF(R293&gt;=Matriz!$C$19,4,IF(R293&gt;=Matriz!$C$18,3,IF(R293&gt;=Matriz!$C$17,2,1))))</f>
        <v/>
      </c>
      <c r="T293" s="9" t="str">
        <f>IF(S293="","",MAX(S293,IF(I293=5,Matriz!$C$23,0),IF(N293="Sim",Matriz!$C$24,0)))</f>
        <v/>
      </c>
      <c r="U293" s="9" t="str">
        <f t="shared" si="17"/>
        <v/>
      </c>
      <c r="V293" s="26" t="str">
        <f t="shared" si="18"/>
        <v/>
      </c>
      <c r="W293" s="10" t="str">
        <f t="shared" si="19"/>
        <v/>
      </c>
      <c r="X293" s="4"/>
      <c r="Y293" s="4"/>
    </row>
    <row r="294" spans="1:25" ht="28.05" hidden="1" customHeight="1" x14ac:dyDescent="0.3">
      <c r="A294" s="20" t="s">
        <v>773</v>
      </c>
      <c r="B294" s="21" t="s">
        <v>774</v>
      </c>
      <c r="C294" s="4" t="s">
        <v>134</v>
      </c>
      <c r="D294" s="4" t="s">
        <v>563</v>
      </c>
      <c r="E294" s="4" t="s">
        <v>226</v>
      </c>
      <c r="F294" s="22"/>
      <c r="G294" s="23" t="s">
        <v>102</v>
      </c>
      <c r="H294" s="6"/>
      <c r="I294" s="6"/>
      <c r="J294" s="6"/>
      <c r="K294" s="6"/>
      <c r="L294" s="6"/>
      <c r="M294" s="6"/>
      <c r="N294" s="6"/>
      <c r="O294" s="16" t="str">
        <f>IF(COUNT(I294:M294)&lt;5,"",ROUND((I294*Matriz!$C$5+J294*Matriz!$C$6+K294*Matriz!$C$7+L294*Matriz!$C$8+M294*Matriz!$C$9)/SUM(Matriz!$C$5:$C$9),2))</f>
        <v/>
      </c>
      <c r="P294" s="17">
        <f>IFERROR(INDEX(Processos!$F$8:$F$17,MATCH(C294,Processos!$A$8:$A$17,0)),1)</f>
        <v>1.034</v>
      </c>
      <c r="Q294" s="24">
        <f>IFERROR(INDEX(Matriz!$C$28:$C$33,MATCH(G294,Matriz!$A$28:$A$33,0)),0)</f>
        <v>0</v>
      </c>
      <c r="R294" s="25" t="str">
        <f t="shared" si="16"/>
        <v/>
      </c>
      <c r="S294" s="10" t="str">
        <f>IF(R294="","",IF(R294&gt;=Matriz!$C$19,4,IF(R294&gt;=Matriz!$C$18,3,IF(R294&gt;=Matriz!$C$17,2,1))))</f>
        <v/>
      </c>
      <c r="T294" s="9" t="str">
        <f>IF(S294="","",MAX(S294,IF(I294=5,Matriz!$C$23,0),IF(N294="Sim",Matriz!$C$24,0)))</f>
        <v/>
      </c>
      <c r="U294" s="9" t="str">
        <f t="shared" si="17"/>
        <v/>
      </c>
      <c r="V294" s="26" t="str">
        <f t="shared" si="18"/>
        <v/>
      </c>
      <c r="W294" s="10" t="str">
        <f t="shared" si="19"/>
        <v/>
      </c>
      <c r="X294" s="4"/>
      <c r="Y294" s="4"/>
    </row>
    <row r="295" spans="1:25" ht="28.05" hidden="1" customHeight="1" x14ac:dyDescent="0.3">
      <c r="A295" s="20" t="s">
        <v>775</v>
      </c>
      <c r="B295" s="21" t="s">
        <v>776</v>
      </c>
      <c r="C295" s="4" t="s">
        <v>134</v>
      </c>
      <c r="D295" s="4" t="s">
        <v>229</v>
      </c>
      <c r="E295" s="4" t="s">
        <v>226</v>
      </c>
      <c r="F295" s="22"/>
      <c r="G295" s="23" t="s">
        <v>104</v>
      </c>
      <c r="H295" s="6"/>
      <c r="I295" s="6"/>
      <c r="J295" s="6"/>
      <c r="K295" s="6"/>
      <c r="L295" s="6"/>
      <c r="M295" s="6"/>
      <c r="N295" s="6"/>
      <c r="O295" s="16" t="str">
        <f>IF(COUNT(I295:M295)&lt;5,"",ROUND((I295*Matriz!$C$5+J295*Matriz!$C$6+K295*Matriz!$C$7+L295*Matriz!$C$8+M295*Matriz!$C$9)/SUM(Matriz!$C$5:$C$9),2))</f>
        <v/>
      </c>
      <c r="P295" s="17">
        <f>IFERROR(INDEX(Processos!$F$8:$F$17,MATCH(C295,Processos!$A$8:$A$17,0)),1)</f>
        <v>1.034</v>
      </c>
      <c r="Q295" s="24">
        <f>IFERROR(INDEX(Matriz!$C$28:$C$33,MATCH(G295,Matriz!$A$28:$A$33,0)),0)</f>
        <v>0</v>
      </c>
      <c r="R295" s="25" t="str">
        <f t="shared" si="16"/>
        <v/>
      </c>
      <c r="S295" s="10" t="str">
        <f>IF(R295="","",IF(R295&gt;=Matriz!$C$19,4,IF(R295&gt;=Matriz!$C$18,3,IF(R295&gt;=Matriz!$C$17,2,1))))</f>
        <v/>
      </c>
      <c r="T295" s="9" t="str">
        <f>IF(S295="","",MAX(S295,IF(I295=5,Matriz!$C$23,0),IF(N295="Sim",Matriz!$C$24,0)))</f>
        <v/>
      </c>
      <c r="U295" s="9" t="str">
        <f t="shared" si="17"/>
        <v/>
      </c>
      <c r="V295" s="26" t="str">
        <f t="shared" si="18"/>
        <v/>
      </c>
      <c r="W295" s="10" t="str">
        <f t="shared" si="19"/>
        <v/>
      </c>
      <c r="X295" s="4"/>
      <c r="Y295" s="4"/>
    </row>
    <row r="296" spans="1:25" ht="28.05" hidden="1" customHeight="1" x14ac:dyDescent="0.3">
      <c r="A296" s="20" t="s">
        <v>777</v>
      </c>
      <c r="B296" s="21" t="s">
        <v>778</v>
      </c>
      <c r="C296" s="4" t="s">
        <v>134</v>
      </c>
      <c r="D296" s="4" t="s">
        <v>779</v>
      </c>
      <c r="E296" s="4" t="s">
        <v>226</v>
      </c>
      <c r="F296" s="22"/>
      <c r="G296" s="23" t="s">
        <v>104</v>
      </c>
      <c r="H296" s="6"/>
      <c r="I296" s="6"/>
      <c r="J296" s="6"/>
      <c r="K296" s="6"/>
      <c r="L296" s="6"/>
      <c r="M296" s="6"/>
      <c r="N296" s="6"/>
      <c r="O296" s="16" t="str">
        <f>IF(COUNT(I296:M296)&lt;5,"",ROUND((I296*Matriz!$C$5+J296*Matriz!$C$6+K296*Matriz!$C$7+L296*Matriz!$C$8+M296*Matriz!$C$9)/SUM(Matriz!$C$5:$C$9),2))</f>
        <v/>
      </c>
      <c r="P296" s="17">
        <f>IFERROR(INDEX(Processos!$F$8:$F$17,MATCH(C296,Processos!$A$8:$A$17,0)),1)</f>
        <v>1.034</v>
      </c>
      <c r="Q296" s="24">
        <f>IFERROR(INDEX(Matriz!$C$28:$C$33,MATCH(G296,Matriz!$A$28:$A$33,0)),0)</f>
        <v>0</v>
      </c>
      <c r="R296" s="25" t="str">
        <f t="shared" si="16"/>
        <v/>
      </c>
      <c r="S296" s="10" t="str">
        <f>IF(R296="","",IF(R296&gt;=Matriz!$C$19,4,IF(R296&gt;=Matriz!$C$18,3,IF(R296&gt;=Matriz!$C$17,2,1))))</f>
        <v/>
      </c>
      <c r="T296" s="9" t="str">
        <f>IF(S296="","",MAX(S296,IF(I296=5,Matriz!$C$23,0),IF(N296="Sim",Matriz!$C$24,0)))</f>
        <v/>
      </c>
      <c r="U296" s="9" t="str">
        <f t="shared" si="17"/>
        <v/>
      </c>
      <c r="V296" s="26" t="str">
        <f t="shared" si="18"/>
        <v/>
      </c>
      <c r="W296" s="10" t="str">
        <f t="shared" si="19"/>
        <v/>
      </c>
      <c r="X296" s="4"/>
      <c r="Y296" s="4"/>
    </row>
    <row r="297" spans="1:25" ht="28.05" hidden="1" customHeight="1" x14ac:dyDescent="0.3">
      <c r="A297" s="20" t="s">
        <v>780</v>
      </c>
      <c r="B297" s="21" t="s">
        <v>781</v>
      </c>
      <c r="C297" s="4" t="s">
        <v>134</v>
      </c>
      <c r="D297" s="4" t="s">
        <v>657</v>
      </c>
      <c r="E297" s="4" t="s">
        <v>226</v>
      </c>
      <c r="F297" s="22"/>
      <c r="G297" s="23" t="s">
        <v>104</v>
      </c>
      <c r="H297" s="6"/>
      <c r="I297" s="6"/>
      <c r="J297" s="6"/>
      <c r="K297" s="6"/>
      <c r="L297" s="6"/>
      <c r="M297" s="6"/>
      <c r="N297" s="6"/>
      <c r="O297" s="16" t="str">
        <f>IF(COUNT(I297:M297)&lt;5,"",ROUND((I297*Matriz!$C$5+J297*Matriz!$C$6+K297*Matriz!$C$7+L297*Matriz!$C$8+M297*Matriz!$C$9)/SUM(Matriz!$C$5:$C$9),2))</f>
        <v/>
      </c>
      <c r="P297" s="17">
        <f>IFERROR(INDEX(Processos!$F$8:$F$17,MATCH(C297,Processos!$A$8:$A$17,0)),1)</f>
        <v>1.034</v>
      </c>
      <c r="Q297" s="24">
        <f>IFERROR(INDEX(Matriz!$C$28:$C$33,MATCH(G297,Matriz!$A$28:$A$33,0)),0)</f>
        <v>0</v>
      </c>
      <c r="R297" s="25" t="str">
        <f t="shared" si="16"/>
        <v/>
      </c>
      <c r="S297" s="10" t="str">
        <f>IF(R297="","",IF(R297&gt;=Matriz!$C$19,4,IF(R297&gt;=Matriz!$C$18,3,IF(R297&gt;=Matriz!$C$17,2,1))))</f>
        <v/>
      </c>
      <c r="T297" s="9" t="str">
        <f>IF(S297="","",MAX(S297,IF(I297=5,Matriz!$C$23,0),IF(N297="Sim",Matriz!$C$24,0)))</f>
        <v/>
      </c>
      <c r="U297" s="9" t="str">
        <f t="shared" si="17"/>
        <v/>
      </c>
      <c r="V297" s="26" t="str">
        <f t="shared" si="18"/>
        <v/>
      </c>
      <c r="W297" s="10" t="str">
        <f t="shared" si="19"/>
        <v/>
      </c>
      <c r="X297" s="4"/>
      <c r="Y297" s="4"/>
    </row>
    <row r="298" spans="1:25" ht="28.05" hidden="1" customHeight="1" x14ac:dyDescent="0.3">
      <c r="A298" s="20" t="s">
        <v>782</v>
      </c>
      <c r="B298" s="21" t="s">
        <v>783</v>
      </c>
      <c r="C298" s="4" t="s">
        <v>134</v>
      </c>
      <c r="D298" s="4" t="s">
        <v>213</v>
      </c>
      <c r="E298" s="4" t="s">
        <v>226</v>
      </c>
      <c r="F298" s="22"/>
      <c r="G298" s="23" t="s">
        <v>104</v>
      </c>
      <c r="H298" s="6"/>
      <c r="I298" s="6"/>
      <c r="J298" s="6"/>
      <c r="K298" s="6"/>
      <c r="L298" s="6"/>
      <c r="M298" s="6"/>
      <c r="N298" s="6"/>
      <c r="O298" s="16" t="str">
        <f>IF(COUNT(I298:M298)&lt;5,"",ROUND((I298*Matriz!$C$5+J298*Matriz!$C$6+K298*Matriz!$C$7+L298*Matriz!$C$8+M298*Matriz!$C$9)/SUM(Matriz!$C$5:$C$9),2))</f>
        <v/>
      </c>
      <c r="P298" s="17">
        <f>IFERROR(INDEX(Processos!$F$8:$F$17,MATCH(C298,Processos!$A$8:$A$17,0)),1)</f>
        <v>1.034</v>
      </c>
      <c r="Q298" s="24">
        <f>IFERROR(INDEX(Matriz!$C$28:$C$33,MATCH(G298,Matriz!$A$28:$A$33,0)),0)</f>
        <v>0</v>
      </c>
      <c r="R298" s="25" t="str">
        <f t="shared" si="16"/>
        <v/>
      </c>
      <c r="S298" s="10" t="str">
        <f>IF(R298="","",IF(R298&gt;=Matriz!$C$19,4,IF(R298&gt;=Matriz!$C$18,3,IF(R298&gt;=Matriz!$C$17,2,1))))</f>
        <v/>
      </c>
      <c r="T298" s="9" t="str">
        <f>IF(S298="","",MAX(S298,IF(I298=5,Matriz!$C$23,0),IF(N298="Sim",Matriz!$C$24,0)))</f>
        <v/>
      </c>
      <c r="U298" s="9" t="str">
        <f t="shared" si="17"/>
        <v/>
      </c>
      <c r="V298" s="26" t="str">
        <f t="shared" si="18"/>
        <v/>
      </c>
      <c r="W298" s="10" t="str">
        <f t="shared" si="19"/>
        <v/>
      </c>
      <c r="X298" s="4"/>
      <c r="Y298" s="4"/>
    </row>
    <row r="299" spans="1:25" ht="28.05" hidden="1" customHeight="1" x14ac:dyDescent="0.3">
      <c r="A299" s="20" t="s">
        <v>784</v>
      </c>
      <c r="B299" s="21" t="s">
        <v>785</v>
      </c>
      <c r="C299" s="4" t="s">
        <v>134</v>
      </c>
      <c r="D299" s="4" t="s">
        <v>657</v>
      </c>
      <c r="E299" s="4" t="s">
        <v>226</v>
      </c>
      <c r="F299" s="22"/>
      <c r="G299" s="23" t="s">
        <v>102</v>
      </c>
      <c r="H299" s="6"/>
      <c r="I299" s="6"/>
      <c r="J299" s="6"/>
      <c r="K299" s="6"/>
      <c r="L299" s="6"/>
      <c r="M299" s="6"/>
      <c r="N299" s="6"/>
      <c r="O299" s="16" t="str">
        <f>IF(COUNT(I299:M299)&lt;5,"",ROUND((I299*Matriz!$C$5+J299*Matriz!$C$6+K299*Matriz!$C$7+L299*Matriz!$C$8+M299*Matriz!$C$9)/SUM(Matriz!$C$5:$C$9),2))</f>
        <v/>
      </c>
      <c r="P299" s="17">
        <f>IFERROR(INDEX(Processos!$F$8:$F$17,MATCH(C299,Processos!$A$8:$A$17,0)),1)</f>
        <v>1.034</v>
      </c>
      <c r="Q299" s="24">
        <f>IFERROR(INDEX(Matriz!$C$28:$C$33,MATCH(G299,Matriz!$A$28:$A$33,0)),0)</f>
        <v>0</v>
      </c>
      <c r="R299" s="25" t="str">
        <f t="shared" si="16"/>
        <v/>
      </c>
      <c r="S299" s="10" t="str">
        <f>IF(R299="","",IF(R299&gt;=Matriz!$C$19,4,IF(R299&gt;=Matriz!$C$18,3,IF(R299&gt;=Matriz!$C$17,2,1))))</f>
        <v/>
      </c>
      <c r="T299" s="9" t="str">
        <f>IF(S299="","",MAX(S299,IF(I299=5,Matriz!$C$23,0),IF(N299="Sim",Matriz!$C$24,0)))</f>
        <v/>
      </c>
      <c r="U299" s="9" t="str">
        <f t="shared" si="17"/>
        <v/>
      </c>
      <c r="V299" s="26" t="str">
        <f t="shared" si="18"/>
        <v/>
      </c>
      <c r="W299" s="10" t="str">
        <f t="shared" si="19"/>
        <v/>
      </c>
      <c r="X299" s="4"/>
      <c r="Y299" s="4"/>
    </row>
    <row r="300" spans="1:25" ht="28.05" hidden="1" customHeight="1" x14ac:dyDescent="0.3">
      <c r="A300" s="20" t="s">
        <v>786</v>
      </c>
      <c r="B300" s="21" t="s">
        <v>787</v>
      </c>
      <c r="C300" s="4" t="s">
        <v>134</v>
      </c>
      <c r="D300" s="4" t="s">
        <v>229</v>
      </c>
      <c r="E300" s="4" t="s">
        <v>226</v>
      </c>
      <c r="F300" s="22"/>
      <c r="G300" s="23" t="s">
        <v>98</v>
      </c>
      <c r="H300" s="6"/>
      <c r="I300" s="6"/>
      <c r="J300" s="6"/>
      <c r="K300" s="6"/>
      <c r="L300" s="6"/>
      <c r="M300" s="6"/>
      <c r="N300" s="6"/>
      <c r="O300" s="16" t="str">
        <f>IF(COUNT(I300:M300)&lt;5,"",ROUND((I300*Matriz!$C$5+J300*Matriz!$C$6+K300*Matriz!$C$7+L300*Matriz!$C$8+M300*Matriz!$C$9)/SUM(Matriz!$C$5:$C$9),2))</f>
        <v/>
      </c>
      <c r="P300" s="17">
        <f>IFERROR(INDEX(Processos!$F$8:$F$17,MATCH(C300,Processos!$A$8:$A$17,0)),1)</f>
        <v>1.034</v>
      </c>
      <c r="Q300" s="24">
        <f>IFERROR(INDEX(Matriz!$C$28:$C$33,MATCH(G300,Matriz!$A$28:$A$33,0)),0)</f>
        <v>0.3</v>
      </c>
      <c r="R300" s="25" t="str">
        <f t="shared" si="16"/>
        <v/>
      </c>
      <c r="S300" s="10" t="str">
        <f>IF(R300="","",IF(R300&gt;=Matriz!$C$19,4,IF(R300&gt;=Matriz!$C$18,3,IF(R300&gt;=Matriz!$C$17,2,1))))</f>
        <v/>
      </c>
      <c r="T300" s="9" t="str">
        <f>IF(S300="","",MAX(S300,IF(I300=5,Matriz!$C$23,0),IF(N300="Sim",Matriz!$C$24,0)))</f>
        <v/>
      </c>
      <c r="U300" s="9" t="str">
        <f t="shared" si="17"/>
        <v/>
      </c>
      <c r="V300" s="26" t="str">
        <f t="shared" si="18"/>
        <v/>
      </c>
      <c r="W300" s="10" t="str">
        <f t="shared" si="19"/>
        <v/>
      </c>
      <c r="X300" s="4"/>
      <c r="Y300" s="4"/>
    </row>
    <row r="301" spans="1:25" ht="28.05" hidden="1" customHeight="1" x14ac:dyDescent="0.3">
      <c r="A301" s="20" t="s">
        <v>788</v>
      </c>
      <c r="B301" s="21" t="s">
        <v>789</v>
      </c>
      <c r="C301" s="4" t="s">
        <v>134</v>
      </c>
      <c r="D301" s="4" t="s">
        <v>657</v>
      </c>
      <c r="E301" s="4" t="s">
        <v>226</v>
      </c>
      <c r="F301" s="22"/>
      <c r="G301" s="23" t="s">
        <v>100</v>
      </c>
      <c r="H301" s="6"/>
      <c r="I301" s="6"/>
      <c r="J301" s="6"/>
      <c r="K301" s="6"/>
      <c r="L301" s="6"/>
      <c r="M301" s="6"/>
      <c r="N301" s="6"/>
      <c r="O301" s="16" t="str">
        <f>IF(COUNT(I301:M301)&lt;5,"",ROUND((I301*Matriz!$C$5+J301*Matriz!$C$6+K301*Matriz!$C$7+L301*Matriz!$C$8+M301*Matriz!$C$9)/SUM(Matriz!$C$5:$C$9),2))</f>
        <v/>
      </c>
      <c r="P301" s="17">
        <f>IFERROR(INDEX(Processos!$F$8:$F$17,MATCH(C301,Processos!$A$8:$A$17,0)),1)</f>
        <v>1.034</v>
      </c>
      <c r="Q301" s="24">
        <f>IFERROR(INDEX(Matriz!$C$28:$C$33,MATCH(G301,Matriz!$A$28:$A$33,0)),0)</f>
        <v>0</v>
      </c>
      <c r="R301" s="25" t="str">
        <f t="shared" si="16"/>
        <v/>
      </c>
      <c r="S301" s="10" t="str">
        <f>IF(R301="","",IF(R301&gt;=Matriz!$C$19,4,IF(R301&gt;=Matriz!$C$18,3,IF(R301&gt;=Matriz!$C$17,2,1))))</f>
        <v/>
      </c>
      <c r="T301" s="9" t="str">
        <f>IF(S301="","",MAX(S301,IF(I301=5,Matriz!$C$23,0),IF(N301="Sim",Matriz!$C$24,0)))</f>
        <v/>
      </c>
      <c r="U301" s="9" t="str">
        <f t="shared" si="17"/>
        <v/>
      </c>
      <c r="V301" s="26" t="str">
        <f t="shared" si="18"/>
        <v/>
      </c>
      <c r="W301" s="10" t="str">
        <f t="shared" si="19"/>
        <v/>
      </c>
      <c r="X301" s="4"/>
      <c r="Y301" s="4"/>
    </row>
    <row r="302" spans="1:25" ht="28.05" hidden="1" customHeight="1" x14ac:dyDescent="0.3">
      <c r="A302" s="20" t="s">
        <v>790</v>
      </c>
      <c r="B302" s="21" t="s">
        <v>791</v>
      </c>
      <c r="C302" s="4" t="s">
        <v>134</v>
      </c>
      <c r="D302" s="4" t="s">
        <v>657</v>
      </c>
      <c r="E302" s="4" t="s">
        <v>226</v>
      </c>
      <c r="F302" s="22"/>
      <c r="G302" s="23" t="s">
        <v>100</v>
      </c>
      <c r="H302" s="6"/>
      <c r="I302" s="6"/>
      <c r="J302" s="6"/>
      <c r="K302" s="6"/>
      <c r="L302" s="6"/>
      <c r="M302" s="6"/>
      <c r="N302" s="6"/>
      <c r="O302" s="16" t="str">
        <f>IF(COUNT(I302:M302)&lt;5,"",ROUND((I302*Matriz!$C$5+J302*Matriz!$C$6+K302*Matriz!$C$7+L302*Matriz!$C$8+M302*Matriz!$C$9)/SUM(Matriz!$C$5:$C$9),2))</f>
        <v/>
      </c>
      <c r="P302" s="17">
        <f>IFERROR(INDEX(Processos!$F$8:$F$17,MATCH(C302,Processos!$A$8:$A$17,0)),1)</f>
        <v>1.034</v>
      </c>
      <c r="Q302" s="24">
        <f>IFERROR(INDEX(Matriz!$C$28:$C$33,MATCH(G302,Matriz!$A$28:$A$33,0)),0)</f>
        <v>0</v>
      </c>
      <c r="R302" s="25" t="str">
        <f t="shared" si="16"/>
        <v/>
      </c>
      <c r="S302" s="10" t="str">
        <f>IF(R302="","",IF(R302&gt;=Matriz!$C$19,4,IF(R302&gt;=Matriz!$C$18,3,IF(R302&gt;=Matriz!$C$17,2,1))))</f>
        <v/>
      </c>
      <c r="T302" s="9" t="str">
        <f>IF(S302="","",MAX(S302,IF(I302=5,Matriz!$C$23,0),IF(N302="Sim",Matriz!$C$24,0)))</f>
        <v/>
      </c>
      <c r="U302" s="9" t="str">
        <f t="shared" si="17"/>
        <v/>
      </c>
      <c r="V302" s="26" t="str">
        <f t="shared" si="18"/>
        <v/>
      </c>
      <c r="W302" s="10" t="str">
        <f t="shared" si="19"/>
        <v/>
      </c>
      <c r="X302" s="4"/>
      <c r="Y302" s="4"/>
    </row>
    <row r="303" spans="1:25" ht="28.05" hidden="1" customHeight="1" x14ac:dyDescent="0.3">
      <c r="A303" s="20" t="s">
        <v>792</v>
      </c>
      <c r="B303" s="21" t="s">
        <v>793</v>
      </c>
      <c r="C303" s="4" t="s">
        <v>134</v>
      </c>
      <c r="D303" s="4" t="s">
        <v>229</v>
      </c>
      <c r="E303" s="4" t="s">
        <v>226</v>
      </c>
      <c r="F303" s="22"/>
      <c r="G303" s="23" t="s">
        <v>102</v>
      </c>
      <c r="H303" s="6"/>
      <c r="I303" s="6"/>
      <c r="J303" s="6"/>
      <c r="K303" s="6"/>
      <c r="L303" s="6"/>
      <c r="M303" s="6"/>
      <c r="N303" s="6"/>
      <c r="O303" s="16" t="str">
        <f>IF(COUNT(I303:M303)&lt;5,"",ROUND((I303*Matriz!$C$5+J303*Matriz!$C$6+K303*Matriz!$C$7+L303*Matriz!$C$8+M303*Matriz!$C$9)/SUM(Matriz!$C$5:$C$9),2))</f>
        <v/>
      </c>
      <c r="P303" s="17">
        <f>IFERROR(INDEX(Processos!$F$8:$F$17,MATCH(C303,Processos!$A$8:$A$17,0)),1)</f>
        <v>1.034</v>
      </c>
      <c r="Q303" s="24">
        <f>IFERROR(INDEX(Matriz!$C$28:$C$33,MATCH(G303,Matriz!$A$28:$A$33,0)),0)</f>
        <v>0</v>
      </c>
      <c r="R303" s="25" t="str">
        <f t="shared" si="16"/>
        <v/>
      </c>
      <c r="S303" s="10" t="str">
        <f>IF(R303="","",IF(R303&gt;=Matriz!$C$19,4,IF(R303&gt;=Matriz!$C$18,3,IF(R303&gt;=Matriz!$C$17,2,1))))</f>
        <v/>
      </c>
      <c r="T303" s="9" t="str">
        <f>IF(S303="","",MAX(S303,IF(I303=5,Matriz!$C$23,0),IF(N303="Sim",Matriz!$C$24,0)))</f>
        <v/>
      </c>
      <c r="U303" s="9" t="str">
        <f t="shared" si="17"/>
        <v/>
      </c>
      <c r="V303" s="26" t="str">
        <f t="shared" si="18"/>
        <v/>
      </c>
      <c r="W303" s="10" t="str">
        <f t="shared" si="19"/>
        <v/>
      </c>
      <c r="X303" s="4"/>
      <c r="Y303" s="4"/>
    </row>
    <row r="304" spans="1:25" ht="28.05" hidden="1" customHeight="1" x14ac:dyDescent="0.3">
      <c r="A304" s="20" t="s">
        <v>794</v>
      </c>
      <c r="B304" s="21" t="s">
        <v>795</v>
      </c>
      <c r="C304" s="4" t="s">
        <v>134</v>
      </c>
      <c r="D304" s="4" t="s">
        <v>229</v>
      </c>
      <c r="E304" s="4" t="s">
        <v>226</v>
      </c>
      <c r="F304" s="22"/>
      <c r="G304" s="23" t="s">
        <v>102</v>
      </c>
      <c r="H304" s="6"/>
      <c r="I304" s="6"/>
      <c r="J304" s="6"/>
      <c r="K304" s="6"/>
      <c r="L304" s="6"/>
      <c r="M304" s="6"/>
      <c r="N304" s="6"/>
      <c r="O304" s="16" t="str">
        <f>IF(COUNT(I304:M304)&lt;5,"",ROUND((I304*Matriz!$C$5+J304*Matriz!$C$6+K304*Matriz!$C$7+L304*Matriz!$C$8+M304*Matriz!$C$9)/SUM(Matriz!$C$5:$C$9),2))</f>
        <v/>
      </c>
      <c r="P304" s="17">
        <f>IFERROR(INDEX(Processos!$F$8:$F$17,MATCH(C304,Processos!$A$8:$A$17,0)),1)</f>
        <v>1.034</v>
      </c>
      <c r="Q304" s="24">
        <f>IFERROR(INDEX(Matriz!$C$28:$C$33,MATCH(G304,Matriz!$A$28:$A$33,0)),0)</f>
        <v>0</v>
      </c>
      <c r="R304" s="25" t="str">
        <f t="shared" si="16"/>
        <v/>
      </c>
      <c r="S304" s="10" t="str">
        <f>IF(R304="","",IF(R304&gt;=Matriz!$C$19,4,IF(R304&gt;=Matriz!$C$18,3,IF(R304&gt;=Matriz!$C$17,2,1))))</f>
        <v/>
      </c>
      <c r="T304" s="9" t="str">
        <f>IF(S304="","",MAX(S304,IF(I304=5,Matriz!$C$23,0),IF(N304="Sim",Matriz!$C$24,0)))</f>
        <v/>
      </c>
      <c r="U304" s="9" t="str">
        <f t="shared" si="17"/>
        <v/>
      </c>
      <c r="V304" s="26" t="str">
        <f t="shared" si="18"/>
        <v/>
      </c>
      <c r="W304" s="10" t="str">
        <f t="shared" si="19"/>
        <v/>
      </c>
      <c r="X304" s="4"/>
      <c r="Y304" s="4"/>
    </row>
    <row r="305" spans="1:25" ht="28.05" hidden="1" customHeight="1" x14ac:dyDescent="0.3">
      <c r="A305" s="20" t="s">
        <v>796</v>
      </c>
      <c r="B305" s="21" t="s">
        <v>797</v>
      </c>
      <c r="C305" s="4" t="s">
        <v>134</v>
      </c>
      <c r="D305" s="4" t="s">
        <v>657</v>
      </c>
      <c r="E305" s="4" t="s">
        <v>226</v>
      </c>
      <c r="F305" s="22"/>
      <c r="G305" s="23" t="s">
        <v>104</v>
      </c>
      <c r="H305" s="6"/>
      <c r="I305" s="6"/>
      <c r="J305" s="6"/>
      <c r="K305" s="6"/>
      <c r="L305" s="6"/>
      <c r="M305" s="6"/>
      <c r="N305" s="6"/>
      <c r="O305" s="16" t="str">
        <f>IF(COUNT(I305:M305)&lt;5,"",ROUND((I305*Matriz!$C$5+J305*Matriz!$C$6+K305*Matriz!$C$7+L305*Matriz!$C$8+M305*Matriz!$C$9)/SUM(Matriz!$C$5:$C$9),2))</f>
        <v/>
      </c>
      <c r="P305" s="17">
        <f>IFERROR(INDEX(Processos!$F$8:$F$17,MATCH(C305,Processos!$A$8:$A$17,0)),1)</f>
        <v>1.034</v>
      </c>
      <c r="Q305" s="24">
        <f>IFERROR(INDEX(Matriz!$C$28:$C$33,MATCH(G305,Matriz!$A$28:$A$33,0)),0)</f>
        <v>0</v>
      </c>
      <c r="R305" s="25" t="str">
        <f t="shared" si="16"/>
        <v/>
      </c>
      <c r="S305" s="10" t="str">
        <f>IF(R305="","",IF(R305&gt;=Matriz!$C$19,4,IF(R305&gt;=Matriz!$C$18,3,IF(R305&gt;=Matriz!$C$17,2,1))))</f>
        <v/>
      </c>
      <c r="T305" s="9" t="str">
        <f>IF(S305="","",MAX(S305,IF(I305=5,Matriz!$C$23,0),IF(N305="Sim",Matriz!$C$24,0)))</f>
        <v/>
      </c>
      <c r="U305" s="9" t="str">
        <f t="shared" si="17"/>
        <v/>
      </c>
      <c r="V305" s="26" t="str">
        <f t="shared" si="18"/>
        <v/>
      </c>
      <c r="W305" s="10" t="str">
        <f t="shared" si="19"/>
        <v/>
      </c>
      <c r="X305" s="4"/>
      <c r="Y305" s="4"/>
    </row>
    <row r="306" spans="1:25" ht="28.05" hidden="1" customHeight="1" x14ac:dyDescent="0.3">
      <c r="A306" s="20" t="s">
        <v>798</v>
      </c>
      <c r="B306" s="21" t="s">
        <v>799</v>
      </c>
      <c r="C306" s="4" t="s">
        <v>134</v>
      </c>
      <c r="D306" s="4" t="s">
        <v>242</v>
      </c>
      <c r="E306" s="4" t="s">
        <v>226</v>
      </c>
      <c r="F306" s="22"/>
      <c r="G306" s="23" t="s">
        <v>98</v>
      </c>
      <c r="H306" s="6"/>
      <c r="I306" s="6"/>
      <c r="J306" s="6"/>
      <c r="K306" s="6"/>
      <c r="L306" s="6"/>
      <c r="M306" s="6"/>
      <c r="N306" s="6"/>
      <c r="O306" s="16" t="str">
        <f>IF(COUNT(I306:M306)&lt;5,"",ROUND((I306*Matriz!$C$5+J306*Matriz!$C$6+K306*Matriz!$C$7+L306*Matriz!$C$8+M306*Matriz!$C$9)/SUM(Matriz!$C$5:$C$9),2))</f>
        <v/>
      </c>
      <c r="P306" s="17">
        <f>IFERROR(INDEX(Processos!$F$8:$F$17,MATCH(C306,Processos!$A$8:$A$17,0)),1)</f>
        <v>1.034</v>
      </c>
      <c r="Q306" s="24">
        <f>IFERROR(INDEX(Matriz!$C$28:$C$33,MATCH(G306,Matriz!$A$28:$A$33,0)),0)</f>
        <v>0.3</v>
      </c>
      <c r="R306" s="25" t="str">
        <f t="shared" si="16"/>
        <v/>
      </c>
      <c r="S306" s="10" t="str">
        <f>IF(R306="","",IF(R306&gt;=Matriz!$C$19,4,IF(R306&gt;=Matriz!$C$18,3,IF(R306&gt;=Matriz!$C$17,2,1))))</f>
        <v/>
      </c>
      <c r="T306" s="9" t="str">
        <f>IF(S306="","",MAX(S306,IF(I306=5,Matriz!$C$23,0),IF(N306="Sim",Matriz!$C$24,0)))</f>
        <v/>
      </c>
      <c r="U306" s="9" t="str">
        <f t="shared" si="17"/>
        <v/>
      </c>
      <c r="V306" s="26" t="str">
        <f t="shared" si="18"/>
        <v/>
      </c>
      <c r="W306" s="10" t="str">
        <f t="shared" si="19"/>
        <v/>
      </c>
      <c r="X306" s="4"/>
      <c r="Y306" s="4"/>
    </row>
    <row r="307" spans="1:25" ht="28.05" hidden="1" customHeight="1" x14ac:dyDescent="0.3">
      <c r="A307" s="20" t="s">
        <v>800</v>
      </c>
      <c r="B307" s="21" t="s">
        <v>801</v>
      </c>
      <c r="C307" s="4" t="s">
        <v>134</v>
      </c>
      <c r="D307" s="4" t="s">
        <v>657</v>
      </c>
      <c r="E307" s="4" t="s">
        <v>226</v>
      </c>
      <c r="F307" s="22"/>
      <c r="G307" s="23" t="s">
        <v>104</v>
      </c>
      <c r="H307" s="6"/>
      <c r="I307" s="6"/>
      <c r="J307" s="6"/>
      <c r="K307" s="6"/>
      <c r="L307" s="6"/>
      <c r="M307" s="6"/>
      <c r="N307" s="6"/>
      <c r="O307" s="16" t="str">
        <f>IF(COUNT(I307:M307)&lt;5,"",ROUND((I307*Matriz!$C$5+J307*Matriz!$C$6+K307*Matriz!$C$7+L307*Matriz!$C$8+M307*Matriz!$C$9)/SUM(Matriz!$C$5:$C$9),2))</f>
        <v/>
      </c>
      <c r="P307" s="17">
        <f>IFERROR(INDEX(Processos!$F$8:$F$17,MATCH(C307,Processos!$A$8:$A$17,0)),1)</f>
        <v>1.034</v>
      </c>
      <c r="Q307" s="24">
        <f>IFERROR(INDEX(Matriz!$C$28:$C$33,MATCH(G307,Matriz!$A$28:$A$33,0)),0)</f>
        <v>0</v>
      </c>
      <c r="R307" s="25" t="str">
        <f t="shared" si="16"/>
        <v/>
      </c>
      <c r="S307" s="10" t="str">
        <f>IF(R307="","",IF(R307&gt;=Matriz!$C$19,4,IF(R307&gt;=Matriz!$C$18,3,IF(R307&gt;=Matriz!$C$17,2,1))))</f>
        <v/>
      </c>
      <c r="T307" s="9" t="str">
        <f>IF(S307="","",MAX(S307,IF(I307=5,Matriz!$C$23,0),IF(N307="Sim",Matriz!$C$24,0)))</f>
        <v/>
      </c>
      <c r="U307" s="9" t="str">
        <f t="shared" si="17"/>
        <v/>
      </c>
      <c r="V307" s="26" t="str">
        <f t="shared" si="18"/>
        <v/>
      </c>
      <c r="W307" s="10" t="str">
        <f t="shared" si="19"/>
        <v/>
      </c>
      <c r="X307" s="4"/>
      <c r="Y307" s="4"/>
    </row>
    <row r="308" spans="1:25" ht="28.05" hidden="1" customHeight="1" x14ac:dyDescent="0.3">
      <c r="A308" s="20" t="s">
        <v>802</v>
      </c>
      <c r="B308" s="21" t="s">
        <v>803</v>
      </c>
      <c r="C308" s="4" t="s">
        <v>134</v>
      </c>
      <c r="D308" s="4" t="s">
        <v>657</v>
      </c>
      <c r="E308" s="4" t="s">
        <v>226</v>
      </c>
      <c r="F308" s="22"/>
      <c r="G308" s="23" t="s">
        <v>104</v>
      </c>
      <c r="H308" s="6"/>
      <c r="I308" s="6"/>
      <c r="J308" s="6"/>
      <c r="K308" s="6"/>
      <c r="L308" s="6"/>
      <c r="M308" s="6"/>
      <c r="N308" s="6"/>
      <c r="O308" s="16" t="str">
        <f>IF(COUNT(I308:M308)&lt;5,"",ROUND((I308*Matriz!$C$5+J308*Matriz!$C$6+K308*Matriz!$C$7+L308*Matriz!$C$8+M308*Matriz!$C$9)/SUM(Matriz!$C$5:$C$9),2))</f>
        <v/>
      </c>
      <c r="P308" s="17">
        <f>IFERROR(INDEX(Processos!$F$8:$F$17,MATCH(C308,Processos!$A$8:$A$17,0)),1)</f>
        <v>1.034</v>
      </c>
      <c r="Q308" s="24">
        <f>IFERROR(INDEX(Matriz!$C$28:$C$33,MATCH(G308,Matriz!$A$28:$A$33,0)),0)</f>
        <v>0</v>
      </c>
      <c r="R308" s="25" t="str">
        <f t="shared" si="16"/>
        <v/>
      </c>
      <c r="S308" s="10" t="str">
        <f>IF(R308="","",IF(R308&gt;=Matriz!$C$19,4,IF(R308&gt;=Matriz!$C$18,3,IF(R308&gt;=Matriz!$C$17,2,1))))</f>
        <v/>
      </c>
      <c r="T308" s="9" t="str">
        <f>IF(S308="","",MAX(S308,IF(I308=5,Matriz!$C$23,0),IF(N308="Sim",Matriz!$C$24,0)))</f>
        <v/>
      </c>
      <c r="U308" s="9" t="str">
        <f t="shared" si="17"/>
        <v/>
      </c>
      <c r="V308" s="26" t="str">
        <f t="shared" si="18"/>
        <v/>
      </c>
      <c r="W308" s="10" t="str">
        <f t="shared" si="19"/>
        <v/>
      </c>
      <c r="X308" s="4"/>
      <c r="Y308" s="4"/>
    </row>
    <row r="309" spans="1:25" ht="28.05" hidden="1" customHeight="1" x14ac:dyDescent="0.3">
      <c r="A309" s="20" t="s">
        <v>804</v>
      </c>
      <c r="B309" s="21" t="s">
        <v>805</v>
      </c>
      <c r="C309" s="4" t="s">
        <v>134</v>
      </c>
      <c r="D309" s="4" t="s">
        <v>229</v>
      </c>
      <c r="E309" s="4" t="s">
        <v>226</v>
      </c>
      <c r="F309" s="22"/>
      <c r="G309" s="23" t="s">
        <v>106</v>
      </c>
      <c r="H309" s="6"/>
      <c r="I309" s="6"/>
      <c r="J309" s="6"/>
      <c r="K309" s="6"/>
      <c r="L309" s="6"/>
      <c r="M309" s="6"/>
      <c r="N309" s="6"/>
      <c r="O309" s="16" t="str">
        <f>IF(COUNT(I309:M309)&lt;5,"",ROUND((I309*Matriz!$C$5+J309*Matriz!$C$6+K309*Matriz!$C$7+L309*Matriz!$C$8+M309*Matriz!$C$9)/SUM(Matriz!$C$5:$C$9),2))</f>
        <v/>
      </c>
      <c r="P309" s="17">
        <f>IFERROR(INDEX(Processos!$F$8:$F$17,MATCH(C309,Processos!$A$8:$A$17,0)),1)</f>
        <v>1.034</v>
      </c>
      <c r="Q309" s="24">
        <f>IFERROR(INDEX(Matriz!$C$28:$C$33,MATCH(G309,Matriz!$A$28:$A$33,0)),0)</f>
        <v>-0.2</v>
      </c>
      <c r="R309" s="25" t="str">
        <f t="shared" si="16"/>
        <v/>
      </c>
      <c r="S309" s="10" t="str">
        <f>IF(R309="","",IF(R309&gt;=Matriz!$C$19,4,IF(R309&gt;=Matriz!$C$18,3,IF(R309&gt;=Matriz!$C$17,2,1))))</f>
        <v/>
      </c>
      <c r="T309" s="9" t="str">
        <f>IF(S309="","",MAX(S309,IF(I309=5,Matriz!$C$23,0),IF(N309="Sim",Matriz!$C$24,0)))</f>
        <v/>
      </c>
      <c r="U309" s="9" t="str">
        <f t="shared" si="17"/>
        <v/>
      </c>
      <c r="V309" s="26" t="str">
        <f t="shared" si="18"/>
        <v/>
      </c>
      <c r="W309" s="10" t="str">
        <f t="shared" si="19"/>
        <v/>
      </c>
      <c r="X309" s="4"/>
      <c r="Y309" s="4"/>
    </row>
    <row r="310" spans="1:25" ht="28.05" hidden="1" customHeight="1" x14ac:dyDescent="0.3">
      <c r="A310" s="20" t="s">
        <v>806</v>
      </c>
      <c r="B310" s="21" t="s">
        <v>807</v>
      </c>
      <c r="C310" s="4" t="s">
        <v>134</v>
      </c>
      <c r="D310" s="4" t="s">
        <v>229</v>
      </c>
      <c r="E310" s="4" t="s">
        <v>226</v>
      </c>
      <c r="F310" s="22"/>
      <c r="G310" s="23" t="s">
        <v>102</v>
      </c>
      <c r="H310" s="6"/>
      <c r="I310" s="6"/>
      <c r="J310" s="6"/>
      <c r="K310" s="6"/>
      <c r="L310" s="6"/>
      <c r="M310" s="6"/>
      <c r="N310" s="6"/>
      <c r="O310" s="16" t="str">
        <f>IF(COUNT(I310:M310)&lt;5,"",ROUND((I310*Matriz!$C$5+J310*Matriz!$C$6+K310*Matriz!$C$7+L310*Matriz!$C$8+M310*Matriz!$C$9)/SUM(Matriz!$C$5:$C$9),2))</f>
        <v/>
      </c>
      <c r="P310" s="17">
        <f>IFERROR(INDEX(Processos!$F$8:$F$17,MATCH(C310,Processos!$A$8:$A$17,0)),1)</f>
        <v>1.034</v>
      </c>
      <c r="Q310" s="24">
        <f>IFERROR(INDEX(Matriz!$C$28:$C$33,MATCH(G310,Matriz!$A$28:$A$33,0)),0)</f>
        <v>0</v>
      </c>
      <c r="R310" s="25" t="str">
        <f t="shared" si="16"/>
        <v/>
      </c>
      <c r="S310" s="10" t="str">
        <f>IF(R310="","",IF(R310&gt;=Matriz!$C$19,4,IF(R310&gt;=Matriz!$C$18,3,IF(R310&gt;=Matriz!$C$17,2,1))))</f>
        <v/>
      </c>
      <c r="T310" s="9" t="str">
        <f>IF(S310="","",MAX(S310,IF(I310=5,Matriz!$C$23,0),IF(N310="Sim",Matriz!$C$24,0)))</f>
        <v/>
      </c>
      <c r="U310" s="9" t="str">
        <f t="shared" si="17"/>
        <v/>
      </c>
      <c r="V310" s="26" t="str">
        <f t="shared" si="18"/>
        <v/>
      </c>
      <c r="W310" s="10" t="str">
        <f t="shared" si="19"/>
        <v/>
      </c>
      <c r="X310" s="4"/>
      <c r="Y310" s="4"/>
    </row>
    <row r="311" spans="1:25" ht="28.05" hidden="1" customHeight="1" x14ac:dyDescent="0.3">
      <c r="A311" s="20" t="s">
        <v>808</v>
      </c>
      <c r="B311" s="21" t="s">
        <v>809</v>
      </c>
      <c r="C311" s="4" t="s">
        <v>134</v>
      </c>
      <c r="D311" s="4" t="s">
        <v>563</v>
      </c>
      <c r="E311" s="4" t="s">
        <v>326</v>
      </c>
      <c r="F311" s="22"/>
      <c r="G311" s="23" t="s">
        <v>104</v>
      </c>
      <c r="H311" s="6"/>
      <c r="I311" s="6"/>
      <c r="J311" s="6"/>
      <c r="K311" s="6"/>
      <c r="L311" s="6"/>
      <c r="M311" s="6"/>
      <c r="N311" s="6"/>
      <c r="O311" s="16" t="str">
        <f>IF(COUNT(I311:M311)&lt;5,"",ROUND((I311*Matriz!$C$5+J311*Matriz!$C$6+K311*Matriz!$C$7+L311*Matriz!$C$8+M311*Matriz!$C$9)/SUM(Matriz!$C$5:$C$9),2))</f>
        <v/>
      </c>
      <c r="P311" s="17">
        <f>IFERROR(INDEX(Processos!$F$8:$F$17,MATCH(C311,Processos!$A$8:$A$17,0)),1)</f>
        <v>1.034</v>
      </c>
      <c r="Q311" s="24">
        <f>IFERROR(INDEX(Matriz!$C$28:$C$33,MATCH(G311,Matriz!$A$28:$A$33,0)),0)</f>
        <v>0</v>
      </c>
      <c r="R311" s="25" t="str">
        <f t="shared" si="16"/>
        <v/>
      </c>
      <c r="S311" s="10" t="str">
        <f>IF(R311="","",IF(R311&gt;=Matriz!$C$19,4,IF(R311&gt;=Matriz!$C$18,3,IF(R311&gt;=Matriz!$C$17,2,1))))</f>
        <v/>
      </c>
      <c r="T311" s="9" t="str">
        <f>IF(S311="","",MAX(S311,IF(I311=5,Matriz!$C$23,0),IF(N311="Sim",Matriz!$C$24,0)))</f>
        <v/>
      </c>
      <c r="U311" s="9" t="str">
        <f t="shared" si="17"/>
        <v/>
      </c>
      <c r="V311" s="26" t="str">
        <f t="shared" si="18"/>
        <v/>
      </c>
      <c r="W311" s="10" t="str">
        <f t="shared" si="19"/>
        <v/>
      </c>
      <c r="X311" s="4"/>
      <c r="Y311" s="4"/>
    </row>
    <row r="312" spans="1:25" ht="28.05" customHeight="1" x14ac:dyDescent="0.3">
      <c r="A312" s="20" t="s">
        <v>810</v>
      </c>
      <c r="B312" s="21" t="s">
        <v>811</v>
      </c>
      <c r="C312" s="4" t="s">
        <v>124</v>
      </c>
      <c r="D312" s="4" t="s">
        <v>202</v>
      </c>
      <c r="E312" s="4" t="s">
        <v>385</v>
      </c>
      <c r="F312" s="22">
        <v>46173</v>
      </c>
      <c r="G312" s="23" t="s">
        <v>104</v>
      </c>
      <c r="H312" s="6"/>
      <c r="I312" s="6"/>
      <c r="J312" s="6"/>
      <c r="K312" s="6"/>
      <c r="L312" s="6"/>
      <c r="M312" s="6"/>
      <c r="N312" s="6"/>
      <c r="O312" s="16" t="str">
        <f>IF(COUNT(I312:M312)&lt;5,"",ROUND((I312*Matriz!$C$5+J312*Matriz!$C$6+K312*Matriz!$C$7+L312*Matriz!$C$8+M312*Matriz!$C$9)/SUM(Matriz!$C$5:$C$9),2))</f>
        <v/>
      </c>
      <c r="P312" s="17">
        <f>IFERROR(INDEX(Processos!$F$8:$F$17,MATCH(C312,Processos!$A$8:$A$17,0)),1)</f>
        <v>1.1000000000000001</v>
      </c>
      <c r="Q312" s="24">
        <f>IFERROR(INDEX(Matriz!$C$28:$C$33,MATCH(G312,Matriz!$A$28:$A$33,0)),0)</f>
        <v>0</v>
      </c>
      <c r="R312" s="25" t="str">
        <f t="shared" si="16"/>
        <v/>
      </c>
      <c r="S312" s="10" t="str">
        <f>IF(R312="","",IF(R312&gt;=Matriz!$C$19,4,IF(R312&gt;=Matriz!$C$18,3,IF(R312&gt;=Matriz!$C$17,2,1))))</f>
        <v/>
      </c>
      <c r="T312" s="9" t="str">
        <f>IF(S312="","",MAX(S312,IF(I312=5,Matriz!$C$23,0),IF(N312="Sim",Matriz!$C$24,0)))</f>
        <v/>
      </c>
      <c r="U312" s="9" t="str">
        <f t="shared" si="17"/>
        <v/>
      </c>
      <c r="V312" s="26" t="str">
        <f t="shared" si="18"/>
        <v/>
      </c>
      <c r="W312" s="10" t="str">
        <f t="shared" si="19"/>
        <v/>
      </c>
      <c r="X312" s="4"/>
      <c r="Y312" s="4"/>
    </row>
    <row r="313" spans="1:25" ht="28.05" customHeight="1" x14ac:dyDescent="0.3">
      <c r="A313" s="20" t="s">
        <v>812</v>
      </c>
      <c r="B313" s="21" t="s">
        <v>813</v>
      </c>
      <c r="C313" s="4" t="s">
        <v>124</v>
      </c>
      <c r="D313" s="4" t="s">
        <v>202</v>
      </c>
      <c r="E313" s="4" t="s">
        <v>385</v>
      </c>
      <c r="F313" s="22">
        <v>46265</v>
      </c>
      <c r="G313" s="23" t="s">
        <v>104</v>
      </c>
      <c r="H313" s="6"/>
      <c r="I313" s="6"/>
      <c r="J313" s="6"/>
      <c r="K313" s="6"/>
      <c r="L313" s="6"/>
      <c r="M313" s="6"/>
      <c r="N313" s="6"/>
      <c r="O313" s="16" t="str">
        <f>IF(COUNT(I313:M313)&lt;5,"",ROUND((I313*Matriz!$C$5+J313*Matriz!$C$6+K313*Matriz!$C$7+L313*Matriz!$C$8+M313*Matriz!$C$9)/SUM(Matriz!$C$5:$C$9),2))</f>
        <v/>
      </c>
      <c r="P313" s="17">
        <f>IFERROR(INDEX(Processos!$F$8:$F$17,MATCH(C313,Processos!$A$8:$A$17,0)),1)</f>
        <v>1.1000000000000001</v>
      </c>
      <c r="Q313" s="24">
        <f>IFERROR(INDEX(Matriz!$C$28:$C$33,MATCH(G313,Matriz!$A$28:$A$33,0)),0)</f>
        <v>0</v>
      </c>
      <c r="R313" s="25" t="str">
        <f t="shared" si="16"/>
        <v/>
      </c>
      <c r="S313" s="10" t="str">
        <f>IF(R313="","",IF(R313&gt;=Matriz!$C$19,4,IF(R313&gt;=Matriz!$C$18,3,IF(R313&gt;=Matriz!$C$17,2,1))))</f>
        <v/>
      </c>
      <c r="T313" s="9" t="str">
        <f>IF(S313="","",MAX(S313,IF(I313=5,Matriz!$C$23,0),IF(N313="Sim",Matriz!$C$24,0)))</f>
        <v/>
      </c>
      <c r="U313" s="9" t="str">
        <f t="shared" si="17"/>
        <v/>
      </c>
      <c r="V313" s="26" t="str">
        <f t="shared" si="18"/>
        <v/>
      </c>
      <c r="W313" s="10" t="str">
        <f t="shared" si="19"/>
        <v/>
      </c>
      <c r="X313" s="4"/>
      <c r="Y313" s="4"/>
    </row>
    <row r="314" spans="1:25" ht="28.05" customHeight="1" x14ac:dyDescent="0.3">
      <c r="A314" s="20" t="s">
        <v>814</v>
      </c>
      <c r="B314" s="21" t="s">
        <v>815</v>
      </c>
      <c r="C314" s="4" t="s">
        <v>124</v>
      </c>
      <c r="D314" s="4" t="s">
        <v>202</v>
      </c>
      <c r="E314" s="4" t="s">
        <v>385</v>
      </c>
      <c r="F314" s="22">
        <v>46265</v>
      </c>
      <c r="G314" s="23" t="s">
        <v>100</v>
      </c>
      <c r="H314" s="6"/>
      <c r="I314" s="6"/>
      <c r="J314" s="6"/>
      <c r="K314" s="6"/>
      <c r="L314" s="6"/>
      <c r="M314" s="6"/>
      <c r="N314" s="6"/>
      <c r="O314" s="16" t="str">
        <f>IF(COUNT(I314:M314)&lt;5,"",ROUND((I314*Matriz!$C$5+J314*Matriz!$C$6+K314*Matriz!$C$7+L314*Matriz!$C$8+M314*Matriz!$C$9)/SUM(Matriz!$C$5:$C$9),2))</f>
        <v/>
      </c>
      <c r="P314" s="17">
        <f>IFERROR(INDEX(Processos!$F$8:$F$17,MATCH(C314,Processos!$A$8:$A$17,0)),1)</f>
        <v>1.1000000000000001</v>
      </c>
      <c r="Q314" s="24">
        <f>IFERROR(INDEX(Matriz!$C$28:$C$33,MATCH(G314,Matriz!$A$28:$A$33,0)),0)</f>
        <v>0</v>
      </c>
      <c r="R314" s="25" t="str">
        <f t="shared" si="16"/>
        <v/>
      </c>
      <c r="S314" s="10" t="str">
        <f>IF(R314="","",IF(R314&gt;=Matriz!$C$19,4,IF(R314&gt;=Matriz!$C$18,3,IF(R314&gt;=Matriz!$C$17,2,1))))</f>
        <v/>
      </c>
      <c r="T314" s="9" t="str">
        <f>IF(S314="","",MAX(S314,IF(I314=5,Matriz!$C$23,0),IF(N314="Sim",Matriz!$C$24,0)))</f>
        <v/>
      </c>
      <c r="U314" s="9" t="str">
        <f t="shared" si="17"/>
        <v/>
      </c>
      <c r="V314" s="26" t="str">
        <f t="shared" si="18"/>
        <v/>
      </c>
      <c r="W314" s="10" t="str">
        <f t="shared" si="19"/>
        <v/>
      </c>
      <c r="X314" s="4"/>
      <c r="Y314" s="4"/>
    </row>
    <row r="315" spans="1:25" ht="28.05" customHeight="1" x14ac:dyDescent="0.3">
      <c r="A315" s="20" t="s">
        <v>816</v>
      </c>
      <c r="B315" s="21" t="s">
        <v>817</v>
      </c>
      <c r="C315" s="4" t="s">
        <v>124</v>
      </c>
      <c r="D315" s="4" t="s">
        <v>202</v>
      </c>
      <c r="E315" s="4" t="s">
        <v>385</v>
      </c>
      <c r="F315" s="22">
        <v>46265</v>
      </c>
      <c r="G315" s="23" t="s">
        <v>100</v>
      </c>
      <c r="H315" s="6"/>
      <c r="I315" s="6"/>
      <c r="J315" s="6"/>
      <c r="K315" s="6"/>
      <c r="L315" s="6"/>
      <c r="M315" s="6"/>
      <c r="N315" s="6"/>
      <c r="O315" s="16" t="str">
        <f>IF(COUNT(I315:M315)&lt;5,"",ROUND((I315*Matriz!$C$5+J315*Matriz!$C$6+K315*Matriz!$C$7+L315*Matriz!$C$8+M315*Matriz!$C$9)/SUM(Matriz!$C$5:$C$9),2))</f>
        <v/>
      </c>
      <c r="P315" s="17">
        <f>IFERROR(INDEX(Processos!$F$8:$F$17,MATCH(C315,Processos!$A$8:$A$17,0)),1)</f>
        <v>1.1000000000000001</v>
      </c>
      <c r="Q315" s="24">
        <f>IFERROR(INDEX(Matriz!$C$28:$C$33,MATCH(G315,Matriz!$A$28:$A$33,0)),0)</f>
        <v>0</v>
      </c>
      <c r="R315" s="25" t="str">
        <f t="shared" si="16"/>
        <v/>
      </c>
      <c r="S315" s="10" t="str">
        <f>IF(R315="","",IF(R315&gt;=Matriz!$C$19,4,IF(R315&gt;=Matriz!$C$18,3,IF(R315&gt;=Matriz!$C$17,2,1))))</f>
        <v/>
      </c>
      <c r="T315" s="9" t="str">
        <f>IF(S315="","",MAX(S315,IF(I315=5,Matriz!$C$23,0),IF(N315="Sim",Matriz!$C$24,0)))</f>
        <v/>
      </c>
      <c r="U315" s="9" t="str">
        <f t="shared" si="17"/>
        <v/>
      </c>
      <c r="V315" s="26" t="str">
        <f t="shared" si="18"/>
        <v/>
      </c>
      <c r="W315" s="10" t="str">
        <f t="shared" si="19"/>
        <v/>
      </c>
      <c r="X315" s="4"/>
      <c r="Y315" s="4"/>
    </row>
    <row r="316" spans="1:25" ht="28.05" customHeight="1" x14ac:dyDescent="0.3">
      <c r="A316" s="20" t="s">
        <v>818</v>
      </c>
      <c r="B316" s="21" t="s">
        <v>819</v>
      </c>
      <c r="C316" s="4" t="s">
        <v>124</v>
      </c>
      <c r="D316" s="4" t="s">
        <v>820</v>
      </c>
      <c r="E316" s="4" t="s">
        <v>385</v>
      </c>
      <c r="F316" s="22">
        <v>46295</v>
      </c>
      <c r="G316" s="23" t="s">
        <v>108</v>
      </c>
      <c r="H316" s="6"/>
      <c r="I316" s="6"/>
      <c r="J316" s="6"/>
      <c r="K316" s="6"/>
      <c r="L316" s="6"/>
      <c r="M316" s="6"/>
      <c r="N316" s="6"/>
      <c r="O316" s="16" t="str">
        <f>IF(COUNT(I316:M316)&lt;5,"",ROUND((I316*Matriz!$C$5+J316*Matriz!$C$6+K316*Matriz!$C$7+L316*Matriz!$C$8+M316*Matriz!$C$9)/SUM(Matriz!$C$5:$C$9),2))</f>
        <v/>
      </c>
      <c r="P316" s="17">
        <f>IFERROR(INDEX(Processos!$F$8:$F$17,MATCH(C316,Processos!$A$8:$A$17,0)),1)</f>
        <v>1.1000000000000001</v>
      </c>
      <c r="Q316" s="24">
        <f>IFERROR(INDEX(Matriz!$C$28:$C$33,MATCH(G316,Matriz!$A$28:$A$33,0)),0)</f>
        <v>-0.3</v>
      </c>
      <c r="R316" s="25" t="str">
        <f t="shared" si="16"/>
        <v/>
      </c>
      <c r="S316" s="10" t="str">
        <f>IF(R316="","",IF(R316&gt;=Matriz!$C$19,4,IF(R316&gt;=Matriz!$C$18,3,IF(R316&gt;=Matriz!$C$17,2,1))))</f>
        <v/>
      </c>
      <c r="T316" s="9" t="str">
        <f>IF(S316="","",MAX(S316,IF(I316=5,Matriz!$C$23,0),IF(N316="Sim",Matriz!$C$24,0)))</f>
        <v/>
      </c>
      <c r="U316" s="9" t="str">
        <f t="shared" si="17"/>
        <v/>
      </c>
      <c r="V316" s="26" t="str">
        <f t="shared" si="18"/>
        <v/>
      </c>
      <c r="W316" s="10" t="str">
        <f t="shared" si="19"/>
        <v/>
      </c>
      <c r="X316" s="4"/>
      <c r="Y316" s="4"/>
    </row>
    <row r="317" spans="1:25" ht="28.05" customHeight="1" x14ac:dyDescent="0.3">
      <c r="A317" s="20" t="s">
        <v>821</v>
      </c>
      <c r="B317" s="21" t="s">
        <v>822</v>
      </c>
      <c r="C317" s="4" t="s">
        <v>124</v>
      </c>
      <c r="D317" s="4" t="s">
        <v>820</v>
      </c>
      <c r="E317" s="4" t="s">
        <v>385</v>
      </c>
      <c r="F317" s="22">
        <v>46295</v>
      </c>
      <c r="G317" s="23" t="s">
        <v>108</v>
      </c>
      <c r="H317" s="6"/>
      <c r="I317" s="6"/>
      <c r="J317" s="6"/>
      <c r="K317" s="6"/>
      <c r="L317" s="6"/>
      <c r="M317" s="6"/>
      <c r="N317" s="6"/>
      <c r="O317" s="16" t="str">
        <f>IF(COUNT(I317:M317)&lt;5,"",ROUND((I317*Matriz!$C$5+J317*Matriz!$C$6+K317*Matriz!$C$7+L317*Matriz!$C$8+M317*Matriz!$C$9)/SUM(Matriz!$C$5:$C$9),2))</f>
        <v/>
      </c>
      <c r="P317" s="17">
        <f>IFERROR(INDEX(Processos!$F$8:$F$17,MATCH(C317,Processos!$A$8:$A$17,0)),1)</f>
        <v>1.1000000000000001</v>
      </c>
      <c r="Q317" s="24">
        <f>IFERROR(INDEX(Matriz!$C$28:$C$33,MATCH(G317,Matriz!$A$28:$A$33,0)),0)</f>
        <v>-0.3</v>
      </c>
      <c r="R317" s="25" t="str">
        <f t="shared" si="16"/>
        <v/>
      </c>
      <c r="S317" s="10" t="str">
        <f>IF(R317="","",IF(R317&gt;=Matriz!$C$19,4,IF(R317&gt;=Matriz!$C$18,3,IF(R317&gt;=Matriz!$C$17,2,1))))</f>
        <v/>
      </c>
      <c r="T317" s="9" t="str">
        <f>IF(S317="","",MAX(S317,IF(I317=5,Matriz!$C$23,0),IF(N317="Sim",Matriz!$C$24,0)))</f>
        <v/>
      </c>
      <c r="U317" s="9" t="str">
        <f t="shared" si="17"/>
        <v/>
      </c>
      <c r="V317" s="26" t="str">
        <f t="shared" si="18"/>
        <v/>
      </c>
      <c r="W317" s="10" t="str">
        <f t="shared" si="19"/>
        <v/>
      </c>
      <c r="X317" s="4"/>
      <c r="Y317" s="4"/>
    </row>
    <row r="318" spans="1:25" ht="28.05" customHeight="1" x14ac:dyDescent="0.3">
      <c r="A318" s="20" t="s">
        <v>823</v>
      </c>
      <c r="B318" s="21" t="s">
        <v>824</v>
      </c>
      <c r="C318" s="4" t="s">
        <v>124</v>
      </c>
      <c r="D318" s="4" t="s">
        <v>820</v>
      </c>
      <c r="E318" s="4" t="s">
        <v>385</v>
      </c>
      <c r="F318" s="22">
        <v>46295</v>
      </c>
      <c r="G318" s="23" t="s">
        <v>108</v>
      </c>
      <c r="H318" s="6"/>
      <c r="I318" s="6"/>
      <c r="J318" s="6"/>
      <c r="K318" s="6"/>
      <c r="L318" s="6"/>
      <c r="M318" s="6"/>
      <c r="N318" s="6"/>
      <c r="O318" s="16" t="str">
        <f>IF(COUNT(I318:M318)&lt;5,"",ROUND((I318*Matriz!$C$5+J318*Matriz!$C$6+K318*Matriz!$C$7+L318*Matriz!$C$8+M318*Matriz!$C$9)/SUM(Matriz!$C$5:$C$9),2))</f>
        <v/>
      </c>
      <c r="P318" s="17">
        <f>IFERROR(INDEX(Processos!$F$8:$F$17,MATCH(C318,Processos!$A$8:$A$17,0)),1)</f>
        <v>1.1000000000000001</v>
      </c>
      <c r="Q318" s="24">
        <f>IFERROR(INDEX(Matriz!$C$28:$C$33,MATCH(G318,Matriz!$A$28:$A$33,0)),0)</f>
        <v>-0.3</v>
      </c>
      <c r="R318" s="25" t="str">
        <f t="shared" si="16"/>
        <v/>
      </c>
      <c r="S318" s="10" t="str">
        <f>IF(R318="","",IF(R318&gt;=Matriz!$C$19,4,IF(R318&gt;=Matriz!$C$18,3,IF(R318&gt;=Matriz!$C$17,2,1))))</f>
        <v/>
      </c>
      <c r="T318" s="9" t="str">
        <f>IF(S318="","",MAX(S318,IF(I318=5,Matriz!$C$23,0),IF(N318="Sim",Matriz!$C$24,0)))</f>
        <v/>
      </c>
      <c r="U318" s="9" t="str">
        <f t="shared" si="17"/>
        <v/>
      </c>
      <c r="V318" s="26" t="str">
        <f t="shared" si="18"/>
        <v/>
      </c>
      <c r="W318" s="10" t="str">
        <f t="shared" si="19"/>
        <v/>
      </c>
      <c r="X318" s="4"/>
      <c r="Y318" s="4"/>
    </row>
    <row r="319" spans="1:25" ht="28.05" customHeight="1" x14ac:dyDescent="0.3">
      <c r="A319" s="20" t="s">
        <v>825</v>
      </c>
      <c r="B319" s="21" t="s">
        <v>826</v>
      </c>
      <c r="C319" s="4" t="s">
        <v>124</v>
      </c>
      <c r="D319" s="4" t="s">
        <v>820</v>
      </c>
      <c r="E319" s="4" t="s">
        <v>385</v>
      </c>
      <c r="F319" s="22">
        <v>46295</v>
      </c>
      <c r="G319" s="23" t="s">
        <v>108</v>
      </c>
      <c r="H319" s="6"/>
      <c r="I319" s="6"/>
      <c r="J319" s="6"/>
      <c r="K319" s="6"/>
      <c r="L319" s="6"/>
      <c r="M319" s="6"/>
      <c r="N319" s="6"/>
      <c r="O319" s="16" t="str">
        <f>IF(COUNT(I319:M319)&lt;5,"",ROUND((I319*Matriz!$C$5+J319*Matriz!$C$6+K319*Matriz!$C$7+L319*Matriz!$C$8+M319*Matriz!$C$9)/SUM(Matriz!$C$5:$C$9),2))</f>
        <v/>
      </c>
      <c r="P319" s="17">
        <f>IFERROR(INDEX(Processos!$F$8:$F$17,MATCH(C319,Processos!$A$8:$A$17,0)),1)</f>
        <v>1.1000000000000001</v>
      </c>
      <c r="Q319" s="24">
        <f>IFERROR(INDEX(Matriz!$C$28:$C$33,MATCH(G319,Matriz!$A$28:$A$33,0)),0)</f>
        <v>-0.3</v>
      </c>
      <c r="R319" s="25" t="str">
        <f t="shared" si="16"/>
        <v/>
      </c>
      <c r="S319" s="10" t="str">
        <f>IF(R319="","",IF(R319&gt;=Matriz!$C$19,4,IF(R319&gt;=Matriz!$C$18,3,IF(R319&gt;=Matriz!$C$17,2,1))))</f>
        <v/>
      </c>
      <c r="T319" s="9" t="str">
        <f>IF(S319="","",MAX(S319,IF(I319=5,Matriz!$C$23,0),IF(N319="Sim",Matriz!$C$24,0)))</f>
        <v/>
      </c>
      <c r="U319" s="9" t="str">
        <f t="shared" si="17"/>
        <v/>
      </c>
      <c r="V319" s="26" t="str">
        <f t="shared" si="18"/>
        <v/>
      </c>
      <c r="W319" s="10" t="str">
        <f t="shared" si="19"/>
        <v/>
      </c>
      <c r="X319" s="4"/>
      <c r="Y319" s="4"/>
    </row>
    <row r="320" spans="1:25" ht="28.05" customHeight="1" x14ac:dyDescent="0.3">
      <c r="A320" s="20" t="s">
        <v>827</v>
      </c>
      <c r="B320" s="21" t="s">
        <v>828</v>
      </c>
      <c r="C320" s="4" t="s">
        <v>124</v>
      </c>
      <c r="D320" s="4" t="s">
        <v>202</v>
      </c>
      <c r="E320" s="4" t="s">
        <v>385</v>
      </c>
      <c r="F320" s="22">
        <v>46295</v>
      </c>
      <c r="G320" s="23" t="s">
        <v>104</v>
      </c>
      <c r="H320" s="6"/>
      <c r="I320" s="6"/>
      <c r="J320" s="6"/>
      <c r="K320" s="6"/>
      <c r="L320" s="6"/>
      <c r="M320" s="6"/>
      <c r="N320" s="6"/>
      <c r="O320" s="16" t="str">
        <f>IF(COUNT(I320:M320)&lt;5,"",ROUND((I320*Matriz!$C$5+J320*Matriz!$C$6+K320*Matriz!$C$7+L320*Matriz!$C$8+M320*Matriz!$C$9)/SUM(Matriz!$C$5:$C$9),2))</f>
        <v/>
      </c>
      <c r="P320" s="17">
        <f>IFERROR(INDEX(Processos!$F$8:$F$17,MATCH(C320,Processos!$A$8:$A$17,0)),1)</f>
        <v>1.1000000000000001</v>
      </c>
      <c r="Q320" s="24">
        <f>IFERROR(INDEX(Matriz!$C$28:$C$33,MATCH(G320,Matriz!$A$28:$A$33,0)),0)</f>
        <v>0</v>
      </c>
      <c r="R320" s="25" t="str">
        <f t="shared" si="16"/>
        <v/>
      </c>
      <c r="S320" s="10" t="str">
        <f>IF(R320="","",IF(R320&gt;=Matriz!$C$19,4,IF(R320&gt;=Matriz!$C$18,3,IF(R320&gt;=Matriz!$C$17,2,1))))</f>
        <v/>
      </c>
      <c r="T320" s="9" t="str">
        <f>IF(S320="","",MAX(S320,IF(I320=5,Matriz!$C$23,0),IF(N320="Sim",Matriz!$C$24,0)))</f>
        <v/>
      </c>
      <c r="U320" s="9" t="str">
        <f t="shared" si="17"/>
        <v/>
      </c>
      <c r="V320" s="26" t="str">
        <f t="shared" si="18"/>
        <v/>
      </c>
      <c r="W320" s="10" t="str">
        <f t="shared" si="19"/>
        <v/>
      </c>
      <c r="X320" s="4"/>
      <c r="Y320" s="4"/>
    </row>
    <row r="321" spans="1:25" ht="28.05" customHeight="1" x14ac:dyDescent="0.3">
      <c r="A321" s="20" t="s">
        <v>829</v>
      </c>
      <c r="B321" s="21" t="s">
        <v>830</v>
      </c>
      <c r="C321" s="4" t="s">
        <v>124</v>
      </c>
      <c r="D321" s="4" t="s">
        <v>831</v>
      </c>
      <c r="E321" s="4" t="s">
        <v>226</v>
      </c>
      <c r="F321" s="22"/>
      <c r="G321" s="23" t="s">
        <v>104</v>
      </c>
      <c r="H321" s="6"/>
      <c r="I321" s="6"/>
      <c r="J321" s="6"/>
      <c r="K321" s="6"/>
      <c r="L321" s="6"/>
      <c r="M321" s="6"/>
      <c r="N321" s="6"/>
      <c r="O321" s="16" t="str">
        <f>IF(COUNT(I321:M321)&lt;5,"",ROUND((I321*Matriz!$C$5+J321*Matriz!$C$6+K321*Matriz!$C$7+L321*Matriz!$C$8+M321*Matriz!$C$9)/SUM(Matriz!$C$5:$C$9),2))</f>
        <v/>
      </c>
      <c r="P321" s="17">
        <f>IFERROR(INDEX(Processos!$F$8:$F$17,MATCH(C321,Processos!$A$8:$A$17,0)),1)</f>
        <v>1.1000000000000001</v>
      </c>
      <c r="Q321" s="24">
        <f>IFERROR(INDEX(Matriz!$C$28:$C$33,MATCH(G321,Matriz!$A$28:$A$33,0)),0)</f>
        <v>0</v>
      </c>
      <c r="R321" s="25" t="str">
        <f t="shared" si="16"/>
        <v/>
      </c>
      <c r="S321" s="10" t="str">
        <f>IF(R321="","",IF(R321&gt;=Matriz!$C$19,4,IF(R321&gt;=Matriz!$C$18,3,IF(R321&gt;=Matriz!$C$17,2,1))))</f>
        <v/>
      </c>
      <c r="T321" s="9" t="str">
        <f>IF(S321="","",MAX(S321,IF(I321=5,Matriz!$C$23,0),IF(N321="Sim",Matriz!$C$24,0)))</f>
        <v/>
      </c>
      <c r="U321" s="9" t="str">
        <f t="shared" si="17"/>
        <v/>
      </c>
      <c r="V321" s="26" t="str">
        <f t="shared" si="18"/>
        <v/>
      </c>
      <c r="W321" s="10" t="str">
        <f t="shared" si="19"/>
        <v/>
      </c>
      <c r="X321" s="4"/>
      <c r="Y321" s="4"/>
    </row>
    <row r="322" spans="1:25" ht="28.05" customHeight="1" x14ac:dyDescent="0.3">
      <c r="A322" s="20" t="s">
        <v>832</v>
      </c>
      <c r="B322" s="21" t="s">
        <v>833</v>
      </c>
      <c r="C322" s="4" t="s">
        <v>124</v>
      </c>
      <c r="D322" s="4" t="s">
        <v>218</v>
      </c>
      <c r="E322" s="4" t="s">
        <v>226</v>
      </c>
      <c r="F322" s="22"/>
      <c r="G322" s="23" t="s">
        <v>102</v>
      </c>
      <c r="H322" s="6"/>
      <c r="I322" s="6"/>
      <c r="J322" s="6"/>
      <c r="K322" s="6"/>
      <c r="L322" s="6"/>
      <c r="M322" s="6"/>
      <c r="N322" s="6"/>
      <c r="O322" s="16" t="str">
        <f>IF(COUNT(I322:M322)&lt;5,"",ROUND((I322*Matriz!$C$5+J322*Matriz!$C$6+K322*Matriz!$C$7+L322*Matriz!$C$8+M322*Matriz!$C$9)/SUM(Matriz!$C$5:$C$9),2))</f>
        <v/>
      </c>
      <c r="P322" s="17">
        <f>IFERROR(INDEX(Processos!$F$8:$F$17,MATCH(C322,Processos!$A$8:$A$17,0)),1)</f>
        <v>1.1000000000000001</v>
      </c>
      <c r="Q322" s="24">
        <f>IFERROR(INDEX(Matriz!$C$28:$C$33,MATCH(G322,Matriz!$A$28:$A$33,0)),0)</f>
        <v>0</v>
      </c>
      <c r="R322" s="25" t="str">
        <f t="shared" si="16"/>
        <v/>
      </c>
      <c r="S322" s="10" t="str">
        <f>IF(R322="","",IF(R322&gt;=Matriz!$C$19,4,IF(R322&gt;=Matriz!$C$18,3,IF(R322&gt;=Matriz!$C$17,2,1))))</f>
        <v/>
      </c>
      <c r="T322" s="9" t="str">
        <f>IF(S322="","",MAX(S322,IF(I322=5,Matriz!$C$23,0),IF(N322="Sim",Matriz!$C$24,0)))</f>
        <v/>
      </c>
      <c r="U322" s="9" t="str">
        <f t="shared" si="17"/>
        <v/>
      </c>
      <c r="V322" s="26" t="str">
        <f t="shared" si="18"/>
        <v/>
      </c>
      <c r="W322" s="10" t="str">
        <f t="shared" si="19"/>
        <v/>
      </c>
      <c r="X322" s="4"/>
      <c r="Y322" s="4"/>
    </row>
    <row r="323" spans="1:25" ht="28.05" customHeight="1" x14ac:dyDescent="0.3">
      <c r="A323" s="20" t="s">
        <v>834</v>
      </c>
      <c r="B323" s="21" t="s">
        <v>835</v>
      </c>
      <c r="C323" s="4" t="s">
        <v>124</v>
      </c>
      <c r="D323" s="4" t="s">
        <v>202</v>
      </c>
      <c r="E323" s="4" t="s">
        <v>326</v>
      </c>
      <c r="F323" s="22">
        <v>46173</v>
      </c>
      <c r="G323" s="23" t="s">
        <v>104</v>
      </c>
      <c r="H323" s="6"/>
      <c r="I323" s="6"/>
      <c r="J323" s="6"/>
      <c r="K323" s="6"/>
      <c r="L323" s="6"/>
      <c r="M323" s="6"/>
      <c r="N323" s="6"/>
      <c r="O323" s="16" t="str">
        <f>IF(COUNT(I323:M323)&lt;5,"",ROUND((I323*Matriz!$C$5+J323*Matriz!$C$6+K323*Matriz!$C$7+L323*Matriz!$C$8+M323*Matriz!$C$9)/SUM(Matriz!$C$5:$C$9),2))</f>
        <v/>
      </c>
      <c r="P323" s="17">
        <f>IFERROR(INDEX(Processos!$F$8:$F$17,MATCH(C323,Processos!$A$8:$A$17,0)),1)</f>
        <v>1.1000000000000001</v>
      </c>
      <c r="Q323" s="24">
        <f>IFERROR(INDEX(Matriz!$C$28:$C$33,MATCH(G323,Matriz!$A$28:$A$33,0)),0)</f>
        <v>0</v>
      </c>
      <c r="R323" s="25" t="str">
        <f t="shared" si="16"/>
        <v/>
      </c>
      <c r="S323" s="10" t="str">
        <f>IF(R323="","",IF(R323&gt;=Matriz!$C$19,4,IF(R323&gt;=Matriz!$C$18,3,IF(R323&gt;=Matriz!$C$17,2,1))))</f>
        <v/>
      </c>
      <c r="T323" s="9" t="str">
        <f>IF(S323="","",MAX(S323,IF(I323=5,Matriz!$C$23,0),IF(N323="Sim",Matriz!$C$24,0)))</f>
        <v/>
      </c>
      <c r="U323" s="9" t="str">
        <f t="shared" si="17"/>
        <v/>
      </c>
      <c r="V323" s="26" t="str">
        <f t="shared" si="18"/>
        <v/>
      </c>
      <c r="W323" s="10" t="str">
        <f t="shared" si="19"/>
        <v/>
      </c>
      <c r="X323" s="4"/>
      <c r="Y323" s="4"/>
    </row>
    <row r="324" spans="1:25" ht="28.05" customHeight="1" x14ac:dyDescent="0.3">
      <c r="A324" s="20" t="s">
        <v>836</v>
      </c>
      <c r="B324" s="21" t="s">
        <v>837</v>
      </c>
      <c r="C324" s="4" t="s">
        <v>122</v>
      </c>
      <c r="D324" s="4" t="s">
        <v>199</v>
      </c>
      <c r="E324" s="4" t="s">
        <v>385</v>
      </c>
      <c r="F324" s="22">
        <v>46203</v>
      </c>
      <c r="G324" s="23" t="s">
        <v>100</v>
      </c>
      <c r="H324" s="6"/>
      <c r="I324" s="6"/>
      <c r="J324" s="6"/>
      <c r="K324" s="6"/>
      <c r="L324" s="6"/>
      <c r="M324" s="6"/>
      <c r="N324" s="6"/>
      <c r="O324" s="16" t="str">
        <f>IF(COUNT(I324:M324)&lt;5,"",ROUND((I324*Matriz!$C$5+J324*Matriz!$C$6+K324*Matriz!$C$7+L324*Matriz!$C$8+M324*Matriz!$C$9)/SUM(Matriz!$C$5:$C$9),2))</f>
        <v/>
      </c>
      <c r="P324" s="17">
        <f>IFERROR(INDEX(Processos!$F$8:$F$17,MATCH(C324,Processos!$A$8:$A$17,0)),1)</f>
        <v>1.1000000000000001</v>
      </c>
      <c r="Q324" s="24">
        <f>IFERROR(INDEX(Matriz!$C$28:$C$33,MATCH(G324,Matriz!$A$28:$A$33,0)),0)</f>
        <v>0</v>
      </c>
      <c r="R324" s="25" t="str">
        <f t="shared" si="16"/>
        <v/>
      </c>
      <c r="S324" s="10" t="str">
        <f>IF(R324="","",IF(R324&gt;=Matriz!$C$19,4,IF(R324&gt;=Matriz!$C$18,3,IF(R324&gt;=Matriz!$C$17,2,1))))</f>
        <v/>
      </c>
      <c r="T324" s="9" t="str">
        <f>IF(S324="","",MAX(S324,IF(I324=5,Matriz!$C$23,0),IF(N324="Sim",Matriz!$C$24,0)))</f>
        <v/>
      </c>
      <c r="U324" s="9" t="str">
        <f t="shared" si="17"/>
        <v/>
      </c>
      <c r="V324" s="26" t="str">
        <f t="shared" si="18"/>
        <v/>
      </c>
      <c r="W324" s="10" t="str">
        <f t="shared" si="19"/>
        <v/>
      </c>
      <c r="X324" s="4"/>
      <c r="Y324" s="4"/>
    </row>
    <row r="325" spans="1:25" ht="28.05" customHeight="1" x14ac:dyDescent="0.3">
      <c r="A325" s="20" t="s">
        <v>838</v>
      </c>
      <c r="B325" s="21" t="s">
        <v>839</v>
      </c>
      <c r="C325" s="4" t="s">
        <v>122</v>
      </c>
      <c r="D325" s="4" t="s">
        <v>218</v>
      </c>
      <c r="E325" s="4" t="s">
        <v>385</v>
      </c>
      <c r="F325" s="22">
        <v>46295</v>
      </c>
      <c r="G325" s="23" t="s">
        <v>100</v>
      </c>
      <c r="H325" s="6"/>
      <c r="I325" s="6"/>
      <c r="J325" s="6"/>
      <c r="K325" s="6"/>
      <c r="L325" s="6"/>
      <c r="M325" s="6"/>
      <c r="N325" s="6"/>
      <c r="O325" s="16" t="str">
        <f>IF(COUNT(I325:M325)&lt;5,"",ROUND((I325*Matriz!$C$5+J325*Matriz!$C$6+K325*Matriz!$C$7+L325*Matriz!$C$8+M325*Matriz!$C$9)/SUM(Matriz!$C$5:$C$9),2))</f>
        <v/>
      </c>
      <c r="P325" s="17">
        <f>IFERROR(INDEX(Processos!$F$8:$F$17,MATCH(C325,Processos!$A$8:$A$17,0)),1)</f>
        <v>1.1000000000000001</v>
      </c>
      <c r="Q325" s="24">
        <f>IFERROR(INDEX(Matriz!$C$28:$C$33,MATCH(G325,Matriz!$A$28:$A$33,0)),0)</f>
        <v>0</v>
      </c>
      <c r="R325" s="25" t="str">
        <f t="shared" ref="R325:R388" si="20">IF(O325="","",ROUND(O325*P325+Q325,2))</f>
        <v/>
      </c>
      <c r="S325" s="10" t="str">
        <f>IF(R325="","",IF(R325&gt;=Matriz!$C$19,4,IF(R325&gt;=Matriz!$C$18,3,IF(R325&gt;=Matriz!$C$17,2,1))))</f>
        <v/>
      </c>
      <c r="T325" s="9" t="str">
        <f>IF(S325="","",MAX(S325,IF(I325=5,Matriz!$C$23,0),IF(N325="Sim",Matriz!$C$24,0)))</f>
        <v/>
      </c>
      <c r="U325" s="9" t="str">
        <f t="shared" ref="U325:U388" si="21">IF(T325="","",CHOOSE(T325,"Baixa","Normal","Alta","Urgente"))</f>
        <v/>
      </c>
      <c r="V325" s="26" t="str">
        <f t="shared" ref="V325:V388" si="22">IF(T325="","",T325*1000+R325*10-IF(H325="",3,H325)/10-ROW()/1000000)</f>
        <v/>
      </c>
      <c r="W325" s="10" t="str">
        <f t="shared" ref="W325:W388" si="23">IF(V325="","",COUNTIF($V$5:$V$405,"&gt;"&amp;V325)+1)</f>
        <v/>
      </c>
      <c r="X325" s="4"/>
      <c r="Y325" s="4"/>
    </row>
    <row r="326" spans="1:25" ht="28.05" customHeight="1" x14ac:dyDescent="0.3">
      <c r="A326" s="20" t="s">
        <v>840</v>
      </c>
      <c r="B326" s="21" t="s">
        <v>841</v>
      </c>
      <c r="C326" s="4" t="s">
        <v>122</v>
      </c>
      <c r="D326" s="4" t="s">
        <v>213</v>
      </c>
      <c r="E326" s="4" t="s">
        <v>385</v>
      </c>
      <c r="F326" s="22">
        <v>46142</v>
      </c>
      <c r="G326" s="23" t="s">
        <v>104</v>
      </c>
      <c r="H326" s="6"/>
      <c r="I326" s="6"/>
      <c r="J326" s="6"/>
      <c r="K326" s="6"/>
      <c r="L326" s="6"/>
      <c r="M326" s="6"/>
      <c r="N326" s="6"/>
      <c r="O326" s="16" t="str">
        <f>IF(COUNT(I326:M326)&lt;5,"",ROUND((I326*Matriz!$C$5+J326*Matriz!$C$6+K326*Matriz!$C$7+L326*Matriz!$C$8+M326*Matriz!$C$9)/SUM(Matriz!$C$5:$C$9),2))</f>
        <v/>
      </c>
      <c r="P326" s="17">
        <f>IFERROR(INDEX(Processos!$F$8:$F$17,MATCH(C326,Processos!$A$8:$A$17,0)),1)</f>
        <v>1.1000000000000001</v>
      </c>
      <c r="Q326" s="24">
        <f>IFERROR(INDEX(Matriz!$C$28:$C$33,MATCH(G326,Matriz!$A$28:$A$33,0)),0)</f>
        <v>0</v>
      </c>
      <c r="R326" s="25" t="str">
        <f t="shared" si="20"/>
        <v/>
      </c>
      <c r="S326" s="10" t="str">
        <f>IF(R326="","",IF(R326&gt;=Matriz!$C$19,4,IF(R326&gt;=Matriz!$C$18,3,IF(R326&gt;=Matriz!$C$17,2,1))))</f>
        <v/>
      </c>
      <c r="T326" s="9" t="str">
        <f>IF(S326="","",MAX(S326,IF(I326=5,Matriz!$C$23,0),IF(N326="Sim",Matriz!$C$24,0)))</f>
        <v/>
      </c>
      <c r="U326" s="9" t="str">
        <f t="shared" si="21"/>
        <v/>
      </c>
      <c r="V326" s="26" t="str">
        <f t="shared" si="22"/>
        <v/>
      </c>
      <c r="W326" s="10" t="str">
        <f t="shared" si="23"/>
        <v/>
      </c>
      <c r="X326" s="4"/>
      <c r="Y326" s="4"/>
    </row>
    <row r="327" spans="1:25" ht="28.05" customHeight="1" x14ac:dyDescent="0.3">
      <c r="A327" s="20" t="s">
        <v>842</v>
      </c>
      <c r="B327" s="21" t="s">
        <v>843</v>
      </c>
      <c r="C327" s="4" t="s">
        <v>122</v>
      </c>
      <c r="D327" s="4" t="s">
        <v>844</v>
      </c>
      <c r="E327" s="4" t="s">
        <v>186</v>
      </c>
      <c r="F327" s="22">
        <v>46326</v>
      </c>
      <c r="G327" s="23" t="s">
        <v>104</v>
      </c>
      <c r="H327" s="6"/>
      <c r="I327" s="6"/>
      <c r="J327" s="6"/>
      <c r="K327" s="6"/>
      <c r="L327" s="6"/>
      <c r="M327" s="6"/>
      <c r="N327" s="6"/>
      <c r="O327" s="16" t="str">
        <f>IF(COUNT(I327:M327)&lt;5,"",ROUND((I327*Matriz!$C$5+J327*Matriz!$C$6+K327*Matriz!$C$7+L327*Matriz!$C$8+M327*Matriz!$C$9)/SUM(Matriz!$C$5:$C$9),2))</f>
        <v/>
      </c>
      <c r="P327" s="17">
        <f>IFERROR(INDEX(Processos!$F$8:$F$17,MATCH(C327,Processos!$A$8:$A$17,0)),1)</f>
        <v>1.1000000000000001</v>
      </c>
      <c r="Q327" s="24">
        <f>IFERROR(INDEX(Matriz!$C$28:$C$33,MATCH(G327,Matriz!$A$28:$A$33,0)),0)</f>
        <v>0</v>
      </c>
      <c r="R327" s="25" t="str">
        <f t="shared" si="20"/>
        <v/>
      </c>
      <c r="S327" s="10" t="str">
        <f>IF(R327="","",IF(R327&gt;=Matriz!$C$19,4,IF(R327&gt;=Matriz!$C$18,3,IF(R327&gt;=Matriz!$C$17,2,1))))</f>
        <v/>
      </c>
      <c r="T327" s="9" t="str">
        <f>IF(S327="","",MAX(S327,IF(I327=5,Matriz!$C$23,0),IF(N327="Sim",Matriz!$C$24,0)))</f>
        <v/>
      </c>
      <c r="U327" s="9" t="str">
        <f t="shared" si="21"/>
        <v/>
      </c>
      <c r="V327" s="26" t="str">
        <f t="shared" si="22"/>
        <v/>
      </c>
      <c r="W327" s="10" t="str">
        <f t="shared" si="23"/>
        <v/>
      </c>
      <c r="X327" s="4"/>
      <c r="Y327" s="4"/>
    </row>
    <row r="328" spans="1:25" ht="28.05" customHeight="1" x14ac:dyDescent="0.3">
      <c r="A328" s="20" t="s">
        <v>845</v>
      </c>
      <c r="B328" s="21" t="s">
        <v>846</v>
      </c>
      <c r="C328" s="4" t="s">
        <v>122</v>
      </c>
      <c r="D328" s="4" t="s">
        <v>847</v>
      </c>
      <c r="E328" s="4" t="s">
        <v>186</v>
      </c>
      <c r="F328" s="22">
        <v>46387</v>
      </c>
      <c r="G328" s="23" t="s">
        <v>100</v>
      </c>
      <c r="H328" s="6"/>
      <c r="I328" s="6"/>
      <c r="J328" s="6"/>
      <c r="K328" s="6"/>
      <c r="L328" s="6"/>
      <c r="M328" s="6"/>
      <c r="N328" s="6"/>
      <c r="O328" s="16" t="str">
        <f>IF(COUNT(I328:M328)&lt;5,"",ROUND((I328*Matriz!$C$5+J328*Matriz!$C$6+K328*Matriz!$C$7+L328*Matriz!$C$8+M328*Matriz!$C$9)/SUM(Matriz!$C$5:$C$9),2))</f>
        <v/>
      </c>
      <c r="P328" s="17">
        <f>IFERROR(INDEX(Processos!$F$8:$F$17,MATCH(C328,Processos!$A$8:$A$17,0)),1)</f>
        <v>1.1000000000000001</v>
      </c>
      <c r="Q328" s="24">
        <f>IFERROR(INDEX(Matriz!$C$28:$C$33,MATCH(G328,Matriz!$A$28:$A$33,0)),0)</f>
        <v>0</v>
      </c>
      <c r="R328" s="25" t="str">
        <f t="shared" si="20"/>
        <v/>
      </c>
      <c r="S328" s="10" t="str">
        <f>IF(R328="","",IF(R328&gt;=Matriz!$C$19,4,IF(R328&gt;=Matriz!$C$18,3,IF(R328&gt;=Matriz!$C$17,2,1))))</f>
        <v/>
      </c>
      <c r="T328" s="9" t="str">
        <f>IF(S328="","",MAX(S328,IF(I328=5,Matriz!$C$23,0),IF(N328="Sim",Matriz!$C$24,0)))</f>
        <v/>
      </c>
      <c r="U328" s="9" t="str">
        <f t="shared" si="21"/>
        <v/>
      </c>
      <c r="V328" s="26" t="str">
        <f t="shared" si="22"/>
        <v/>
      </c>
      <c r="W328" s="10" t="str">
        <f t="shared" si="23"/>
        <v/>
      </c>
      <c r="X328" s="4"/>
      <c r="Y328" s="4"/>
    </row>
    <row r="329" spans="1:25" ht="28.05" customHeight="1" x14ac:dyDescent="0.3">
      <c r="A329" s="20" t="s">
        <v>848</v>
      </c>
      <c r="B329" s="21" t="s">
        <v>849</v>
      </c>
      <c r="C329" s="4" t="s">
        <v>122</v>
      </c>
      <c r="D329" s="4" t="s">
        <v>847</v>
      </c>
      <c r="E329" s="4" t="s">
        <v>186</v>
      </c>
      <c r="F329" s="22">
        <v>46387</v>
      </c>
      <c r="G329" s="23" t="s">
        <v>100</v>
      </c>
      <c r="H329" s="6"/>
      <c r="I329" s="6"/>
      <c r="J329" s="6"/>
      <c r="K329" s="6"/>
      <c r="L329" s="6"/>
      <c r="M329" s="6"/>
      <c r="N329" s="6"/>
      <c r="O329" s="16" t="str">
        <f>IF(COUNT(I329:M329)&lt;5,"",ROUND((I329*Matriz!$C$5+J329*Matriz!$C$6+K329*Matriz!$C$7+L329*Matriz!$C$8+M329*Matriz!$C$9)/SUM(Matriz!$C$5:$C$9),2))</f>
        <v/>
      </c>
      <c r="P329" s="17">
        <f>IFERROR(INDEX(Processos!$F$8:$F$17,MATCH(C329,Processos!$A$8:$A$17,0)),1)</f>
        <v>1.1000000000000001</v>
      </c>
      <c r="Q329" s="24">
        <f>IFERROR(INDEX(Matriz!$C$28:$C$33,MATCH(G329,Matriz!$A$28:$A$33,0)),0)</f>
        <v>0</v>
      </c>
      <c r="R329" s="25" t="str">
        <f t="shared" si="20"/>
        <v/>
      </c>
      <c r="S329" s="10" t="str">
        <f>IF(R329="","",IF(R329&gt;=Matriz!$C$19,4,IF(R329&gt;=Matriz!$C$18,3,IF(R329&gt;=Matriz!$C$17,2,1))))</f>
        <v/>
      </c>
      <c r="T329" s="9" t="str">
        <f>IF(S329="","",MAX(S329,IF(I329=5,Matriz!$C$23,0),IF(N329="Sim",Matriz!$C$24,0)))</f>
        <v/>
      </c>
      <c r="U329" s="9" t="str">
        <f t="shared" si="21"/>
        <v/>
      </c>
      <c r="V329" s="26" t="str">
        <f t="shared" si="22"/>
        <v/>
      </c>
      <c r="W329" s="10" t="str">
        <f t="shared" si="23"/>
        <v/>
      </c>
      <c r="X329" s="4"/>
      <c r="Y329" s="4"/>
    </row>
    <row r="330" spans="1:25" ht="28.05" customHeight="1" x14ac:dyDescent="0.3">
      <c r="A330" s="20" t="s">
        <v>850</v>
      </c>
      <c r="B330" s="21" t="s">
        <v>851</v>
      </c>
      <c r="C330" s="4" t="s">
        <v>122</v>
      </c>
      <c r="D330" s="4" t="s">
        <v>844</v>
      </c>
      <c r="E330" s="4" t="s">
        <v>186</v>
      </c>
      <c r="F330" s="22">
        <v>46387</v>
      </c>
      <c r="G330" s="23" t="s">
        <v>104</v>
      </c>
      <c r="H330" s="6"/>
      <c r="I330" s="6"/>
      <c r="J330" s="6"/>
      <c r="K330" s="6"/>
      <c r="L330" s="6"/>
      <c r="M330" s="6"/>
      <c r="N330" s="6"/>
      <c r="O330" s="16" t="str">
        <f>IF(COUNT(I330:M330)&lt;5,"",ROUND((I330*Matriz!$C$5+J330*Matriz!$C$6+K330*Matriz!$C$7+L330*Matriz!$C$8+M330*Matriz!$C$9)/SUM(Matriz!$C$5:$C$9),2))</f>
        <v/>
      </c>
      <c r="P330" s="17">
        <f>IFERROR(INDEX(Processos!$F$8:$F$17,MATCH(C330,Processos!$A$8:$A$17,0)),1)</f>
        <v>1.1000000000000001</v>
      </c>
      <c r="Q330" s="24">
        <f>IFERROR(INDEX(Matriz!$C$28:$C$33,MATCH(G330,Matriz!$A$28:$A$33,0)),0)</f>
        <v>0</v>
      </c>
      <c r="R330" s="25" t="str">
        <f t="shared" si="20"/>
        <v/>
      </c>
      <c r="S330" s="10" t="str">
        <f>IF(R330="","",IF(R330&gt;=Matriz!$C$19,4,IF(R330&gt;=Matriz!$C$18,3,IF(R330&gt;=Matriz!$C$17,2,1))))</f>
        <v/>
      </c>
      <c r="T330" s="9" t="str">
        <f>IF(S330="","",MAX(S330,IF(I330=5,Matriz!$C$23,0),IF(N330="Sim",Matriz!$C$24,0)))</f>
        <v/>
      </c>
      <c r="U330" s="9" t="str">
        <f t="shared" si="21"/>
        <v/>
      </c>
      <c r="V330" s="26" t="str">
        <f t="shared" si="22"/>
        <v/>
      </c>
      <c r="W330" s="10" t="str">
        <f t="shared" si="23"/>
        <v/>
      </c>
      <c r="X330" s="4"/>
      <c r="Y330" s="4"/>
    </row>
    <row r="331" spans="1:25" ht="28.05" customHeight="1" x14ac:dyDescent="0.3">
      <c r="A331" s="20" t="s">
        <v>852</v>
      </c>
      <c r="B331" s="21" t="s">
        <v>853</v>
      </c>
      <c r="C331" s="4" t="s">
        <v>122</v>
      </c>
      <c r="D331" s="4" t="s">
        <v>417</v>
      </c>
      <c r="E331" s="4" t="s">
        <v>186</v>
      </c>
      <c r="F331" s="22">
        <v>46326</v>
      </c>
      <c r="G331" s="23" t="s">
        <v>104</v>
      </c>
      <c r="H331" s="6"/>
      <c r="I331" s="6"/>
      <c r="J331" s="6"/>
      <c r="K331" s="6"/>
      <c r="L331" s="6"/>
      <c r="M331" s="6"/>
      <c r="N331" s="6"/>
      <c r="O331" s="16" t="str">
        <f>IF(COUNT(I331:M331)&lt;5,"",ROUND((I331*Matriz!$C$5+J331*Matriz!$C$6+K331*Matriz!$C$7+L331*Matriz!$C$8+M331*Matriz!$C$9)/SUM(Matriz!$C$5:$C$9),2))</f>
        <v/>
      </c>
      <c r="P331" s="17">
        <f>IFERROR(INDEX(Processos!$F$8:$F$17,MATCH(C331,Processos!$A$8:$A$17,0)),1)</f>
        <v>1.1000000000000001</v>
      </c>
      <c r="Q331" s="24">
        <f>IFERROR(INDEX(Matriz!$C$28:$C$33,MATCH(G331,Matriz!$A$28:$A$33,0)),0)</f>
        <v>0</v>
      </c>
      <c r="R331" s="25" t="str">
        <f t="shared" si="20"/>
        <v/>
      </c>
      <c r="S331" s="10" t="str">
        <f>IF(R331="","",IF(R331&gt;=Matriz!$C$19,4,IF(R331&gt;=Matriz!$C$18,3,IF(R331&gt;=Matriz!$C$17,2,1))))</f>
        <v/>
      </c>
      <c r="T331" s="9" t="str">
        <f>IF(S331="","",MAX(S331,IF(I331=5,Matriz!$C$23,0),IF(N331="Sim",Matriz!$C$24,0)))</f>
        <v/>
      </c>
      <c r="U331" s="9" t="str">
        <f t="shared" si="21"/>
        <v/>
      </c>
      <c r="V331" s="26" t="str">
        <f t="shared" si="22"/>
        <v/>
      </c>
      <c r="W331" s="10" t="str">
        <f t="shared" si="23"/>
        <v/>
      </c>
      <c r="X331" s="4"/>
      <c r="Y331" s="4"/>
    </row>
    <row r="332" spans="1:25" ht="28.05" customHeight="1" x14ac:dyDescent="0.3">
      <c r="A332" s="20" t="s">
        <v>854</v>
      </c>
      <c r="B332" s="21" t="s">
        <v>855</v>
      </c>
      <c r="C332" s="4" t="s">
        <v>122</v>
      </c>
      <c r="D332" s="4" t="s">
        <v>229</v>
      </c>
      <c r="E332" s="4" t="s">
        <v>226</v>
      </c>
      <c r="F332" s="22"/>
      <c r="G332" s="23" t="s">
        <v>106</v>
      </c>
      <c r="H332" s="6"/>
      <c r="I332" s="6"/>
      <c r="J332" s="6"/>
      <c r="K332" s="6"/>
      <c r="L332" s="6"/>
      <c r="M332" s="6"/>
      <c r="N332" s="6"/>
      <c r="O332" s="16" t="str">
        <f>IF(COUNT(I332:M332)&lt;5,"",ROUND((I332*Matriz!$C$5+J332*Matriz!$C$6+K332*Matriz!$C$7+L332*Matriz!$C$8+M332*Matriz!$C$9)/SUM(Matriz!$C$5:$C$9),2))</f>
        <v/>
      </c>
      <c r="P332" s="17">
        <f>IFERROR(INDEX(Processos!$F$8:$F$17,MATCH(C332,Processos!$A$8:$A$17,0)),1)</f>
        <v>1.1000000000000001</v>
      </c>
      <c r="Q332" s="24">
        <f>IFERROR(INDEX(Matriz!$C$28:$C$33,MATCH(G332,Matriz!$A$28:$A$33,0)),0)</f>
        <v>-0.2</v>
      </c>
      <c r="R332" s="25" t="str">
        <f t="shared" si="20"/>
        <v/>
      </c>
      <c r="S332" s="10" t="str">
        <f>IF(R332="","",IF(R332&gt;=Matriz!$C$19,4,IF(R332&gt;=Matriz!$C$18,3,IF(R332&gt;=Matriz!$C$17,2,1))))</f>
        <v/>
      </c>
      <c r="T332" s="9" t="str">
        <f>IF(S332="","",MAX(S332,IF(I332=5,Matriz!$C$23,0),IF(N332="Sim",Matriz!$C$24,0)))</f>
        <v/>
      </c>
      <c r="U332" s="9" t="str">
        <f t="shared" si="21"/>
        <v/>
      </c>
      <c r="V332" s="26" t="str">
        <f t="shared" si="22"/>
        <v/>
      </c>
      <c r="W332" s="10" t="str">
        <f t="shared" si="23"/>
        <v/>
      </c>
      <c r="X332" s="4"/>
      <c r="Y332" s="4"/>
    </row>
    <row r="333" spans="1:25" ht="28.05" customHeight="1" x14ac:dyDescent="0.3">
      <c r="A333" s="20" t="s">
        <v>856</v>
      </c>
      <c r="B333" s="21" t="s">
        <v>833</v>
      </c>
      <c r="C333" s="4" t="s">
        <v>122</v>
      </c>
      <c r="D333" s="4" t="s">
        <v>218</v>
      </c>
      <c r="E333" s="4" t="s">
        <v>226</v>
      </c>
      <c r="F333" s="22"/>
      <c r="G333" s="23" t="s">
        <v>102</v>
      </c>
      <c r="H333" s="6"/>
      <c r="I333" s="6"/>
      <c r="J333" s="6"/>
      <c r="K333" s="6"/>
      <c r="L333" s="6"/>
      <c r="M333" s="6"/>
      <c r="N333" s="6"/>
      <c r="O333" s="16" t="str">
        <f>IF(COUNT(I333:M333)&lt;5,"",ROUND((I333*Matriz!$C$5+J333*Matriz!$C$6+K333*Matriz!$C$7+L333*Matriz!$C$8+M333*Matriz!$C$9)/SUM(Matriz!$C$5:$C$9),2))</f>
        <v/>
      </c>
      <c r="P333" s="17">
        <f>IFERROR(INDEX(Processos!$F$8:$F$17,MATCH(C333,Processos!$A$8:$A$17,0)),1)</f>
        <v>1.1000000000000001</v>
      </c>
      <c r="Q333" s="24">
        <f>IFERROR(INDEX(Matriz!$C$28:$C$33,MATCH(G333,Matriz!$A$28:$A$33,0)),0)</f>
        <v>0</v>
      </c>
      <c r="R333" s="25" t="str">
        <f t="shared" si="20"/>
        <v/>
      </c>
      <c r="S333" s="10" t="str">
        <f>IF(R333="","",IF(R333&gt;=Matriz!$C$19,4,IF(R333&gt;=Matriz!$C$18,3,IF(R333&gt;=Matriz!$C$17,2,1))))</f>
        <v/>
      </c>
      <c r="T333" s="9" t="str">
        <f>IF(S333="","",MAX(S333,IF(I333=5,Matriz!$C$23,0),IF(N333="Sim",Matriz!$C$24,0)))</f>
        <v/>
      </c>
      <c r="U333" s="9" t="str">
        <f t="shared" si="21"/>
        <v/>
      </c>
      <c r="V333" s="26" t="str">
        <f t="shared" si="22"/>
        <v/>
      </c>
      <c r="W333" s="10" t="str">
        <f t="shared" si="23"/>
        <v/>
      </c>
      <c r="X333" s="4"/>
      <c r="Y333" s="4"/>
    </row>
    <row r="334" spans="1:25" ht="28.05" customHeight="1" x14ac:dyDescent="0.3">
      <c r="A334" s="20" t="s">
        <v>857</v>
      </c>
      <c r="B334" s="21" t="s">
        <v>858</v>
      </c>
      <c r="C334" s="4" t="s">
        <v>122</v>
      </c>
      <c r="D334" s="4" t="s">
        <v>229</v>
      </c>
      <c r="E334" s="4" t="s">
        <v>226</v>
      </c>
      <c r="F334" s="22"/>
      <c r="G334" s="23" t="s">
        <v>106</v>
      </c>
      <c r="H334" s="6"/>
      <c r="I334" s="6"/>
      <c r="J334" s="6"/>
      <c r="K334" s="6"/>
      <c r="L334" s="6"/>
      <c r="M334" s="6"/>
      <c r="N334" s="6"/>
      <c r="O334" s="16" t="str">
        <f>IF(COUNT(I334:M334)&lt;5,"",ROUND((I334*Matriz!$C$5+J334*Matriz!$C$6+K334*Matriz!$C$7+L334*Matriz!$C$8+M334*Matriz!$C$9)/SUM(Matriz!$C$5:$C$9),2))</f>
        <v/>
      </c>
      <c r="P334" s="17">
        <f>IFERROR(INDEX(Processos!$F$8:$F$17,MATCH(C334,Processos!$A$8:$A$17,0)),1)</f>
        <v>1.1000000000000001</v>
      </c>
      <c r="Q334" s="24">
        <f>IFERROR(INDEX(Matriz!$C$28:$C$33,MATCH(G334,Matriz!$A$28:$A$33,0)),0)</f>
        <v>-0.2</v>
      </c>
      <c r="R334" s="25" t="str">
        <f t="shared" si="20"/>
        <v/>
      </c>
      <c r="S334" s="10" t="str">
        <f>IF(R334="","",IF(R334&gt;=Matriz!$C$19,4,IF(R334&gt;=Matriz!$C$18,3,IF(R334&gt;=Matriz!$C$17,2,1))))</f>
        <v/>
      </c>
      <c r="T334" s="9" t="str">
        <f>IF(S334="","",MAX(S334,IF(I334=5,Matriz!$C$23,0),IF(N334="Sim",Matriz!$C$24,0)))</f>
        <v/>
      </c>
      <c r="U334" s="9" t="str">
        <f t="shared" si="21"/>
        <v/>
      </c>
      <c r="V334" s="26" t="str">
        <f t="shared" si="22"/>
        <v/>
      </c>
      <c r="W334" s="10" t="str">
        <f t="shared" si="23"/>
        <v/>
      </c>
      <c r="X334" s="4"/>
      <c r="Y334" s="4"/>
    </row>
    <row r="335" spans="1:25" ht="28.05" customHeight="1" x14ac:dyDescent="0.3">
      <c r="A335" s="20" t="s">
        <v>859</v>
      </c>
      <c r="B335" s="21" t="s">
        <v>860</v>
      </c>
      <c r="C335" s="4" t="s">
        <v>122</v>
      </c>
      <c r="D335" s="4" t="s">
        <v>861</v>
      </c>
      <c r="E335" s="4" t="s">
        <v>226</v>
      </c>
      <c r="F335" s="22"/>
      <c r="G335" s="23" t="s">
        <v>104</v>
      </c>
      <c r="H335" s="6"/>
      <c r="I335" s="6"/>
      <c r="J335" s="6"/>
      <c r="K335" s="6"/>
      <c r="L335" s="6"/>
      <c r="M335" s="6"/>
      <c r="N335" s="6"/>
      <c r="O335" s="16" t="str">
        <f>IF(COUNT(I335:M335)&lt;5,"",ROUND((I335*Matriz!$C$5+J335*Matriz!$C$6+K335*Matriz!$C$7+L335*Matriz!$C$8+M335*Matriz!$C$9)/SUM(Matriz!$C$5:$C$9),2))</f>
        <v/>
      </c>
      <c r="P335" s="17">
        <f>IFERROR(INDEX(Processos!$F$8:$F$17,MATCH(C335,Processos!$A$8:$A$17,0)),1)</f>
        <v>1.1000000000000001</v>
      </c>
      <c r="Q335" s="24">
        <f>IFERROR(INDEX(Matriz!$C$28:$C$33,MATCH(G335,Matriz!$A$28:$A$33,0)),0)</f>
        <v>0</v>
      </c>
      <c r="R335" s="25" t="str">
        <f t="shared" si="20"/>
        <v/>
      </c>
      <c r="S335" s="10" t="str">
        <f>IF(R335="","",IF(R335&gt;=Matriz!$C$19,4,IF(R335&gt;=Matriz!$C$18,3,IF(R335&gt;=Matriz!$C$17,2,1))))</f>
        <v/>
      </c>
      <c r="T335" s="9" t="str">
        <f>IF(S335="","",MAX(S335,IF(I335=5,Matriz!$C$23,0),IF(N335="Sim",Matriz!$C$24,0)))</f>
        <v/>
      </c>
      <c r="U335" s="9" t="str">
        <f t="shared" si="21"/>
        <v/>
      </c>
      <c r="V335" s="26" t="str">
        <f t="shared" si="22"/>
        <v/>
      </c>
      <c r="W335" s="10" t="str">
        <f t="shared" si="23"/>
        <v/>
      </c>
      <c r="X335" s="4"/>
      <c r="Y335" s="4"/>
    </row>
    <row r="336" spans="1:25" ht="28.05" customHeight="1" x14ac:dyDescent="0.3">
      <c r="A336" s="20" t="s">
        <v>862</v>
      </c>
      <c r="B336" s="21" t="s">
        <v>863</v>
      </c>
      <c r="C336" s="4" t="s">
        <v>122</v>
      </c>
      <c r="D336" s="4" t="s">
        <v>229</v>
      </c>
      <c r="E336" s="4" t="s">
        <v>226</v>
      </c>
      <c r="F336" s="22"/>
      <c r="G336" s="23" t="s">
        <v>102</v>
      </c>
      <c r="H336" s="6"/>
      <c r="I336" s="6"/>
      <c r="J336" s="6"/>
      <c r="K336" s="6"/>
      <c r="L336" s="6"/>
      <c r="M336" s="6"/>
      <c r="N336" s="6"/>
      <c r="O336" s="16" t="str">
        <f>IF(COUNT(I336:M336)&lt;5,"",ROUND((I336*Matriz!$C$5+J336*Matriz!$C$6+K336*Matriz!$C$7+L336*Matriz!$C$8+M336*Matriz!$C$9)/SUM(Matriz!$C$5:$C$9),2))</f>
        <v/>
      </c>
      <c r="P336" s="17">
        <f>IFERROR(INDEX(Processos!$F$8:$F$17,MATCH(C336,Processos!$A$8:$A$17,0)),1)</f>
        <v>1.1000000000000001</v>
      </c>
      <c r="Q336" s="24">
        <f>IFERROR(INDEX(Matriz!$C$28:$C$33,MATCH(G336,Matriz!$A$28:$A$33,0)),0)</f>
        <v>0</v>
      </c>
      <c r="R336" s="25" t="str">
        <f t="shared" si="20"/>
        <v/>
      </c>
      <c r="S336" s="10" t="str">
        <f>IF(R336="","",IF(R336&gt;=Matriz!$C$19,4,IF(R336&gt;=Matriz!$C$18,3,IF(R336&gt;=Matriz!$C$17,2,1))))</f>
        <v/>
      </c>
      <c r="T336" s="9" t="str">
        <f>IF(S336="","",MAX(S336,IF(I336=5,Matriz!$C$23,0),IF(N336="Sim",Matriz!$C$24,0)))</f>
        <v/>
      </c>
      <c r="U336" s="9" t="str">
        <f t="shared" si="21"/>
        <v/>
      </c>
      <c r="V336" s="26" t="str">
        <f t="shared" si="22"/>
        <v/>
      </c>
      <c r="W336" s="10" t="str">
        <f t="shared" si="23"/>
        <v/>
      </c>
      <c r="X336" s="4"/>
      <c r="Y336" s="4"/>
    </row>
    <row r="337" spans="1:25" ht="28.05" customHeight="1" x14ac:dyDescent="0.3">
      <c r="A337" s="20" t="s">
        <v>864</v>
      </c>
      <c r="B337" s="21" t="s">
        <v>865</v>
      </c>
      <c r="C337" s="4" t="s">
        <v>122</v>
      </c>
      <c r="D337" s="4" t="s">
        <v>861</v>
      </c>
      <c r="E337" s="4" t="s">
        <v>326</v>
      </c>
      <c r="F337" s="22"/>
      <c r="G337" s="23" t="s">
        <v>104</v>
      </c>
      <c r="H337" s="6"/>
      <c r="I337" s="6"/>
      <c r="J337" s="6"/>
      <c r="K337" s="6"/>
      <c r="L337" s="6"/>
      <c r="M337" s="6"/>
      <c r="N337" s="6"/>
      <c r="O337" s="16" t="str">
        <f>IF(COUNT(I337:M337)&lt;5,"",ROUND((I337*Matriz!$C$5+J337*Matriz!$C$6+K337*Matriz!$C$7+L337*Matriz!$C$8+M337*Matriz!$C$9)/SUM(Matriz!$C$5:$C$9),2))</f>
        <v/>
      </c>
      <c r="P337" s="17">
        <f>IFERROR(INDEX(Processos!$F$8:$F$17,MATCH(C337,Processos!$A$8:$A$17,0)),1)</f>
        <v>1.1000000000000001</v>
      </c>
      <c r="Q337" s="24">
        <f>IFERROR(INDEX(Matriz!$C$28:$C$33,MATCH(G337,Matriz!$A$28:$A$33,0)),0)</f>
        <v>0</v>
      </c>
      <c r="R337" s="25" t="str">
        <f t="shared" si="20"/>
        <v/>
      </c>
      <c r="S337" s="10" t="str">
        <f>IF(R337="","",IF(R337&gt;=Matriz!$C$19,4,IF(R337&gt;=Matriz!$C$18,3,IF(R337&gt;=Matriz!$C$17,2,1))))</f>
        <v/>
      </c>
      <c r="T337" s="9" t="str">
        <f>IF(S337="","",MAX(S337,IF(I337=5,Matriz!$C$23,0),IF(N337="Sim",Matriz!$C$24,0)))</f>
        <v/>
      </c>
      <c r="U337" s="9" t="str">
        <f t="shared" si="21"/>
        <v/>
      </c>
      <c r="V337" s="26" t="str">
        <f t="shared" si="22"/>
        <v/>
      </c>
      <c r="W337" s="10" t="str">
        <f t="shared" si="23"/>
        <v/>
      </c>
      <c r="X337" s="4"/>
      <c r="Y337" s="4"/>
    </row>
    <row r="338" spans="1:25" ht="28.05" customHeight="1" x14ac:dyDescent="0.3">
      <c r="A338" s="20" t="s">
        <v>866</v>
      </c>
      <c r="B338" s="21" t="s">
        <v>835</v>
      </c>
      <c r="C338" s="4" t="s">
        <v>122</v>
      </c>
      <c r="D338" s="4" t="s">
        <v>861</v>
      </c>
      <c r="E338" s="4" t="s">
        <v>326</v>
      </c>
      <c r="F338" s="22">
        <v>46387</v>
      </c>
      <c r="G338" s="23" t="s">
        <v>104</v>
      </c>
      <c r="H338" s="6"/>
      <c r="I338" s="6"/>
      <c r="J338" s="6"/>
      <c r="K338" s="6"/>
      <c r="L338" s="6"/>
      <c r="M338" s="6"/>
      <c r="N338" s="6"/>
      <c r="O338" s="16" t="str">
        <f>IF(COUNT(I338:M338)&lt;5,"",ROUND((I338*Matriz!$C$5+J338*Matriz!$C$6+K338*Matriz!$C$7+L338*Matriz!$C$8+M338*Matriz!$C$9)/SUM(Matriz!$C$5:$C$9),2))</f>
        <v/>
      </c>
      <c r="P338" s="17">
        <f>IFERROR(INDEX(Processos!$F$8:$F$17,MATCH(C338,Processos!$A$8:$A$17,0)),1)</f>
        <v>1.1000000000000001</v>
      </c>
      <c r="Q338" s="24">
        <f>IFERROR(INDEX(Matriz!$C$28:$C$33,MATCH(G338,Matriz!$A$28:$A$33,0)),0)</f>
        <v>0</v>
      </c>
      <c r="R338" s="25" t="str">
        <f t="shared" si="20"/>
        <v/>
      </c>
      <c r="S338" s="10" t="str">
        <f>IF(R338="","",IF(R338&gt;=Matriz!$C$19,4,IF(R338&gt;=Matriz!$C$18,3,IF(R338&gt;=Matriz!$C$17,2,1))))</f>
        <v/>
      </c>
      <c r="T338" s="9" t="str">
        <f>IF(S338="","",MAX(S338,IF(I338=5,Matriz!$C$23,0),IF(N338="Sim",Matriz!$C$24,0)))</f>
        <v/>
      </c>
      <c r="U338" s="9" t="str">
        <f t="shared" si="21"/>
        <v/>
      </c>
      <c r="V338" s="26" t="str">
        <f t="shared" si="22"/>
        <v/>
      </c>
      <c r="W338" s="10" t="str">
        <f t="shared" si="23"/>
        <v/>
      </c>
      <c r="X338" s="4"/>
      <c r="Y338" s="4"/>
    </row>
    <row r="339" spans="1:25" ht="28.05" customHeight="1" x14ac:dyDescent="0.3">
      <c r="A339" s="20" t="s">
        <v>867</v>
      </c>
      <c r="B339" s="21" t="s">
        <v>868</v>
      </c>
      <c r="C339" s="4" t="s">
        <v>122</v>
      </c>
      <c r="D339" s="4" t="s">
        <v>229</v>
      </c>
      <c r="E339" s="4" t="s">
        <v>326</v>
      </c>
      <c r="F339" s="22"/>
      <c r="G339" s="23" t="s">
        <v>102</v>
      </c>
      <c r="H339" s="6"/>
      <c r="I339" s="6"/>
      <c r="J339" s="6"/>
      <c r="K339" s="6"/>
      <c r="L339" s="6"/>
      <c r="M339" s="6"/>
      <c r="N339" s="6"/>
      <c r="O339" s="16" t="str">
        <f>IF(COUNT(I339:M339)&lt;5,"",ROUND((I339*Matriz!$C$5+J339*Matriz!$C$6+K339*Matriz!$C$7+L339*Matriz!$C$8+M339*Matriz!$C$9)/SUM(Matriz!$C$5:$C$9),2))</f>
        <v/>
      </c>
      <c r="P339" s="17">
        <f>IFERROR(INDEX(Processos!$F$8:$F$17,MATCH(C339,Processos!$A$8:$A$17,0)),1)</f>
        <v>1.1000000000000001</v>
      </c>
      <c r="Q339" s="24">
        <f>IFERROR(INDEX(Matriz!$C$28:$C$33,MATCH(G339,Matriz!$A$28:$A$33,0)),0)</f>
        <v>0</v>
      </c>
      <c r="R339" s="25" t="str">
        <f t="shared" si="20"/>
        <v/>
      </c>
      <c r="S339" s="10" t="str">
        <f>IF(R339="","",IF(R339&gt;=Matriz!$C$19,4,IF(R339&gt;=Matriz!$C$18,3,IF(R339&gt;=Matriz!$C$17,2,1))))</f>
        <v/>
      </c>
      <c r="T339" s="9" t="str">
        <f>IF(S339="","",MAX(S339,IF(I339=5,Matriz!$C$23,0),IF(N339="Sim",Matriz!$C$24,0)))</f>
        <v/>
      </c>
      <c r="U339" s="9" t="str">
        <f t="shared" si="21"/>
        <v/>
      </c>
      <c r="V339" s="26" t="str">
        <f t="shared" si="22"/>
        <v/>
      </c>
      <c r="W339" s="10" t="str">
        <f t="shared" si="23"/>
        <v/>
      </c>
      <c r="X339" s="4"/>
      <c r="Y339" s="4"/>
    </row>
    <row r="340" spans="1:25" ht="28.05" hidden="1" customHeight="1" x14ac:dyDescent="0.3">
      <c r="A340" s="20" t="s">
        <v>869</v>
      </c>
      <c r="B340" s="21" t="s">
        <v>870</v>
      </c>
      <c r="C340" s="4" t="s">
        <v>128</v>
      </c>
      <c r="D340" s="4" t="s">
        <v>229</v>
      </c>
      <c r="E340" s="4" t="s">
        <v>385</v>
      </c>
      <c r="F340" s="22">
        <v>46022</v>
      </c>
      <c r="G340" s="23" t="s">
        <v>102</v>
      </c>
      <c r="H340" s="6"/>
      <c r="I340" s="6"/>
      <c r="J340" s="6"/>
      <c r="K340" s="6"/>
      <c r="L340" s="6"/>
      <c r="M340" s="6"/>
      <c r="N340" s="6"/>
      <c r="O340" s="16" t="str">
        <f>IF(COUNT(I340:M340)&lt;5,"",ROUND((I340*Matriz!$C$5+J340*Matriz!$C$6+K340*Matriz!$C$7+L340*Matriz!$C$8+M340*Matriz!$C$9)/SUM(Matriz!$C$5:$C$9),2))</f>
        <v/>
      </c>
      <c r="P340" s="17">
        <f>IFERROR(INDEX(Processos!$F$8:$F$17,MATCH(C340,Processos!$A$8:$A$17,0)),1)</f>
        <v>1.0669999999999999</v>
      </c>
      <c r="Q340" s="24">
        <f>IFERROR(INDEX(Matriz!$C$28:$C$33,MATCH(G340,Matriz!$A$28:$A$33,0)),0)</f>
        <v>0</v>
      </c>
      <c r="R340" s="25" t="str">
        <f t="shared" si="20"/>
        <v/>
      </c>
      <c r="S340" s="10" t="str">
        <f>IF(R340="","",IF(R340&gt;=Matriz!$C$19,4,IF(R340&gt;=Matriz!$C$18,3,IF(R340&gt;=Matriz!$C$17,2,1))))</f>
        <v/>
      </c>
      <c r="T340" s="9" t="str">
        <f>IF(S340="","",MAX(S340,IF(I340=5,Matriz!$C$23,0),IF(N340="Sim",Matriz!$C$24,0)))</f>
        <v/>
      </c>
      <c r="U340" s="9" t="str">
        <f t="shared" si="21"/>
        <v/>
      </c>
      <c r="V340" s="26" t="str">
        <f t="shared" si="22"/>
        <v/>
      </c>
      <c r="W340" s="10" t="str">
        <f t="shared" si="23"/>
        <v/>
      </c>
      <c r="X340" s="4"/>
      <c r="Y340" s="4"/>
    </row>
    <row r="341" spans="1:25" ht="28.05" hidden="1" customHeight="1" x14ac:dyDescent="0.3">
      <c r="A341" s="20" t="s">
        <v>871</v>
      </c>
      <c r="B341" s="21" t="s">
        <v>872</v>
      </c>
      <c r="C341" s="4" t="s">
        <v>128</v>
      </c>
      <c r="D341" s="4" t="s">
        <v>229</v>
      </c>
      <c r="E341" s="4" t="s">
        <v>385</v>
      </c>
      <c r="F341" s="22">
        <v>46112</v>
      </c>
      <c r="G341" s="23" t="s">
        <v>104</v>
      </c>
      <c r="H341" s="6"/>
      <c r="I341" s="6"/>
      <c r="J341" s="6"/>
      <c r="K341" s="6"/>
      <c r="L341" s="6"/>
      <c r="M341" s="6"/>
      <c r="N341" s="6"/>
      <c r="O341" s="16" t="str">
        <f>IF(COUNT(I341:M341)&lt;5,"",ROUND((I341*Matriz!$C$5+J341*Matriz!$C$6+K341*Matriz!$C$7+L341*Matriz!$C$8+M341*Matriz!$C$9)/SUM(Matriz!$C$5:$C$9),2))</f>
        <v/>
      </c>
      <c r="P341" s="17">
        <f>IFERROR(INDEX(Processos!$F$8:$F$17,MATCH(C341,Processos!$A$8:$A$17,0)),1)</f>
        <v>1.0669999999999999</v>
      </c>
      <c r="Q341" s="24">
        <f>IFERROR(INDEX(Matriz!$C$28:$C$33,MATCH(G341,Matriz!$A$28:$A$33,0)),0)</f>
        <v>0</v>
      </c>
      <c r="R341" s="25" t="str">
        <f t="shared" si="20"/>
        <v/>
      </c>
      <c r="S341" s="10" t="str">
        <f>IF(R341="","",IF(R341&gt;=Matriz!$C$19,4,IF(R341&gt;=Matriz!$C$18,3,IF(R341&gt;=Matriz!$C$17,2,1))))</f>
        <v/>
      </c>
      <c r="T341" s="9" t="str">
        <f>IF(S341="","",MAX(S341,IF(I341=5,Matriz!$C$23,0),IF(N341="Sim",Matriz!$C$24,0)))</f>
        <v/>
      </c>
      <c r="U341" s="9" t="str">
        <f t="shared" si="21"/>
        <v/>
      </c>
      <c r="V341" s="26" t="str">
        <f t="shared" si="22"/>
        <v/>
      </c>
      <c r="W341" s="10" t="str">
        <f t="shared" si="23"/>
        <v/>
      </c>
      <c r="X341" s="4"/>
      <c r="Y341" s="4"/>
    </row>
    <row r="342" spans="1:25" ht="28.05" hidden="1" customHeight="1" x14ac:dyDescent="0.3">
      <c r="A342" s="20" t="s">
        <v>873</v>
      </c>
      <c r="B342" s="21" t="s">
        <v>874</v>
      </c>
      <c r="C342" s="4" t="s">
        <v>128</v>
      </c>
      <c r="D342" s="4" t="s">
        <v>229</v>
      </c>
      <c r="E342" s="4" t="s">
        <v>385</v>
      </c>
      <c r="F342" s="22">
        <v>45980</v>
      </c>
      <c r="G342" s="23" t="s">
        <v>102</v>
      </c>
      <c r="H342" s="6"/>
      <c r="I342" s="6"/>
      <c r="J342" s="6"/>
      <c r="K342" s="6"/>
      <c r="L342" s="6"/>
      <c r="M342" s="6"/>
      <c r="N342" s="6"/>
      <c r="O342" s="16" t="str">
        <f>IF(COUNT(I342:M342)&lt;5,"",ROUND((I342*Matriz!$C$5+J342*Matriz!$C$6+K342*Matriz!$C$7+L342*Matriz!$C$8+M342*Matriz!$C$9)/SUM(Matriz!$C$5:$C$9),2))</f>
        <v/>
      </c>
      <c r="P342" s="17">
        <f>IFERROR(INDEX(Processos!$F$8:$F$17,MATCH(C342,Processos!$A$8:$A$17,0)),1)</f>
        <v>1.0669999999999999</v>
      </c>
      <c r="Q342" s="24">
        <f>IFERROR(INDEX(Matriz!$C$28:$C$33,MATCH(G342,Matriz!$A$28:$A$33,0)),0)</f>
        <v>0</v>
      </c>
      <c r="R342" s="25" t="str">
        <f t="shared" si="20"/>
        <v/>
      </c>
      <c r="S342" s="10" t="str">
        <f>IF(R342="","",IF(R342&gt;=Matriz!$C$19,4,IF(R342&gt;=Matriz!$C$18,3,IF(R342&gt;=Matriz!$C$17,2,1))))</f>
        <v/>
      </c>
      <c r="T342" s="9" t="str">
        <f>IF(S342="","",MAX(S342,IF(I342=5,Matriz!$C$23,0),IF(N342="Sim",Matriz!$C$24,0)))</f>
        <v/>
      </c>
      <c r="U342" s="9" t="str">
        <f t="shared" si="21"/>
        <v/>
      </c>
      <c r="V342" s="26" t="str">
        <f t="shared" si="22"/>
        <v/>
      </c>
      <c r="W342" s="10" t="str">
        <f t="shared" si="23"/>
        <v/>
      </c>
      <c r="X342" s="4"/>
      <c r="Y342" s="4"/>
    </row>
    <row r="343" spans="1:25" ht="28.05" hidden="1" customHeight="1" x14ac:dyDescent="0.3">
      <c r="A343" s="20" t="s">
        <v>875</v>
      </c>
      <c r="B343" s="21" t="s">
        <v>876</v>
      </c>
      <c r="C343" s="4" t="s">
        <v>128</v>
      </c>
      <c r="D343" s="4" t="s">
        <v>229</v>
      </c>
      <c r="E343" s="4" t="s">
        <v>385</v>
      </c>
      <c r="F343" s="22">
        <v>46112</v>
      </c>
      <c r="G343" s="23" t="s">
        <v>104</v>
      </c>
      <c r="H343" s="6"/>
      <c r="I343" s="6"/>
      <c r="J343" s="6"/>
      <c r="K343" s="6"/>
      <c r="L343" s="6"/>
      <c r="M343" s="6"/>
      <c r="N343" s="6"/>
      <c r="O343" s="16" t="str">
        <f>IF(COUNT(I343:M343)&lt;5,"",ROUND((I343*Matriz!$C$5+J343*Matriz!$C$6+K343*Matriz!$C$7+L343*Matriz!$C$8+M343*Matriz!$C$9)/SUM(Matriz!$C$5:$C$9),2))</f>
        <v/>
      </c>
      <c r="P343" s="17">
        <f>IFERROR(INDEX(Processos!$F$8:$F$17,MATCH(C343,Processos!$A$8:$A$17,0)),1)</f>
        <v>1.0669999999999999</v>
      </c>
      <c r="Q343" s="24">
        <f>IFERROR(INDEX(Matriz!$C$28:$C$33,MATCH(G343,Matriz!$A$28:$A$33,0)),0)</f>
        <v>0</v>
      </c>
      <c r="R343" s="25" t="str">
        <f t="shared" si="20"/>
        <v/>
      </c>
      <c r="S343" s="10" t="str">
        <f>IF(R343="","",IF(R343&gt;=Matriz!$C$19,4,IF(R343&gt;=Matriz!$C$18,3,IF(R343&gt;=Matriz!$C$17,2,1))))</f>
        <v/>
      </c>
      <c r="T343" s="9" t="str">
        <f>IF(S343="","",MAX(S343,IF(I343=5,Matriz!$C$23,0),IF(N343="Sim",Matriz!$C$24,0)))</f>
        <v/>
      </c>
      <c r="U343" s="9" t="str">
        <f t="shared" si="21"/>
        <v/>
      </c>
      <c r="V343" s="26" t="str">
        <f t="shared" si="22"/>
        <v/>
      </c>
      <c r="W343" s="10" t="str">
        <f t="shared" si="23"/>
        <v/>
      </c>
      <c r="X343" s="4"/>
      <c r="Y343" s="4"/>
    </row>
    <row r="344" spans="1:25" ht="28.05" hidden="1" customHeight="1" x14ac:dyDescent="0.3">
      <c r="A344" s="20" t="s">
        <v>877</v>
      </c>
      <c r="B344" s="21" t="s">
        <v>878</v>
      </c>
      <c r="C344" s="4" t="s">
        <v>128</v>
      </c>
      <c r="D344" s="4" t="s">
        <v>563</v>
      </c>
      <c r="E344" s="4" t="s">
        <v>385</v>
      </c>
      <c r="F344" s="22">
        <v>45989</v>
      </c>
      <c r="G344" s="23" t="s">
        <v>104</v>
      </c>
      <c r="H344" s="6"/>
      <c r="I344" s="6"/>
      <c r="J344" s="6"/>
      <c r="K344" s="6"/>
      <c r="L344" s="6"/>
      <c r="M344" s="6"/>
      <c r="N344" s="6"/>
      <c r="O344" s="16" t="str">
        <f>IF(COUNT(I344:M344)&lt;5,"",ROUND((I344*Matriz!$C$5+J344*Matriz!$C$6+K344*Matriz!$C$7+L344*Matriz!$C$8+M344*Matriz!$C$9)/SUM(Matriz!$C$5:$C$9),2))</f>
        <v/>
      </c>
      <c r="P344" s="17">
        <f>IFERROR(INDEX(Processos!$F$8:$F$17,MATCH(C344,Processos!$A$8:$A$17,0)),1)</f>
        <v>1.0669999999999999</v>
      </c>
      <c r="Q344" s="24">
        <f>IFERROR(INDEX(Matriz!$C$28:$C$33,MATCH(G344,Matriz!$A$28:$A$33,0)),0)</f>
        <v>0</v>
      </c>
      <c r="R344" s="25" t="str">
        <f t="shared" si="20"/>
        <v/>
      </c>
      <c r="S344" s="10" t="str">
        <f>IF(R344="","",IF(R344&gt;=Matriz!$C$19,4,IF(R344&gt;=Matriz!$C$18,3,IF(R344&gt;=Matriz!$C$17,2,1))))</f>
        <v/>
      </c>
      <c r="T344" s="9" t="str">
        <f>IF(S344="","",MAX(S344,IF(I344=5,Matriz!$C$23,0),IF(N344="Sim",Matriz!$C$24,0)))</f>
        <v/>
      </c>
      <c r="U344" s="9" t="str">
        <f t="shared" si="21"/>
        <v/>
      </c>
      <c r="V344" s="26" t="str">
        <f t="shared" si="22"/>
        <v/>
      </c>
      <c r="W344" s="10" t="str">
        <f t="shared" si="23"/>
        <v/>
      </c>
      <c r="X344" s="4"/>
      <c r="Y344" s="4"/>
    </row>
    <row r="345" spans="1:25" ht="40.049999999999997" hidden="1" customHeight="1" x14ac:dyDescent="0.3">
      <c r="A345" s="20" t="s">
        <v>879</v>
      </c>
      <c r="B345" s="21" t="s">
        <v>880</v>
      </c>
      <c r="C345" s="4" t="s">
        <v>128</v>
      </c>
      <c r="D345" s="4" t="s">
        <v>563</v>
      </c>
      <c r="E345" s="4" t="s">
        <v>385</v>
      </c>
      <c r="F345" s="22">
        <v>45994</v>
      </c>
      <c r="G345" s="23" t="s">
        <v>98</v>
      </c>
      <c r="H345" s="6">
        <v>4</v>
      </c>
      <c r="I345" s="6">
        <v>5</v>
      </c>
      <c r="J345" s="6">
        <v>4</v>
      </c>
      <c r="K345" s="6">
        <v>3</v>
      </c>
      <c r="L345" s="6">
        <v>3</v>
      </c>
      <c r="M345" s="6">
        <v>5</v>
      </c>
      <c r="N345" s="6" t="s">
        <v>261</v>
      </c>
      <c r="O345" s="16">
        <f>IF(COUNT(I345:M345)&lt;5,"",ROUND((I345*Matriz!$C$5+J345*Matriz!$C$6+K345*Matriz!$C$7+L345*Matriz!$C$8+M345*Matriz!$C$9)/SUM(Matriz!$C$5:$C$9),2))</f>
        <v>4.0999999999999996</v>
      </c>
      <c r="P345" s="17">
        <f>IFERROR(INDEX(Processos!$F$8:$F$17,MATCH(C345,Processos!$A$8:$A$17,0)),1)</f>
        <v>1.0669999999999999</v>
      </c>
      <c r="Q345" s="24">
        <f>IFERROR(INDEX(Matriz!$C$28:$C$33,MATCH(G345,Matriz!$A$28:$A$33,0)),0)</f>
        <v>0.3</v>
      </c>
      <c r="R345" s="25">
        <f t="shared" si="20"/>
        <v>4.67</v>
      </c>
      <c r="S345" s="10">
        <f>IF(R345="","",IF(R345&gt;=Matriz!$C$19,4,IF(R345&gt;=Matriz!$C$18,3,IF(R345&gt;=Matriz!$C$17,2,1))))</f>
        <v>4</v>
      </c>
      <c r="T345" s="9">
        <f>IF(S345="","",MAX(S345,IF(I345=5,Matriz!$C$23,0),IF(N345="Sim",Matriz!$C$24,0)))</f>
        <v>4</v>
      </c>
      <c r="U345" s="9" t="str">
        <f t="shared" si="21"/>
        <v>Urgente</v>
      </c>
      <c r="V345" s="26">
        <f t="shared" si="22"/>
        <v>4046.2996549999998</v>
      </c>
      <c r="W345" s="10">
        <f t="shared" si="23"/>
        <v>1</v>
      </c>
      <c r="X345" s="4" t="s">
        <v>262</v>
      </c>
      <c r="Y345" s="4" t="s">
        <v>881</v>
      </c>
    </row>
    <row r="346" spans="1:25" ht="28.05" hidden="1" customHeight="1" x14ac:dyDescent="0.3">
      <c r="A346" s="20" t="s">
        <v>882</v>
      </c>
      <c r="B346" s="21" t="s">
        <v>883</v>
      </c>
      <c r="C346" s="4" t="s">
        <v>128</v>
      </c>
      <c r="D346" s="4" t="s">
        <v>861</v>
      </c>
      <c r="E346" s="4" t="s">
        <v>385</v>
      </c>
      <c r="F346" s="22">
        <v>45961</v>
      </c>
      <c r="G346" s="23" t="s">
        <v>104</v>
      </c>
      <c r="H346" s="6"/>
      <c r="I346" s="6"/>
      <c r="J346" s="6"/>
      <c r="K346" s="6"/>
      <c r="L346" s="6"/>
      <c r="M346" s="6"/>
      <c r="N346" s="6"/>
      <c r="O346" s="16" t="str">
        <f>IF(COUNT(I346:M346)&lt;5,"",ROUND((I346*Matriz!$C$5+J346*Matriz!$C$6+K346*Matriz!$C$7+L346*Matriz!$C$8+M346*Matriz!$C$9)/SUM(Matriz!$C$5:$C$9),2))</f>
        <v/>
      </c>
      <c r="P346" s="17">
        <f>IFERROR(INDEX(Processos!$F$8:$F$17,MATCH(C346,Processos!$A$8:$A$17,0)),1)</f>
        <v>1.0669999999999999</v>
      </c>
      <c r="Q346" s="24">
        <f>IFERROR(INDEX(Matriz!$C$28:$C$33,MATCH(G346,Matriz!$A$28:$A$33,0)),0)</f>
        <v>0</v>
      </c>
      <c r="R346" s="25" t="str">
        <f t="shared" si="20"/>
        <v/>
      </c>
      <c r="S346" s="10" t="str">
        <f>IF(R346="","",IF(R346&gt;=Matriz!$C$19,4,IF(R346&gt;=Matriz!$C$18,3,IF(R346&gt;=Matriz!$C$17,2,1))))</f>
        <v/>
      </c>
      <c r="T346" s="9" t="str">
        <f>IF(S346="","",MAX(S346,IF(I346=5,Matriz!$C$23,0),IF(N346="Sim",Matriz!$C$24,0)))</f>
        <v/>
      </c>
      <c r="U346" s="9" t="str">
        <f t="shared" si="21"/>
        <v/>
      </c>
      <c r="V346" s="26" t="str">
        <f t="shared" si="22"/>
        <v/>
      </c>
      <c r="W346" s="10" t="str">
        <f t="shared" si="23"/>
        <v/>
      </c>
      <c r="X346" s="4"/>
      <c r="Y346" s="4"/>
    </row>
    <row r="347" spans="1:25" ht="28.05" hidden="1" customHeight="1" x14ac:dyDescent="0.3">
      <c r="A347" s="20" t="s">
        <v>884</v>
      </c>
      <c r="B347" s="21" t="s">
        <v>885</v>
      </c>
      <c r="C347" s="4" t="s">
        <v>128</v>
      </c>
      <c r="D347" s="4" t="s">
        <v>202</v>
      </c>
      <c r="E347" s="4" t="s">
        <v>385</v>
      </c>
      <c r="F347" s="22">
        <v>45961</v>
      </c>
      <c r="G347" s="23" t="s">
        <v>104</v>
      </c>
      <c r="H347" s="6"/>
      <c r="I347" s="6"/>
      <c r="J347" s="6"/>
      <c r="K347" s="6"/>
      <c r="L347" s="6"/>
      <c r="M347" s="6"/>
      <c r="N347" s="6"/>
      <c r="O347" s="16" t="str">
        <f>IF(COUNT(I347:M347)&lt;5,"",ROUND((I347*Matriz!$C$5+J347*Matriz!$C$6+K347*Matriz!$C$7+L347*Matriz!$C$8+M347*Matriz!$C$9)/SUM(Matriz!$C$5:$C$9),2))</f>
        <v/>
      </c>
      <c r="P347" s="17">
        <f>IFERROR(INDEX(Processos!$F$8:$F$17,MATCH(C347,Processos!$A$8:$A$17,0)),1)</f>
        <v>1.0669999999999999</v>
      </c>
      <c r="Q347" s="24">
        <f>IFERROR(INDEX(Matriz!$C$28:$C$33,MATCH(G347,Matriz!$A$28:$A$33,0)),0)</f>
        <v>0</v>
      </c>
      <c r="R347" s="25" t="str">
        <f t="shared" si="20"/>
        <v/>
      </c>
      <c r="S347" s="10" t="str">
        <f>IF(R347="","",IF(R347&gt;=Matriz!$C$19,4,IF(R347&gt;=Matriz!$C$18,3,IF(R347&gt;=Matriz!$C$17,2,1))))</f>
        <v/>
      </c>
      <c r="T347" s="9" t="str">
        <f>IF(S347="","",MAX(S347,IF(I347=5,Matriz!$C$23,0),IF(N347="Sim",Matriz!$C$24,0)))</f>
        <v/>
      </c>
      <c r="U347" s="9" t="str">
        <f t="shared" si="21"/>
        <v/>
      </c>
      <c r="V347" s="26" t="str">
        <f t="shared" si="22"/>
        <v/>
      </c>
      <c r="W347" s="10" t="str">
        <f t="shared" si="23"/>
        <v/>
      </c>
      <c r="X347" s="4"/>
      <c r="Y347" s="4"/>
    </row>
    <row r="348" spans="1:25" ht="28.05" hidden="1" customHeight="1" x14ac:dyDescent="0.3">
      <c r="A348" s="20" t="s">
        <v>886</v>
      </c>
      <c r="B348" s="21" t="s">
        <v>885</v>
      </c>
      <c r="C348" s="4" t="s">
        <v>128</v>
      </c>
      <c r="D348" s="4" t="s">
        <v>861</v>
      </c>
      <c r="E348" s="4" t="s">
        <v>385</v>
      </c>
      <c r="F348" s="22">
        <v>45961</v>
      </c>
      <c r="G348" s="23" t="s">
        <v>104</v>
      </c>
      <c r="H348" s="6"/>
      <c r="I348" s="6"/>
      <c r="J348" s="6"/>
      <c r="K348" s="6"/>
      <c r="L348" s="6"/>
      <c r="M348" s="6"/>
      <c r="N348" s="6"/>
      <c r="O348" s="16" t="str">
        <f>IF(COUNT(I348:M348)&lt;5,"",ROUND((I348*Matriz!$C$5+J348*Matriz!$C$6+K348*Matriz!$C$7+L348*Matriz!$C$8+M348*Matriz!$C$9)/SUM(Matriz!$C$5:$C$9),2))</f>
        <v/>
      </c>
      <c r="P348" s="17">
        <f>IFERROR(INDEX(Processos!$F$8:$F$17,MATCH(C348,Processos!$A$8:$A$17,0)),1)</f>
        <v>1.0669999999999999</v>
      </c>
      <c r="Q348" s="24">
        <f>IFERROR(INDEX(Matriz!$C$28:$C$33,MATCH(G348,Matriz!$A$28:$A$33,0)),0)</f>
        <v>0</v>
      </c>
      <c r="R348" s="25" t="str">
        <f t="shared" si="20"/>
        <v/>
      </c>
      <c r="S348" s="10" t="str">
        <f>IF(R348="","",IF(R348&gt;=Matriz!$C$19,4,IF(R348&gt;=Matriz!$C$18,3,IF(R348&gt;=Matriz!$C$17,2,1))))</f>
        <v/>
      </c>
      <c r="T348" s="9" t="str">
        <f>IF(S348="","",MAX(S348,IF(I348=5,Matriz!$C$23,0),IF(N348="Sim",Matriz!$C$24,0)))</f>
        <v/>
      </c>
      <c r="U348" s="9" t="str">
        <f t="shared" si="21"/>
        <v/>
      </c>
      <c r="V348" s="26" t="str">
        <f t="shared" si="22"/>
        <v/>
      </c>
      <c r="W348" s="10" t="str">
        <f t="shared" si="23"/>
        <v/>
      </c>
      <c r="X348" s="4"/>
      <c r="Y348" s="4"/>
    </row>
    <row r="349" spans="1:25" ht="28.05" hidden="1" customHeight="1" x14ac:dyDescent="0.3">
      <c r="A349" s="20" t="s">
        <v>887</v>
      </c>
      <c r="B349" s="21" t="s">
        <v>888</v>
      </c>
      <c r="C349" s="4" t="s">
        <v>128</v>
      </c>
      <c r="D349" s="4" t="s">
        <v>229</v>
      </c>
      <c r="E349" s="4" t="s">
        <v>385</v>
      </c>
      <c r="F349" s="22">
        <v>46173</v>
      </c>
      <c r="G349" s="23" t="s">
        <v>102</v>
      </c>
      <c r="H349" s="6"/>
      <c r="I349" s="6"/>
      <c r="J349" s="6"/>
      <c r="K349" s="6"/>
      <c r="L349" s="6"/>
      <c r="M349" s="6"/>
      <c r="N349" s="6"/>
      <c r="O349" s="16" t="str">
        <f>IF(COUNT(I349:M349)&lt;5,"",ROUND((I349*Matriz!$C$5+J349*Matriz!$C$6+K349*Matriz!$C$7+L349*Matriz!$C$8+M349*Matriz!$C$9)/SUM(Matriz!$C$5:$C$9),2))</f>
        <v/>
      </c>
      <c r="P349" s="17">
        <f>IFERROR(INDEX(Processos!$F$8:$F$17,MATCH(C349,Processos!$A$8:$A$17,0)),1)</f>
        <v>1.0669999999999999</v>
      </c>
      <c r="Q349" s="24">
        <f>IFERROR(INDEX(Matriz!$C$28:$C$33,MATCH(G349,Matriz!$A$28:$A$33,0)),0)</f>
        <v>0</v>
      </c>
      <c r="R349" s="25" t="str">
        <f t="shared" si="20"/>
        <v/>
      </c>
      <c r="S349" s="10" t="str">
        <f>IF(R349="","",IF(R349&gt;=Matriz!$C$19,4,IF(R349&gt;=Matriz!$C$18,3,IF(R349&gt;=Matriz!$C$17,2,1))))</f>
        <v/>
      </c>
      <c r="T349" s="9" t="str">
        <f>IF(S349="","",MAX(S349,IF(I349=5,Matriz!$C$23,0),IF(N349="Sim",Matriz!$C$24,0)))</f>
        <v/>
      </c>
      <c r="U349" s="9" t="str">
        <f t="shared" si="21"/>
        <v/>
      </c>
      <c r="V349" s="26" t="str">
        <f t="shared" si="22"/>
        <v/>
      </c>
      <c r="W349" s="10" t="str">
        <f t="shared" si="23"/>
        <v/>
      </c>
      <c r="X349" s="4"/>
      <c r="Y349" s="4"/>
    </row>
    <row r="350" spans="1:25" ht="28.05" hidden="1" customHeight="1" x14ac:dyDescent="0.3">
      <c r="A350" s="20" t="s">
        <v>889</v>
      </c>
      <c r="B350" s="21" t="s">
        <v>890</v>
      </c>
      <c r="C350" s="4" t="s">
        <v>128</v>
      </c>
      <c r="D350" s="4" t="s">
        <v>229</v>
      </c>
      <c r="E350" s="4" t="s">
        <v>385</v>
      </c>
      <c r="F350" s="22">
        <v>46006</v>
      </c>
      <c r="G350" s="23" t="s">
        <v>102</v>
      </c>
      <c r="H350" s="6"/>
      <c r="I350" s="6"/>
      <c r="J350" s="6"/>
      <c r="K350" s="6"/>
      <c r="L350" s="6"/>
      <c r="M350" s="6"/>
      <c r="N350" s="6"/>
      <c r="O350" s="16" t="str">
        <f>IF(COUNT(I350:M350)&lt;5,"",ROUND((I350*Matriz!$C$5+J350*Matriz!$C$6+K350*Matriz!$C$7+L350*Matriz!$C$8+M350*Matriz!$C$9)/SUM(Matriz!$C$5:$C$9),2))</f>
        <v/>
      </c>
      <c r="P350" s="17">
        <f>IFERROR(INDEX(Processos!$F$8:$F$17,MATCH(C350,Processos!$A$8:$A$17,0)),1)</f>
        <v>1.0669999999999999</v>
      </c>
      <c r="Q350" s="24">
        <f>IFERROR(INDEX(Matriz!$C$28:$C$33,MATCH(G350,Matriz!$A$28:$A$33,0)),0)</f>
        <v>0</v>
      </c>
      <c r="R350" s="25" t="str">
        <f t="shared" si="20"/>
        <v/>
      </c>
      <c r="S350" s="10" t="str">
        <f>IF(R350="","",IF(R350&gt;=Matriz!$C$19,4,IF(R350&gt;=Matriz!$C$18,3,IF(R350&gt;=Matriz!$C$17,2,1))))</f>
        <v/>
      </c>
      <c r="T350" s="9" t="str">
        <f>IF(S350="","",MAX(S350,IF(I350=5,Matriz!$C$23,0),IF(N350="Sim",Matriz!$C$24,0)))</f>
        <v/>
      </c>
      <c r="U350" s="9" t="str">
        <f t="shared" si="21"/>
        <v/>
      </c>
      <c r="V350" s="26" t="str">
        <f t="shared" si="22"/>
        <v/>
      </c>
      <c r="W350" s="10" t="str">
        <f t="shared" si="23"/>
        <v/>
      </c>
      <c r="X350" s="4"/>
      <c r="Y350" s="4"/>
    </row>
    <row r="351" spans="1:25" ht="28.05" hidden="1" customHeight="1" x14ac:dyDescent="0.3">
      <c r="A351" s="20" t="s">
        <v>891</v>
      </c>
      <c r="B351" s="21" t="s">
        <v>892</v>
      </c>
      <c r="C351" s="4" t="s">
        <v>128</v>
      </c>
      <c r="D351" s="4" t="s">
        <v>779</v>
      </c>
      <c r="E351" s="4" t="s">
        <v>385</v>
      </c>
      <c r="F351" s="22">
        <v>45966</v>
      </c>
      <c r="G351" s="23" t="s">
        <v>104</v>
      </c>
      <c r="H351" s="6"/>
      <c r="I351" s="6"/>
      <c r="J351" s="6"/>
      <c r="K351" s="6"/>
      <c r="L351" s="6"/>
      <c r="M351" s="6"/>
      <c r="N351" s="6"/>
      <c r="O351" s="16" t="str">
        <f>IF(COUNT(I351:M351)&lt;5,"",ROUND((I351*Matriz!$C$5+J351*Matriz!$C$6+K351*Matriz!$C$7+L351*Matriz!$C$8+M351*Matriz!$C$9)/SUM(Matriz!$C$5:$C$9),2))</f>
        <v/>
      </c>
      <c r="P351" s="17">
        <f>IFERROR(INDEX(Processos!$F$8:$F$17,MATCH(C351,Processos!$A$8:$A$17,0)),1)</f>
        <v>1.0669999999999999</v>
      </c>
      <c r="Q351" s="24">
        <f>IFERROR(INDEX(Matriz!$C$28:$C$33,MATCH(G351,Matriz!$A$28:$A$33,0)),0)</f>
        <v>0</v>
      </c>
      <c r="R351" s="25" t="str">
        <f t="shared" si="20"/>
        <v/>
      </c>
      <c r="S351" s="10" t="str">
        <f>IF(R351="","",IF(R351&gt;=Matriz!$C$19,4,IF(R351&gt;=Matriz!$C$18,3,IF(R351&gt;=Matriz!$C$17,2,1))))</f>
        <v/>
      </c>
      <c r="T351" s="9" t="str">
        <f>IF(S351="","",MAX(S351,IF(I351=5,Matriz!$C$23,0),IF(N351="Sim",Matriz!$C$24,0)))</f>
        <v/>
      </c>
      <c r="U351" s="9" t="str">
        <f t="shared" si="21"/>
        <v/>
      </c>
      <c r="V351" s="26" t="str">
        <f t="shared" si="22"/>
        <v/>
      </c>
      <c r="W351" s="10" t="str">
        <f t="shared" si="23"/>
        <v/>
      </c>
      <c r="X351" s="4"/>
      <c r="Y351" s="4"/>
    </row>
    <row r="352" spans="1:25" ht="28.05" hidden="1" customHeight="1" x14ac:dyDescent="0.3">
      <c r="A352" s="20" t="s">
        <v>893</v>
      </c>
      <c r="B352" s="21" t="s">
        <v>892</v>
      </c>
      <c r="C352" s="4" t="s">
        <v>128</v>
      </c>
      <c r="D352" s="4" t="s">
        <v>779</v>
      </c>
      <c r="E352" s="4" t="s">
        <v>385</v>
      </c>
      <c r="F352" s="22">
        <v>45966</v>
      </c>
      <c r="G352" s="23" t="s">
        <v>104</v>
      </c>
      <c r="H352" s="6"/>
      <c r="I352" s="6"/>
      <c r="J352" s="6"/>
      <c r="K352" s="6"/>
      <c r="L352" s="6"/>
      <c r="M352" s="6"/>
      <c r="N352" s="6"/>
      <c r="O352" s="16" t="str">
        <f>IF(COUNT(I352:M352)&lt;5,"",ROUND((I352*Matriz!$C$5+J352*Matriz!$C$6+K352*Matriz!$C$7+L352*Matriz!$C$8+M352*Matriz!$C$9)/SUM(Matriz!$C$5:$C$9),2))</f>
        <v/>
      </c>
      <c r="P352" s="17">
        <f>IFERROR(INDEX(Processos!$F$8:$F$17,MATCH(C352,Processos!$A$8:$A$17,0)),1)</f>
        <v>1.0669999999999999</v>
      </c>
      <c r="Q352" s="24">
        <f>IFERROR(INDEX(Matriz!$C$28:$C$33,MATCH(G352,Matriz!$A$28:$A$33,0)),0)</f>
        <v>0</v>
      </c>
      <c r="R352" s="25" t="str">
        <f t="shared" si="20"/>
        <v/>
      </c>
      <c r="S352" s="10" t="str">
        <f>IF(R352="","",IF(R352&gt;=Matriz!$C$19,4,IF(R352&gt;=Matriz!$C$18,3,IF(R352&gt;=Matriz!$C$17,2,1))))</f>
        <v/>
      </c>
      <c r="T352" s="9" t="str">
        <f>IF(S352="","",MAX(S352,IF(I352=5,Matriz!$C$23,0),IF(N352="Sim",Matriz!$C$24,0)))</f>
        <v/>
      </c>
      <c r="U352" s="9" t="str">
        <f t="shared" si="21"/>
        <v/>
      </c>
      <c r="V352" s="26" t="str">
        <f t="shared" si="22"/>
        <v/>
      </c>
      <c r="W352" s="10" t="str">
        <f t="shared" si="23"/>
        <v/>
      </c>
      <c r="X352" s="4"/>
      <c r="Y352" s="4"/>
    </row>
    <row r="353" spans="1:25" ht="28.05" hidden="1" customHeight="1" x14ac:dyDescent="0.3">
      <c r="A353" s="20" t="s">
        <v>894</v>
      </c>
      <c r="B353" s="21" t="s">
        <v>895</v>
      </c>
      <c r="C353" s="4" t="s">
        <v>128</v>
      </c>
      <c r="D353" s="4" t="s">
        <v>779</v>
      </c>
      <c r="E353" s="4" t="s">
        <v>385</v>
      </c>
      <c r="F353" s="22">
        <v>45960</v>
      </c>
      <c r="G353" s="23" t="s">
        <v>104</v>
      </c>
      <c r="H353" s="6"/>
      <c r="I353" s="6"/>
      <c r="J353" s="6"/>
      <c r="K353" s="6"/>
      <c r="L353" s="6"/>
      <c r="M353" s="6"/>
      <c r="N353" s="6"/>
      <c r="O353" s="16" t="str">
        <f>IF(COUNT(I353:M353)&lt;5,"",ROUND((I353*Matriz!$C$5+J353*Matriz!$C$6+K353*Matriz!$C$7+L353*Matriz!$C$8+M353*Matriz!$C$9)/SUM(Matriz!$C$5:$C$9),2))</f>
        <v/>
      </c>
      <c r="P353" s="17">
        <f>IFERROR(INDEX(Processos!$F$8:$F$17,MATCH(C353,Processos!$A$8:$A$17,0)),1)</f>
        <v>1.0669999999999999</v>
      </c>
      <c r="Q353" s="24">
        <f>IFERROR(INDEX(Matriz!$C$28:$C$33,MATCH(G353,Matriz!$A$28:$A$33,0)),0)</f>
        <v>0</v>
      </c>
      <c r="R353" s="25" t="str">
        <f t="shared" si="20"/>
        <v/>
      </c>
      <c r="S353" s="10" t="str">
        <f>IF(R353="","",IF(R353&gt;=Matriz!$C$19,4,IF(R353&gt;=Matriz!$C$18,3,IF(R353&gt;=Matriz!$C$17,2,1))))</f>
        <v/>
      </c>
      <c r="T353" s="9" t="str">
        <f>IF(S353="","",MAX(S353,IF(I353=5,Matriz!$C$23,0),IF(N353="Sim",Matriz!$C$24,0)))</f>
        <v/>
      </c>
      <c r="U353" s="9" t="str">
        <f t="shared" si="21"/>
        <v/>
      </c>
      <c r="V353" s="26" t="str">
        <f t="shared" si="22"/>
        <v/>
      </c>
      <c r="W353" s="10" t="str">
        <f t="shared" si="23"/>
        <v/>
      </c>
      <c r="X353" s="4"/>
      <c r="Y353" s="4"/>
    </row>
    <row r="354" spans="1:25" ht="28.05" hidden="1" customHeight="1" x14ac:dyDescent="0.3">
      <c r="A354" s="20" t="s">
        <v>896</v>
      </c>
      <c r="B354" s="21" t="s">
        <v>897</v>
      </c>
      <c r="C354" s="4" t="s">
        <v>128</v>
      </c>
      <c r="D354" s="4" t="s">
        <v>417</v>
      </c>
      <c r="E354" s="4" t="s">
        <v>186</v>
      </c>
      <c r="F354" s="22">
        <v>46326</v>
      </c>
      <c r="G354" s="23" t="s">
        <v>102</v>
      </c>
      <c r="H354" s="6"/>
      <c r="I354" s="6"/>
      <c r="J354" s="6"/>
      <c r="K354" s="6"/>
      <c r="L354" s="6"/>
      <c r="M354" s="6"/>
      <c r="N354" s="6"/>
      <c r="O354" s="16" t="str">
        <f>IF(COUNT(I354:M354)&lt;5,"",ROUND((I354*Matriz!$C$5+J354*Matriz!$C$6+K354*Matriz!$C$7+L354*Matriz!$C$8+M354*Matriz!$C$9)/SUM(Matriz!$C$5:$C$9),2))</f>
        <v/>
      </c>
      <c r="P354" s="17">
        <f>IFERROR(INDEX(Processos!$F$8:$F$17,MATCH(C354,Processos!$A$8:$A$17,0)),1)</f>
        <v>1.0669999999999999</v>
      </c>
      <c r="Q354" s="24">
        <f>IFERROR(INDEX(Matriz!$C$28:$C$33,MATCH(G354,Matriz!$A$28:$A$33,0)),0)</f>
        <v>0</v>
      </c>
      <c r="R354" s="25" t="str">
        <f t="shared" si="20"/>
        <v/>
      </c>
      <c r="S354" s="10" t="str">
        <f>IF(R354="","",IF(R354&gt;=Matriz!$C$19,4,IF(R354&gt;=Matriz!$C$18,3,IF(R354&gt;=Matriz!$C$17,2,1))))</f>
        <v/>
      </c>
      <c r="T354" s="9" t="str">
        <f>IF(S354="","",MAX(S354,IF(I354=5,Matriz!$C$23,0),IF(N354="Sim",Matriz!$C$24,0)))</f>
        <v/>
      </c>
      <c r="U354" s="9" t="str">
        <f t="shared" si="21"/>
        <v/>
      </c>
      <c r="V354" s="26" t="str">
        <f t="shared" si="22"/>
        <v/>
      </c>
      <c r="W354" s="10" t="str">
        <f t="shared" si="23"/>
        <v/>
      </c>
      <c r="X354" s="4"/>
      <c r="Y354" s="4"/>
    </row>
    <row r="355" spans="1:25" ht="28.05" hidden="1" customHeight="1" x14ac:dyDescent="0.3">
      <c r="A355" s="20" t="s">
        <v>898</v>
      </c>
      <c r="B355" s="21" t="s">
        <v>899</v>
      </c>
      <c r="C355" s="4" t="s">
        <v>128</v>
      </c>
      <c r="D355" s="4" t="s">
        <v>194</v>
      </c>
      <c r="E355" s="4" t="s">
        <v>186</v>
      </c>
      <c r="F355" s="22">
        <v>46356</v>
      </c>
      <c r="G355" s="23" t="s">
        <v>100</v>
      </c>
      <c r="H355" s="6"/>
      <c r="I355" s="6"/>
      <c r="J355" s="6"/>
      <c r="K355" s="6"/>
      <c r="L355" s="6"/>
      <c r="M355" s="6"/>
      <c r="N355" s="6"/>
      <c r="O355" s="16" t="str">
        <f>IF(COUNT(I355:M355)&lt;5,"",ROUND((I355*Matriz!$C$5+J355*Matriz!$C$6+K355*Matriz!$C$7+L355*Matriz!$C$8+M355*Matriz!$C$9)/SUM(Matriz!$C$5:$C$9),2))</f>
        <v/>
      </c>
      <c r="P355" s="17">
        <f>IFERROR(INDEX(Processos!$F$8:$F$17,MATCH(C355,Processos!$A$8:$A$17,0)),1)</f>
        <v>1.0669999999999999</v>
      </c>
      <c r="Q355" s="24">
        <f>IFERROR(INDEX(Matriz!$C$28:$C$33,MATCH(G355,Matriz!$A$28:$A$33,0)),0)</f>
        <v>0</v>
      </c>
      <c r="R355" s="25" t="str">
        <f t="shared" si="20"/>
        <v/>
      </c>
      <c r="S355" s="10" t="str">
        <f>IF(R355="","",IF(R355&gt;=Matriz!$C$19,4,IF(R355&gt;=Matriz!$C$18,3,IF(R355&gt;=Matriz!$C$17,2,1))))</f>
        <v/>
      </c>
      <c r="T355" s="9" t="str">
        <f>IF(S355="","",MAX(S355,IF(I355=5,Matriz!$C$23,0),IF(N355="Sim",Matriz!$C$24,0)))</f>
        <v/>
      </c>
      <c r="U355" s="9" t="str">
        <f t="shared" si="21"/>
        <v/>
      </c>
      <c r="V355" s="26" t="str">
        <f t="shared" si="22"/>
        <v/>
      </c>
      <c r="W355" s="10" t="str">
        <f t="shared" si="23"/>
        <v/>
      </c>
      <c r="X355" s="4"/>
      <c r="Y355" s="4"/>
    </row>
    <row r="356" spans="1:25" ht="28.05" hidden="1" customHeight="1" x14ac:dyDescent="0.3">
      <c r="A356" s="20" t="s">
        <v>900</v>
      </c>
      <c r="B356" s="21" t="s">
        <v>901</v>
      </c>
      <c r="C356" s="4" t="s">
        <v>128</v>
      </c>
      <c r="D356" s="4" t="s">
        <v>334</v>
      </c>
      <c r="E356" s="4" t="s">
        <v>186</v>
      </c>
      <c r="F356" s="22">
        <v>46356</v>
      </c>
      <c r="G356" s="23" t="s">
        <v>100</v>
      </c>
      <c r="H356" s="6"/>
      <c r="I356" s="6"/>
      <c r="J356" s="6"/>
      <c r="K356" s="6"/>
      <c r="L356" s="6"/>
      <c r="M356" s="6"/>
      <c r="N356" s="6"/>
      <c r="O356" s="16" t="str">
        <f>IF(COUNT(I356:M356)&lt;5,"",ROUND((I356*Matriz!$C$5+J356*Matriz!$C$6+K356*Matriz!$C$7+L356*Matriz!$C$8+M356*Matriz!$C$9)/SUM(Matriz!$C$5:$C$9),2))</f>
        <v/>
      </c>
      <c r="P356" s="17">
        <f>IFERROR(INDEX(Processos!$F$8:$F$17,MATCH(C356,Processos!$A$8:$A$17,0)),1)</f>
        <v>1.0669999999999999</v>
      </c>
      <c r="Q356" s="24">
        <f>IFERROR(INDEX(Matriz!$C$28:$C$33,MATCH(G356,Matriz!$A$28:$A$33,0)),0)</f>
        <v>0</v>
      </c>
      <c r="R356" s="25" t="str">
        <f t="shared" si="20"/>
        <v/>
      </c>
      <c r="S356" s="10" t="str">
        <f>IF(R356="","",IF(R356&gt;=Matriz!$C$19,4,IF(R356&gt;=Matriz!$C$18,3,IF(R356&gt;=Matriz!$C$17,2,1))))</f>
        <v/>
      </c>
      <c r="T356" s="9" t="str">
        <f>IF(S356="","",MAX(S356,IF(I356=5,Matriz!$C$23,0),IF(N356="Sim",Matriz!$C$24,0)))</f>
        <v/>
      </c>
      <c r="U356" s="9" t="str">
        <f t="shared" si="21"/>
        <v/>
      </c>
      <c r="V356" s="26" t="str">
        <f t="shared" si="22"/>
        <v/>
      </c>
      <c r="W356" s="10" t="str">
        <f t="shared" si="23"/>
        <v/>
      </c>
      <c r="X356" s="4"/>
      <c r="Y356" s="4"/>
    </row>
    <row r="357" spans="1:25" ht="28.05" hidden="1" customHeight="1" x14ac:dyDescent="0.3">
      <c r="A357" s="20" t="s">
        <v>902</v>
      </c>
      <c r="B357" s="21" t="s">
        <v>903</v>
      </c>
      <c r="C357" s="4" t="s">
        <v>128</v>
      </c>
      <c r="D357" s="4" t="s">
        <v>904</v>
      </c>
      <c r="E357" s="4" t="s">
        <v>186</v>
      </c>
      <c r="F357" s="22">
        <v>46387</v>
      </c>
      <c r="G357" s="23" t="s">
        <v>104</v>
      </c>
      <c r="H357" s="6"/>
      <c r="I357" s="6"/>
      <c r="J357" s="6"/>
      <c r="K357" s="6"/>
      <c r="L357" s="6"/>
      <c r="M357" s="6"/>
      <c r="N357" s="6"/>
      <c r="O357" s="16" t="str">
        <f>IF(COUNT(I357:M357)&lt;5,"",ROUND((I357*Matriz!$C$5+J357*Matriz!$C$6+K357*Matriz!$C$7+L357*Matriz!$C$8+M357*Matriz!$C$9)/SUM(Matriz!$C$5:$C$9),2))</f>
        <v/>
      </c>
      <c r="P357" s="17">
        <f>IFERROR(INDEX(Processos!$F$8:$F$17,MATCH(C357,Processos!$A$8:$A$17,0)),1)</f>
        <v>1.0669999999999999</v>
      </c>
      <c r="Q357" s="24">
        <f>IFERROR(INDEX(Matriz!$C$28:$C$33,MATCH(G357,Matriz!$A$28:$A$33,0)),0)</f>
        <v>0</v>
      </c>
      <c r="R357" s="25" t="str">
        <f t="shared" si="20"/>
        <v/>
      </c>
      <c r="S357" s="10" t="str">
        <f>IF(R357="","",IF(R357&gt;=Matriz!$C$19,4,IF(R357&gt;=Matriz!$C$18,3,IF(R357&gt;=Matriz!$C$17,2,1))))</f>
        <v/>
      </c>
      <c r="T357" s="9" t="str">
        <f>IF(S357="","",MAX(S357,IF(I357=5,Matriz!$C$23,0),IF(N357="Sim",Matriz!$C$24,0)))</f>
        <v/>
      </c>
      <c r="U357" s="9" t="str">
        <f t="shared" si="21"/>
        <v/>
      </c>
      <c r="V357" s="26" t="str">
        <f t="shared" si="22"/>
        <v/>
      </c>
      <c r="W357" s="10" t="str">
        <f t="shared" si="23"/>
        <v/>
      </c>
      <c r="X357" s="4"/>
      <c r="Y357" s="4"/>
    </row>
    <row r="358" spans="1:25" ht="28.05" hidden="1" customHeight="1" x14ac:dyDescent="0.3">
      <c r="A358" s="20" t="s">
        <v>905</v>
      </c>
      <c r="B358" s="21" t="s">
        <v>906</v>
      </c>
      <c r="C358" s="4" t="s">
        <v>128</v>
      </c>
      <c r="D358" s="4" t="s">
        <v>563</v>
      </c>
      <c r="E358" s="4" t="s">
        <v>186</v>
      </c>
      <c r="F358" s="22">
        <v>46325</v>
      </c>
      <c r="G358" s="23" t="s">
        <v>104</v>
      </c>
      <c r="H358" s="6"/>
      <c r="I358" s="6"/>
      <c r="J358" s="6"/>
      <c r="K358" s="6"/>
      <c r="L358" s="6"/>
      <c r="M358" s="6"/>
      <c r="N358" s="6"/>
      <c r="O358" s="16" t="str">
        <f>IF(COUNT(I358:M358)&lt;5,"",ROUND((I358*Matriz!$C$5+J358*Matriz!$C$6+K358*Matriz!$C$7+L358*Matriz!$C$8+M358*Matriz!$C$9)/SUM(Matriz!$C$5:$C$9),2))</f>
        <v/>
      </c>
      <c r="P358" s="17">
        <f>IFERROR(INDEX(Processos!$F$8:$F$17,MATCH(C358,Processos!$A$8:$A$17,0)),1)</f>
        <v>1.0669999999999999</v>
      </c>
      <c r="Q358" s="24">
        <f>IFERROR(INDEX(Matriz!$C$28:$C$33,MATCH(G358,Matriz!$A$28:$A$33,0)),0)</f>
        <v>0</v>
      </c>
      <c r="R358" s="25" t="str">
        <f t="shared" si="20"/>
        <v/>
      </c>
      <c r="S358" s="10" t="str">
        <f>IF(R358="","",IF(R358&gt;=Matriz!$C$19,4,IF(R358&gt;=Matriz!$C$18,3,IF(R358&gt;=Matriz!$C$17,2,1))))</f>
        <v/>
      </c>
      <c r="T358" s="9" t="str">
        <f>IF(S358="","",MAX(S358,IF(I358=5,Matriz!$C$23,0),IF(N358="Sim",Matriz!$C$24,0)))</f>
        <v/>
      </c>
      <c r="U358" s="9" t="str">
        <f t="shared" si="21"/>
        <v/>
      </c>
      <c r="V358" s="26" t="str">
        <f t="shared" si="22"/>
        <v/>
      </c>
      <c r="W358" s="10" t="str">
        <f t="shared" si="23"/>
        <v/>
      </c>
      <c r="X358" s="4"/>
      <c r="Y358" s="4"/>
    </row>
    <row r="359" spans="1:25" ht="28.05" hidden="1" customHeight="1" x14ac:dyDescent="0.3">
      <c r="A359" s="20" t="s">
        <v>907</v>
      </c>
      <c r="B359" s="21" t="s">
        <v>908</v>
      </c>
      <c r="C359" s="4" t="s">
        <v>128</v>
      </c>
      <c r="D359" s="4" t="s">
        <v>779</v>
      </c>
      <c r="E359" s="4" t="s">
        <v>186</v>
      </c>
      <c r="F359" s="22"/>
      <c r="G359" s="23" t="s">
        <v>102</v>
      </c>
      <c r="H359" s="6"/>
      <c r="I359" s="6"/>
      <c r="J359" s="6"/>
      <c r="K359" s="6"/>
      <c r="L359" s="6"/>
      <c r="M359" s="6"/>
      <c r="N359" s="6"/>
      <c r="O359" s="16" t="str">
        <f>IF(COUNT(I359:M359)&lt;5,"",ROUND((I359*Matriz!$C$5+J359*Matriz!$C$6+K359*Matriz!$C$7+L359*Matriz!$C$8+M359*Matriz!$C$9)/SUM(Matriz!$C$5:$C$9),2))</f>
        <v/>
      </c>
      <c r="P359" s="17">
        <f>IFERROR(INDEX(Processos!$F$8:$F$17,MATCH(C359,Processos!$A$8:$A$17,0)),1)</f>
        <v>1.0669999999999999</v>
      </c>
      <c r="Q359" s="24">
        <f>IFERROR(INDEX(Matriz!$C$28:$C$33,MATCH(G359,Matriz!$A$28:$A$33,0)),0)</f>
        <v>0</v>
      </c>
      <c r="R359" s="25" t="str">
        <f t="shared" si="20"/>
        <v/>
      </c>
      <c r="S359" s="10" t="str">
        <f>IF(R359="","",IF(R359&gt;=Matriz!$C$19,4,IF(R359&gt;=Matriz!$C$18,3,IF(R359&gt;=Matriz!$C$17,2,1))))</f>
        <v/>
      </c>
      <c r="T359" s="9" t="str">
        <f>IF(S359="","",MAX(S359,IF(I359=5,Matriz!$C$23,0),IF(N359="Sim",Matriz!$C$24,0)))</f>
        <v/>
      </c>
      <c r="U359" s="9" t="str">
        <f t="shared" si="21"/>
        <v/>
      </c>
      <c r="V359" s="26" t="str">
        <f t="shared" si="22"/>
        <v/>
      </c>
      <c r="W359" s="10" t="str">
        <f t="shared" si="23"/>
        <v/>
      </c>
      <c r="X359" s="4"/>
      <c r="Y359" s="4"/>
    </row>
    <row r="360" spans="1:25" ht="28.05" hidden="1" customHeight="1" x14ac:dyDescent="0.3">
      <c r="A360" s="20" t="s">
        <v>909</v>
      </c>
      <c r="B360" s="21" t="s">
        <v>910</v>
      </c>
      <c r="C360" s="4" t="s">
        <v>128</v>
      </c>
      <c r="D360" s="4" t="s">
        <v>456</v>
      </c>
      <c r="E360" s="4" t="s">
        <v>226</v>
      </c>
      <c r="F360" s="22"/>
      <c r="G360" s="23" t="s">
        <v>98</v>
      </c>
      <c r="H360" s="6"/>
      <c r="I360" s="6"/>
      <c r="J360" s="6"/>
      <c r="K360" s="6"/>
      <c r="L360" s="6"/>
      <c r="M360" s="6"/>
      <c r="N360" s="6"/>
      <c r="O360" s="16" t="str">
        <f>IF(COUNT(I360:M360)&lt;5,"",ROUND((I360*Matriz!$C$5+J360*Matriz!$C$6+K360*Matriz!$C$7+L360*Matriz!$C$8+M360*Matriz!$C$9)/SUM(Matriz!$C$5:$C$9),2))</f>
        <v/>
      </c>
      <c r="P360" s="17">
        <f>IFERROR(INDEX(Processos!$F$8:$F$17,MATCH(C360,Processos!$A$8:$A$17,0)),1)</f>
        <v>1.0669999999999999</v>
      </c>
      <c r="Q360" s="24">
        <f>IFERROR(INDEX(Matriz!$C$28:$C$33,MATCH(G360,Matriz!$A$28:$A$33,0)),0)</f>
        <v>0.3</v>
      </c>
      <c r="R360" s="25" t="str">
        <f t="shared" si="20"/>
        <v/>
      </c>
      <c r="S360" s="10" t="str">
        <f>IF(R360="","",IF(R360&gt;=Matriz!$C$19,4,IF(R360&gt;=Matriz!$C$18,3,IF(R360&gt;=Matriz!$C$17,2,1))))</f>
        <v/>
      </c>
      <c r="T360" s="9" t="str">
        <f>IF(S360="","",MAX(S360,IF(I360=5,Matriz!$C$23,0),IF(N360="Sim",Matriz!$C$24,0)))</f>
        <v/>
      </c>
      <c r="U360" s="9" t="str">
        <f t="shared" si="21"/>
        <v/>
      </c>
      <c r="V360" s="26" t="str">
        <f t="shared" si="22"/>
        <v/>
      </c>
      <c r="W360" s="10" t="str">
        <f t="shared" si="23"/>
        <v/>
      </c>
      <c r="X360" s="4"/>
      <c r="Y360" s="4"/>
    </row>
    <row r="361" spans="1:25" ht="28.05" hidden="1" customHeight="1" x14ac:dyDescent="0.3">
      <c r="A361" s="20" t="s">
        <v>911</v>
      </c>
      <c r="B361" s="21" t="s">
        <v>912</v>
      </c>
      <c r="C361" s="4" t="s">
        <v>128</v>
      </c>
      <c r="D361" s="4" t="s">
        <v>229</v>
      </c>
      <c r="E361" s="4" t="s">
        <v>226</v>
      </c>
      <c r="F361" s="22"/>
      <c r="G361" s="23" t="s">
        <v>102</v>
      </c>
      <c r="H361" s="6"/>
      <c r="I361" s="6"/>
      <c r="J361" s="6"/>
      <c r="K361" s="6"/>
      <c r="L361" s="6"/>
      <c r="M361" s="6"/>
      <c r="N361" s="6"/>
      <c r="O361" s="16" t="str">
        <f>IF(COUNT(I361:M361)&lt;5,"",ROUND((I361*Matriz!$C$5+J361*Matriz!$C$6+K361*Matriz!$C$7+L361*Matriz!$C$8+M361*Matriz!$C$9)/SUM(Matriz!$C$5:$C$9),2))</f>
        <v/>
      </c>
      <c r="P361" s="17">
        <f>IFERROR(INDEX(Processos!$F$8:$F$17,MATCH(C361,Processos!$A$8:$A$17,0)),1)</f>
        <v>1.0669999999999999</v>
      </c>
      <c r="Q361" s="24">
        <f>IFERROR(INDEX(Matriz!$C$28:$C$33,MATCH(G361,Matriz!$A$28:$A$33,0)),0)</f>
        <v>0</v>
      </c>
      <c r="R361" s="25" t="str">
        <f t="shared" si="20"/>
        <v/>
      </c>
      <c r="S361" s="10" t="str">
        <f>IF(R361="","",IF(R361&gt;=Matriz!$C$19,4,IF(R361&gt;=Matriz!$C$18,3,IF(R361&gt;=Matriz!$C$17,2,1))))</f>
        <v/>
      </c>
      <c r="T361" s="9" t="str">
        <f>IF(S361="","",MAX(S361,IF(I361=5,Matriz!$C$23,0),IF(N361="Sim",Matriz!$C$24,0)))</f>
        <v/>
      </c>
      <c r="U361" s="9" t="str">
        <f t="shared" si="21"/>
        <v/>
      </c>
      <c r="V361" s="26" t="str">
        <f t="shared" si="22"/>
        <v/>
      </c>
      <c r="W361" s="10" t="str">
        <f t="shared" si="23"/>
        <v/>
      </c>
      <c r="X361" s="4"/>
      <c r="Y361" s="4"/>
    </row>
    <row r="362" spans="1:25" ht="28.05" hidden="1" customHeight="1" x14ac:dyDescent="0.3">
      <c r="A362" s="20" t="s">
        <v>913</v>
      </c>
      <c r="B362" s="21" t="s">
        <v>914</v>
      </c>
      <c r="C362" s="4" t="s">
        <v>128</v>
      </c>
      <c r="D362" s="4" t="s">
        <v>229</v>
      </c>
      <c r="E362" s="4" t="s">
        <v>226</v>
      </c>
      <c r="F362" s="22"/>
      <c r="G362" s="23" t="s">
        <v>102</v>
      </c>
      <c r="H362" s="6"/>
      <c r="I362" s="6"/>
      <c r="J362" s="6"/>
      <c r="K362" s="6"/>
      <c r="L362" s="6"/>
      <c r="M362" s="6"/>
      <c r="N362" s="6"/>
      <c r="O362" s="16" t="str">
        <f>IF(COUNT(I362:M362)&lt;5,"",ROUND((I362*Matriz!$C$5+J362*Matriz!$C$6+K362*Matriz!$C$7+L362*Matriz!$C$8+M362*Matriz!$C$9)/SUM(Matriz!$C$5:$C$9),2))</f>
        <v/>
      </c>
      <c r="P362" s="17">
        <f>IFERROR(INDEX(Processos!$F$8:$F$17,MATCH(C362,Processos!$A$8:$A$17,0)),1)</f>
        <v>1.0669999999999999</v>
      </c>
      <c r="Q362" s="24">
        <f>IFERROR(INDEX(Matriz!$C$28:$C$33,MATCH(G362,Matriz!$A$28:$A$33,0)),0)</f>
        <v>0</v>
      </c>
      <c r="R362" s="25" t="str">
        <f t="shared" si="20"/>
        <v/>
      </c>
      <c r="S362" s="10" t="str">
        <f>IF(R362="","",IF(R362&gt;=Matriz!$C$19,4,IF(R362&gt;=Matriz!$C$18,3,IF(R362&gt;=Matriz!$C$17,2,1))))</f>
        <v/>
      </c>
      <c r="T362" s="9" t="str">
        <f>IF(S362="","",MAX(S362,IF(I362=5,Matriz!$C$23,0),IF(N362="Sim",Matriz!$C$24,0)))</f>
        <v/>
      </c>
      <c r="U362" s="9" t="str">
        <f t="shared" si="21"/>
        <v/>
      </c>
      <c r="V362" s="26" t="str">
        <f t="shared" si="22"/>
        <v/>
      </c>
      <c r="W362" s="10" t="str">
        <f t="shared" si="23"/>
        <v/>
      </c>
      <c r="X362" s="4"/>
      <c r="Y362" s="4"/>
    </row>
    <row r="363" spans="1:25" ht="28.05" hidden="1" customHeight="1" x14ac:dyDescent="0.3">
      <c r="A363" s="20" t="s">
        <v>915</v>
      </c>
      <c r="B363" s="21" t="s">
        <v>916</v>
      </c>
      <c r="C363" s="4" t="s">
        <v>128</v>
      </c>
      <c r="D363" s="4" t="s">
        <v>456</v>
      </c>
      <c r="E363" s="4" t="s">
        <v>226</v>
      </c>
      <c r="F363" s="22"/>
      <c r="G363" s="23" t="s">
        <v>102</v>
      </c>
      <c r="H363" s="6"/>
      <c r="I363" s="6"/>
      <c r="J363" s="6"/>
      <c r="K363" s="6"/>
      <c r="L363" s="6"/>
      <c r="M363" s="6"/>
      <c r="N363" s="6"/>
      <c r="O363" s="16" t="str">
        <f>IF(COUNT(I363:M363)&lt;5,"",ROUND((I363*Matriz!$C$5+J363*Matriz!$C$6+K363*Matriz!$C$7+L363*Matriz!$C$8+M363*Matriz!$C$9)/SUM(Matriz!$C$5:$C$9),2))</f>
        <v/>
      </c>
      <c r="P363" s="17">
        <f>IFERROR(INDEX(Processos!$F$8:$F$17,MATCH(C363,Processos!$A$8:$A$17,0)),1)</f>
        <v>1.0669999999999999</v>
      </c>
      <c r="Q363" s="24">
        <f>IFERROR(INDEX(Matriz!$C$28:$C$33,MATCH(G363,Matriz!$A$28:$A$33,0)),0)</f>
        <v>0</v>
      </c>
      <c r="R363" s="25" t="str">
        <f t="shared" si="20"/>
        <v/>
      </c>
      <c r="S363" s="10" t="str">
        <f>IF(R363="","",IF(R363&gt;=Matriz!$C$19,4,IF(R363&gt;=Matriz!$C$18,3,IF(R363&gt;=Matriz!$C$17,2,1))))</f>
        <v/>
      </c>
      <c r="T363" s="9" t="str">
        <f>IF(S363="","",MAX(S363,IF(I363=5,Matriz!$C$23,0),IF(N363="Sim",Matriz!$C$24,0)))</f>
        <v/>
      </c>
      <c r="U363" s="9" t="str">
        <f t="shared" si="21"/>
        <v/>
      </c>
      <c r="V363" s="26" t="str">
        <f t="shared" si="22"/>
        <v/>
      </c>
      <c r="W363" s="10" t="str">
        <f t="shared" si="23"/>
        <v/>
      </c>
      <c r="X363" s="4"/>
      <c r="Y363" s="4"/>
    </row>
    <row r="364" spans="1:25" ht="28.05" hidden="1" customHeight="1" x14ac:dyDescent="0.3">
      <c r="A364" s="20" t="s">
        <v>917</v>
      </c>
      <c r="B364" s="21" t="s">
        <v>918</v>
      </c>
      <c r="C364" s="4" t="s">
        <v>128</v>
      </c>
      <c r="D364" s="4" t="s">
        <v>779</v>
      </c>
      <c r="E364" s="4" t="s">
        <v>226</v>
      </c>
      <c r="F364" s="22"/>
      <c r="G364" s="23" t="s">
        <v>104</v>
      </c>
      <c r="H364" s="6"/>
      <c r="I364" s="6"/>
      <c r="J364" s="6"/>
      <c r="K364" s="6"/>
      <c r="L364" s="6"/>
      <c r="M364" s="6"/>
      <c r="N364" s="6"/>
      <c r="O364" s="16" t="str">
        <f>IF(COUNT(I364:M364)&lt;5,"",ROUND((I364*Matriz!$C$5+J364*Matriz!$C$6+K364*Matriz!$C$7+L364*Matriz!$C$8+M364*Matriz!$C$9)/SUM(Matriz!$C$5:$C$9),2))</f>
        <v/>
      </c>
      <c r="P364" s="17">
        <f>IFERROR(INDEX(Processos!$F$8:$F$17,MATCH(C364,Processos!$A$8:$A$17,0)),1)</f>
        <v>1.0669999999999999</v>
      </c>
      <c r="Q364" s="24">
        <f>IFERROR(INDEX(Matriz!$C$28:$C$33,MATCH(G364,Matriz!$A$28:$A$33,0)),0)</f>
        <v>0</v>
      </c>
      <c r="R364" s="25" t="str">
        <f t="shared" si="20"/>
        <v/>
      </c>
      <c r="S364" s="10" t="str">
        <f>IF(R364="","",IF(R364&gt;=Matriz!$C$19,4,IF(R364&gt;=Matriz!$C$18,3,IF(R364&gt;=Matriz!$C$17,2,1))))</f>
        <v/>
      </c>
      <c r="T364" s="9" t="str">
        <f>IF(S364="","",MAX(S364,IF(I364=5,Matriz!$C$23,0),IF(N364="Sim",Matriz!$C$24,0)))</f>
        <v/>
      </c>
      <c r="U364" s="9" t="str">
        <f t="shared" si="21"/>
        <v/>
      </c>
      <c r="V364" s="26" t="str">
        <f t="shared" si="22"/>
        <v/>
      </c>
      <c r="W364" s="10" t="str">
        <f t="shared" si="23"/>
        <v/>
      </c>
      <c r="X364" s="4"/>
      <c r="Y364" s="4"/>
    </row>
    <row r="365" spans="1:25" ht="28.05" hidden="1" customHeight="1" x14ac:dyDescent="0.3">
      <c r="A365" s="20" t="s">
        <v>919</v>
      </c>
      <c r="B365" s="21" t="s">
        <v>920</v>
      </c>
      <c r="C365" s="4" t="s">
        <v>128</v>
      </c>
      <c r="D365" s="4" t="s">
        <v>202</v>
      </c>
      <c r="E365" s="4" t="s">
        <v>326</v>
      </c>
      <c r="F365" s="22"/>
      <c r="G365" s="23" t="s">
        <v>108</v>
      </c>
      <c r="H365" s="6"/>
      <c r="I365" s="6"/>
      <c r="J365" s="6"/>
      <c r="K365" s="6"/>
      <c r="L365" s="6"/>
      <c r="M365" s="6"/>
      <c r="N365" s="6"/>
      <c r="O365" s="16" t="str">
        <f>IF(COUNT(I365:M365)&lt;5,"",ROUND((I365*Matriz!$C$5+J365*Matriz!$C$6+K365*Matriz!$C$7+L365*Matriz!$C$8+M365*Matriz!$C$9)/SUM(Matriz!$C$5:$C$9),2))</f>
        <v/>
      </c>
      <c r="P365" s="17">
        <f>IFERROR(INDEX(Processos!$F$8:$F$17,MATCH(C365,Processos!$A$8:$A$17,0)),1)</f>
        <v>1.0669999999999999</v>
      </c>
      <c r="Q365" s="24">
        <f>IFERROR(INDEX(Matriz!$C$28:$C$33,MATCH(G365,Matriz!$A$28:$A$33,0)),0)</f>
        <v>-0.3</v>
      </c>
      <c r="R365" s="25" t="str">
        <f t="shared" si="20"/>
        <v/>
      </c>
      <c r="S365" s="10" t="str">
        <f>IF(R365="","",IF(R365&gt;=Matriz!$C$19,4,IF(R365&gt;=Matriz!$C$18,3,IF(R365&gt;=Matriz!$C$17,2,1))))</f>
        <v/>
      </c>
      <c r="T365" s="9" t="str">
        <f>IF(S365="","",MAX(S365,IF(I365=5,Matriz!$C$23,0),IF(N365="Sim",Matriz!$C$24,0)))</f>
        <v/>
      </c>
      <c r="U365" s="9" t="str">
        <f t="shared" si="21"/>
        <v/>
      </c>
      <c r="V365" s="26" t="str">
        <f t="shared" si="22"/>
        <v/>
      </c>
      <c r="W365" s="10" t="str">
        <f t="shared" si="23"/>
        <v/>
      </c>
      <c r="X365" s="4"/>
      <c r="Y365" s="4"/>
    </row>
    <row r="366" spans="1:25" ht="28.05" hidden="1" customHeight="1" x14ac:dyDescent="0.3">
      <c r="A366" s="20" t="s">
        <v>921</v>
      </c>
      <c r="B366" s="21" t="s">
        <v>920</v>
      </c>
      <c r="C366" s="4" t="s">
        <v>128</v>
      </c>
      <c r="D366" s="4" t="s">
        <v>417</v>
      </c>
      <c r="E366" s="4" t="s">
        <v>326</v>
      </c>
      <c r="F366" s="22"/>
      <c r="G366" s="23" t="s">
        <v>108</v>
      </c>
      <c r="H366" s="6"/>
      <c r="I366" s="6"/>
      <c r="J366" s="6"/>
      <c r="K366" s="6"/>
      <c r="L366" s="6"/>
      <c r="M366" s="6"/>
      <c r="N366" s="6"/>
      <c r="O366" s="16" t="str">
        <f>IF(COUNT(I366:M366)&lt;5,"",ROUND((I366*Matriz!$C$5+J366*Matriz!$C$6+K366*Matriz!$C$7+L366*Matriz!$C$8+M366*Matriz!$C$9)/SUM(Matriz!$C$5:$C$9),2))</f>
        <v/>
      </c>
      <c r="P366" s="17">
        <f>IFERROR(INDEX(Processos!$F$8:$F$17,MATCH(C366,Processos!$A$8:$A$17,0)),1)</f>
        <v>1.0669999999999999</v>
      </c>
      <c r="Q366" s="24">
        <f>IFERROR(INDEX(Matriz!$C$28:$C$33,MATCH(G366,Matriz!$A$28:$A$33,0)),0)</f>
        <v>-0.3</v>
      </c>
      <c r="R366" s="25" t="str">
        <f t="shared" si="20"/>
        <v/>
      </c>
      <c r="S366" s="10" t="str">
        <f>IF(R366="","",IF(R366&gt;=Matriz!$C$19,4,IF(R366&gt;=Matriz!$C$18,3,IF(R366&gt;=Matriz!$C$17,2,1))))</f>
        <v/>
      </c>
      <c r="T366" s="9" t="str">
        <f>IF(S366="","",MAX(S366,IF(I366=5,Matriz!$C$23,0),IF(N366="Sim",Matriz!$C$24,0)))</f>
        <v/>
      </c>
      <c r="U366" s="9" t="str">
        <f t="shared" si="21"/>
        <v/>
      </c>
      <c r="V366" s="26" t="str">
        <f t="shared" si="22"/>
        <v/>
      </c>
      <c r="W366" s="10" t="str">
        <f t="shared" si="23"/>
        <v/>
      </c>
      <c r="X366" s="4"/>
      <c r="Y366" s="4"/>
    </row>
    <row r="367" spans="1:25" ht="28.05" hidden="1" customHeight="1" x14ac:dyDescent="0.3">
      <c r="A367" s="20" t="s">
        <v>922</v>
      </c>
      <c r="B367" s="21" t="s">
        <v>923</v>
      </c>
      <c r="C367" s="4" t="s">
        <v>128</v>
      </c>
      <c r="D367" s="4" t="s">
        <v>202</v>
      </c>
      <c r="E367" s="4" t="s">
        <v>326</v>
      </c>
      <c r="F367" s="22"/>
      <c r="G367" s="23" t="s">
        <v>108</v>
      </c>
      <c r="H367" s="6"/>
      <c r="I367" s="6"/>
      <c r="J367" s="6"/>
      <c r="K367" s="6"/>
      <c r="L367" s="6"/>
      <c r="M367" s="6"/>
      <c r="N367" s="6"/>
      <c r="O367" s="16" t="str">
        <f>IF(COUNT(I367:M367)&lt;5,"",ROUND((I367*Matriz!$C$5+J367*Matriz!$C$6+K367*Matriz!$C$7+L367*Matriz!$C$8+M367*Matriz!$C$9)/SUM(Matriz!$C$5:$C$9),2))</f>
        <v/>
      </c>
      <c r="P367" s="17">
        <f>IFERROR(INDEX(Processos!$F$8:$F$17,MATCH(C367,Processos!$A$8:$A$17,0)),1)</f>
        <v>1.0669999999999999</v>
      </c>
      <c r="Q367" s="24">
        <f>IFERROR(INDEX(Matriz!$C$28:$C$33,MATCH(G367,Matriz!$A$28:$A$33,0)),0)</f>
        <v>-0.3</v>
      </c>
      <c r="R367" s="25" t="str">
        <f t="shared" si="20"/>
        <v/>
      </c>
      <c r="S367" s="10" t="str">
        <f>IF(R367="","",IF(R367&gt;=Matriz!$C$19,4,IF(R367&gt;=Matriz!$C$18,3,IF(R367&gt;=Matriz!$C$17,2,1))))</f>
        <v/>
      </c>
      <c r="T367" s="9" t="str">
        <f>IF(S367="","",MAX(S367,IF(I367=5,Matriz!$C$23,0),IF(N367="Sim",Matriz!$C$24,0)))</f>
        <v/>
      </c>
      <c r="U367" s="9" t="str">
        <f t="shared" si="21"/>
        <v/>
      </c>
      <c r="V367" s="26" t="str">
        <f t="shared" si="22"/>
        <v/>
      </c>
      <c r="W367" s="10" t="str">
        <f t="shared" si="23"/>
        <v/>
      </c>
      <c r="X367" s="4"/>
      <c r="Y367" s="4"/>
    </row>
    <row r="368" spans="1:25" ht="28.05" hidden="1" customHeight="1" x14ac:dyDescent="0.3">
      <c r="A368" s="20" t="s">
        <v>924</v>
      </c>
      <c r="B368" s="21" t="s">
        <v>923</v>
      </c>
      <c r="C368" s="4" t="s">
        <v>128</v>
      </c>
      <c r="D368" s="4" t="s">
        <v>417</v>
      </c>
      <c r="E368" s="4" t="s">
        <v>326</v>
      </c>
      <c r="F368" s="22"/>
      <c r="G368" s="23" t="s">
        <v>108</v>
      </c>
      <c r="H368" s="6"/>
      <c r="I368" s="6"/>
      <c r="J368" s="6"/>
      <c r="K368" s="6"/>
      <c r="L368" s="6"/>
      <c r="M368" s="6"/>
      <c r="N368" s="6"/>
      <c r="O368" s="16" t="str">
        <f>IF(COUNT(I368:M368)&lt;5,"",ROUND((I368*Matriz!$C$5+J368*Matriz!$C$6+K368*Matriz!$C$7+L368*Matriz!$C$8+M368*Matriz!$C$9)/SUM(Matriz!$C$5:$C$9),2))</f>
        <v/>
      </c>
      <c r="P368" s="17">
        <f>IFERROR(INDEX(Processos!$F$8:$F$17,MATCH(C368,Processos!$A$8:$A$17,0)),1)</f>
        <v>1.0669999999999999</v>
      </c>
      <c r="Q368" s="24">
        <f>IFERROR(INDEX(Matriz!$C$28:$C$33,MATCH(G368,Matriz!$A$28:$A$33,0)),0)</f>
        <v>-0.3</v>
      </c>
      <c r="R368" s="25" t="str">
        <f t="shared" si="20"/>
        <v/>
      </c>
      <c r="S368" s="10" t="str">
        <f>IF(R368="","",IF(R368&gt;=Matriz!$C$19,4,IF(R368&gt;=Matriz!$C$18,3,IF(R368&gt;=Matriz!$C$17,2,1))))</f>
        <v/>
      </c>
      <c r="T368" s="9" t="str">
        <f>IF(S368="","",MAX(S368,IF(I368=5,Matriz!$C$23,0),IF(N368="Sim",Matriz!$C$24,0)))</f>
        <v/>
      </c>
      <c r="U368" s="9" t="str">
        <f t="shared" si="21"/>
        <v/>
      </c>
      <c r="V368" s="26" t="str">
        <f t="shared" si="22"/>
        <v/>
      </c>
      <c r="W368" s="10" t="str">
        <f t="shared" si="23"/>
        <v/>
      </c>
      <c r="X368" s="4"/>
      <c r="Y368" s="4"/>
    </row>
    <row r="369" spans="1:25" ht="28.05" hidden="1" customHeight="1" x14ac:dyDescent="0.3">
      <c r="A369" s="20" t="s">
        <v>925</v>
      </c>
      <c r="B369" s="21" t="s">
        <v>926</v>
      </c>
      <c r="C369" s="4" t="s">
        <v>128</v>
      </c>
      <c r="D369" s="4" t="s">
        <v>229</v>
      </c>
      <c r="E369" s="4" t="s">
        <v>326</v>
      </c>
      <c r="F369" s="22"/>
      <c r="G369" s="23" t="s">
        <v>102</v>
      </c>
      <c r="H369" s="6"/>
      <c r="I369" s="6"/>
      <c r="J369" s="6"/>
      <c r="K369" s="6"/>
      <c r="L369" s="6"/>
      <c r="M369" s="6"/>
      <c r="N369" s="6"/>
      <c r="O369" s="16" t="str">
        <f>IF(COUNT(I369:M369)&lt;5,"",ROUND((I369*Matriz!$C$5+J369*Matriz!$C$6+K369*Matriz!$C$7+L369*Matriz!$C$8+M369*Matriz!$C$9)/SUM(Matriz!$C$5:$C$9),2))</f>
        <v/>
      </c>
      <c r="P369" s="17">
        <f>IFERROR(INDEX(Processos!$F$8:$F$17,MATCH(C369,Processos!$A$8:$A$17,0)),1)</f>
        <v>1.0669999999999999</v>
      </c>
      <c r="Q369" s="24">
        <f>IFERROR(INDEX(Matriz!$C$28:$C$33,MATCH(G369,Matriz!$A$28:$A$33,0)),0)</f>
        <v>0</v>
      </c>
      <c r="R369" s="25" t="str">
        <f t="shared" si="20"/>
        <v/>
      </c>
      <c r="S369" s="10" t="str">
        <f>IF(R369="","",IF(R369&gt;=Matriz!$C$19,4,IF(R369&gt;=Matriz!$C$18,3,IF(R369&gt;=Matriz!$C$17,2,1))))</f>
        <v/>
      </c>
      <c r="T369" s="9" t="str">
        <f>IF(S369="","",MAX(S369,IF(I369=5,Matriz!$C$23,0),IF(N369="Sim",Matriz!$C$24,0)))</f>
        <v/>
      </c>
      <c r="U369" s="9" t="str">
        <f t="shared" si="21"/>
        <v/>
      </c>
      <c r="V369" s="26" t="str">
        <f t="shared" si="22"/>
        <v/>
      </c>
      <c r="W369" s="10" t="str">
        <f t="shared" si="23"/>
        <v/>
      </c>
      <c r="X369" s="4"/>
      <c r="Y369" s="4"/>
    </row>
    <row r="370" spans="1:25" ht="28.05" hidden="1" customHeight="1" x14ac:dyDescent="0.3">
      <c r="A370" s="20" t="s">
        <v>927</v>
      </c>
      <c r="B370" s="21" t="s">
        <v>928</v>
      </c>
      <c r="C370" s="4" t="s">
        <v>140</v>
      </c>
      <c r="D370" s="4" t="s">
        <v>779</v>
      </c>
      <c r="E370" s="4" t="s">
        <v>385</v>
      </c>
      <c r="F370" s="22">
        <v>45996</v>
      </c>
      <c r="G370" s="23" t="s">
        <v>104</v>
      </c>
      <c r="H370" s="6"/>
      <c r="I370" s="6"/>
      <c r="J370" s="6"/>
      <c r="K370" s="6"/>
      <c r="L370" s="6"/>
      <c r="M370" s="6"/>
      <c r="N370" s="6"/>
      <c r="O370" s="16" t="str">
        <f>IF(COUNT(I370:M370)&lt;5,"",ROUND((I370*Matriz!$C$5+J370*Matriz!$C$6+K370*Matriz!$C$7+L370*Matriz!$C$8+M370*Matriz!$C$9)/SUM(Matriz!$C$5:$C$9),2))</f>
        <v/>
      </c>
      <c r="P370" s="17">
        <f>IFERROR(INDEX(Processos!$F$8:$F$17,MATCH(C370,Processos!$A$8:$A$17,0)),1)</f>
        <v>1</v>
      </c>
      <c r="Q370" s="24">
        <f>IFERROR(INDEX(Matriz!$C$28:$C$33,MATCH(G370,Matriz!$A$28:$A$33,0)),0)</f>
        <v>0</v>
      </c>
      <c r="R370" s="25" t="str">
        <f t="shared" si="20"/>
        <v/>
      </c>
      <c r="S370" s="10" t="str">
        <f>IF(R370="","",IF(R370&gt;=Matriz!$C$19,4,IF(R370&gt;=Matriz!$C$18,3,IF(R370&gt;=Matriz!$C$17,2,1))))</f>
        <v/>
      </c>
      <c r="T370" s="9" t="str">
        <f>IF(S370="","",MAX(S370,IF(I370=5,Matriz!$C$23,0),IF(N370="Sim",Matriz!$C$24,0)))</f>
        <v/>
      </c>
      <c r="U370" s="9" t="str">
        <f t="shared" si="21"/>
        <v/>
      </c>
      <c r="V370" s="26" t="str">
        <f t="shared" si="22"/>
        <v/>
      </c>
      <c r="W370" s="10" t="str">
        <f t="shared" si="23"/>
        <v/>
      </c>
      <c r="X370" s="4"/>
      <c r="Y370" s="4"/>
    </row>
    <row r="371" spans="1:25" ht="28.05" hidden="1" customHeight="1" x14ac:dyDescent="0.3">
      <c r="A371" s="20" t="s">
        <v>929</v>
      </c>
      <c r="B371" s="21" t="s">
        <v>930</v>
      </c>
      <c r="C371" s="4" t="s">
        <v>130</v>
      </c>
      <c r="D371" s="4" t="s">
        <v>229</v>
      </c>
      <c r="E371" s="4" t="s">
        <v>385</v>
      </c>
      <c r="F371" s="22">
        <v>46295</v>
      </c>
      <c r="G371" s="23" t="s">
        <v>106</v>
      </c>
      <c r="H371" s="6"/>
      <c r="I371" s="6"/>
      <c r="J371" s="6"/>
      <c r="K371" s="6"/>
      <c r="L371" s="6"/>
      <c r="M371" s="6"/>
      <c r="N371" s="6"/>
      <c r="O371" s="16" t="str">
        <f>IF(COUNT(I371:M371)&lt;5,"",ROUND((I371*Matriz!$C$5+J371*Matriz!$C$6+K371*Matriz!$C$7+L371*Matriz!$C$8+M371*Matriz!$C$9)/SUM(Matriz!$C$5:$C$9),2))</f>
        <v/>
      </c>
      <c r="P371" s="17">
        <f>IFERROR(INDEX(Processos!$F$8:$F$17,MATCH(C371,Processos!$A$8:$A$17,0)),1)</f>
        <v>1.05</v>
      </c>
      <c r="Q371" s="24">
        <f>IFERROR(INDEX(Matriz!$C$28:$C$33,MATCH(G371,Matriz!$A$28:$A$33,0)),0)</f>
        <v>-0.2</v>
      </c>
      <c r="R371" s="25" t="str">
        <f t="shared" si="20"/>
        <v/>
      </c>
      <c r="S371" s="10" t="str">
        <f>IF(R371="","",IF(R371&gt;=Matriz!$C$19,4,IF(R371&gt;=Matriz!$C$18,3,IF(R371&gt;=Matriz!$C$17,2,1))))</f>
        <v/>
      </c>
      <c r="T371" s="9" t="str">
        <f>IF(S371="","",MAX(S371,IF(I371=5,Matriz!$C$23,0),IF(N371="Sim",Matriz!$C$24,0)))</f>
        <v/>
      </c>
      <c r="U371" s="9" t="str">
        <f t="shared" si="21"/>
        <v/>
      </c>
      <c r="V371" s="26" t="str">
        <f t="shared" si="22"/>
        <v/>
      </c>
      <c r="W371" s="10" t="str">
        <f t="shared" si="23"/>
        <v/>
      </c>
      <c r="X371" s="4"/>
      <c r="Y371" s="4"/>
    </row>
    <row r="372" spans="1:25" ht="28.05" hidden="1" customHeight="1" x14ac:dyDescent="0.3">
      <c r="A372" s="20" t="s">
        <v>931</v>
      </c>
      <c r="B372" s="21" t="s">
        <v>932</v>
      </c>
      <c r="C372" s="4" t="s">
        <v>130</v>
      </c>
      <c r="D372" s="4" t="s">
        <v>229</v>
      </c>
      <c r="E372" s="4" t="s">
        <v>385</v>
      </c>
      <c r="F372" s="22">
        <v>46142</v>
      </c>
      <c r="G372" s="23" t="s">
        <v>102</v>
      </c>
      <c r="H372" s="6"/>
      <c r="I372" s="6"/>
      <c r="J372" s="6"/>
      <c r="K372" s="6"/>
      <c r="L372" s="6"/>
      <c r="M372" s="6"/>
      <c r="N372" s="6"/>
      <c r="O372" s="16" t="str">
        <f>IF(COUNT(I372:M372)&lt;5,"",ROUND((I372*Matriz!$C$5+J372*Matriz!$C$6+K372*Matriz!$C$7+L372*Matriz!$C$8+M372*Matriz!$C$9)/SUM(Matriz!$C$5:$C$9),2))</f>
        <v/>
      </c>
      <c r="P372" s="17">
        <f>IFERROR(INDEX(Processos!$F$8:$F$17,MATCH(C372,Processos!$A$8:$A$17,0)),1)</f>
        <v>1.05</v>
      </c>
      <c r="Q372" s="24">
        <f>IFERROR(INDEX(Matriz!$C$28:$C$33,MATCH(G372,Matriz!$A$28:$A$33,0)),0)</f>
        <v>0</v>
      </c>
      <c r="R372" s="25" t="str">
        <f t="shared" si="20"/>
        <v/>
      </c>
      <c r="S372" s="10" t="str">
        <f>IF(R372="","",IF(R372&gt;=Matriz!$C$19,4,IF(R372&gt;=Matriz!$C$18,3,IF(R372&gt;=Matriz!$C$17,2,1))))</f>
        <v/>
      </c>
      <c r="T372" s="9" t="str">
        <f>IF(S372="","",MAX(S372,IF(I372=5,Matriz!$C$23,0),IF(N372="Sim",Matriz!$C$24,0)))</f>
        <v/>
      </c>
      <c r="U372" s="9" t="str">
        <f t="shared" si="21"/>
        <v/>
      </c>
      <c r="V372" s="26" t="str">
        <f t="shared" si="22"/>
        <v/>
      </c>
      <c r="W372" s="10" t="str">
        <f t="shared" si="23"/>
        <v/>
      </c>
      <c r="X372" s="4"/>
      <c r="Y372" s="4"/>
    </row>
    <row r="373" spans="1:25" ht="28.05" hidden="1" customHeight="1" x14ac:dyDescent="0.3">
      <c r="A373" s="20" t="s">
        <v>933</v>
      </c>
      <c r="B373" s="21" t="s">
        <v>934</v>
      </c>
      <c r="C373" s="4" t="s">
        <v>130</v>
      </c>
      <c r="D373" s="4" t="s">
        <v>456</v>
      </c>
      <c r="E373" s="4" t="s">
        <v>385</v>
      </c>
      <c r="F373" s="22">
        <v>46173</v>
      </c>
      <c r="G373" s="23" t="s">
        <v>98</v>
      </c>
      <c r="H373" s="6"/>
      <c r="I373" s="6"/>
      <c r="J373" s="6"/>
      <c r="K373" s="6"/>
      <c r="L373" s="6"/>
      <c r="M373" s="6"/>
      <c r="N373" s="6"/>
      <c r="O373" s="16" t="str">
        <f>IF(COUNT(I373:M373)&lt;5,"",ROUND((I373*Matriz!$C$5+J373*Matriz!$C$6+K373*Matriz!$C$7+L373*Matriz!$C$8+M373*Matriz!$C$9)/SUM(Matriz!$C$5:$C$9),2))</f>
        <v/>
      </c>
      <c r="P373" s="17">
        <f>IFERROR(INDEX(Processos!$F$8:$F$17,MATCH(C373,Processos!$A$8:$A$17,0)),1)</f>
        <v>1.05</v>
      </c>
      <c r="Q373" s="24">
        <f>IFERROR(INDEX(Matriz!$C$28:$C$33,MATCH(G373,Matriz!$A$28:$A$33,0)),0)</f>
        <v>0.3</v>
      </c>
      <c r="R373" s="25" t="str">
        <f t="shared" si="20"/>
        <v/>
      </c>
      <c r="S373" s="10" t="str">
        <f>IF(R373="","",IF(R373&gt;=Matriz!$C$19,4,IF(R373&gt;=Matriz!$C$18,3,IF(R373&gt;=Matriz!$C$17,2,1))))</f>
        <v/>
      </c>
      <c r="T373" s="9" t="str">
        <f>IF(S373="","",MAX(S373,IF(I373=5,Matriz!$C$23,0),IF(N373="Sim",Matriz!$C$24,0)))</f>
        <v/>
      </c>
      <c r="U373" s="9" t="str">
        <f t="shared" si="21"/>
        <v/>
      </c>
      <c r="V373" s="26" t="str">
        <f t="shared" si="22"/>
        <v/>
      </c>
      <c r="W373" s="10" t="str">
        <f t="shared" si="23"/>
        <v/>
      </c>
      <c r="X373" s="4"/>
      <c r="Y373" s="4"/>
    </row>
    <row r="374" spans="1:25" ht="28.05" hidden="1" customHeight="1" x14ac:dyDescent="0.3">
      <c r="A374" s="20" t="s">
        <v>935</v>
      </c>
      <c r="B374" s="21" t="s">
        <v>936</v>
      </c>
      <c r="C374" s="4" t="s">
        <v>130</v>
      </c>
      <c r="D374" s="4" t="s">
        <v>456</v>
      </c>
      <c r="E374" s="4" t="s">
        <v>385</v>
      </c>
      <c r="F374" s="22">
        <v>46173</v>
      </c>
      <c r="G374" s="23" t="s">
        <v>102</v>
      </c>
      <c r="H374" s="6"/>
      <c r="I374" s="6"/>
      <c r="J374" s="6"/>
      <c r="K374" s="6"/>
      <c r="L374" s="6"/>
      <c r="M374" s="6"/>
      <c r="N374" s="6"/>
      <c r="O374" s="16" t="str">
        <f>IF(COUNT(I374:M374)&lt;5,"",ROUND((I374*Matriz!$C$5+J374*Matriz!$C$6+K374*Matriz!$C$7+L374*Matriz!$C$8+M374*Matriz!$C$9)/SUM(Matriz!$C$5:$C$9),2))</f>
        <v/>
      </c>
      <c r="P374" s="17">
        <f>IFERROR(INDEX(Processos!$F$8:$F$17,MATCH(C374,Processos!$A$8:$A$17,0)),1)</f>
        <v>1.05</v>
      </c>
      <c r="Q374" s="24">
        <f>IFERROR(INDEX(Matriz!$C$28:$C$33,MATCH(G374,Matriz!$A$28:$A$33,0)),0)</f>
        <v>0</v>
      </c>
      <c r="R374" s="25" t="str">
        <f t="shared" si="20"/>
        <v/>
      </c>
      <c r="S374" s="10" t="str">
        <f>IF(R374="","",IF(R374&gt;=Matriz!$C$19,4,IF(R374&gt;=Matriz!$C$18,3,IF(R374&gt;=Matriz!$C$17,2,1))))</f>
        <v/>
      </c>
      <c r="T374" s="9" t="str">
        <f>IF(S374="","",MAX(S374,IF(I374=5,Matriz!$C$23,0),IF(N374="Sim",Matriz!$C$24,0)))</f>
        <v/>
      </c>
      <c r="U374" s="9" t="str">
        <f t="shared" si="21"/>
        <v/>
      </c>
      <c r="V374" s="26" t="str">
        <f t="shared" si="22"/>
        <v/>
      </c>
      <c r="W374" s="10" t="str">
        <f t="shared" si="23"/>
        <v/>
      </c>
      <c r="X374" s="4"/>
      <c r="Y374" s="4"/>
    </row>
    <row r="375" spans="1:25" ht="28.05" hidden="1" customHeight="1" x14ac:dyDescent="0.3">
      <c r="A375" s="20" t="s">
        <v>937</v>
      </c>
      <c r="B375" s="21" t="s">
        <v>938</v>
      </c>
      <c r="C375" s="4" t="s">
        <v>130</v>
      </c>
      <c r="D375" s="4" t="s">
        <v>456</v>
      </c>
      <c r="E375" s="4" t="s">
        <v>385</v>
      </c>
      <c r="F375" s="22">
        <v>46173</v>
      </c>
      <c r="G375" s="23" t="s">
        <v>100</v>
      </c>
      <c r="H375" s="6"/>
      <c r="I375" s="6"/>
      <c r="J375" s="6"/>
      <c r="K375" s="6"/>
      <c r="L375" s="6"/>
      <c r="M375" s="6"/>
      <c r="N375" s="6"/>
      <c r="O375" s="16" t="str">
        <f>IF(COUNT(I375:M375)&lt;5,"",ROUND((I375*Matriz!$C$5+J375*Matriz!$C$6+K375*Matriz!$C$7+L375*Matriz!$C$8+M375*Matriz!$C$9)/SUM(Matriz!$C$5:$C$9),2))</f>
        <v/>
      </c>
      <c r="P375" s="17">
        <f>IFERROR(INDEX(Processos!$F$8:$F$17,MATCH(C375,Processos!$A$8:$A$17,0)),1)</f>
        <v>1.05</v>
      </c>
      <c r="Q375" s="24">
        <f>IFERROR(INDEX(Matriz!$C$28:$C$33,MATCH(G375,Matriz!$A$28:$A$33,0)),0)</f>
        <v>0</v>
      </c>
      <c r="R375" s="25" t="str">
        <f t="shared" si="20"/>
        <v/>
      </c>
      <c r="S375" s="10" t="str">
        <f>IF(R375="","",IF(R375&gt;=Matriz!$C$19,4,IF(R375&gt;=Matriz!$C$18,3,IF(R375&gt;=Matriz!$C$17,2,1))))</f>
        <v/>
      </c>
      <c r="T375" s="9" t="str">
        <f>IF(S375="","",MAX(S375,IF(I375=5,Matriz!$C$23,0),IF(N375="Sim",Matriz!$C$24,0)))</f>
        <v/>
      </c>
      <c r="U375" s="9" t="str">
        <f t="shared" si="21"/>
        <v/>
      </c>
      <c r="V375" s="26" t="str">
        <f t="shared" si="22"/>
        <v/>
      </c>
      <c r="W375" s="10" t="str">
        <f t="shared" si="23"/>
        <v/>
      </c>
      <c r="X375" s="4"/>
      <c r="Y375" s="4"/>
    </row>
    <row r="376" spans="1:25" ht="28.05" hidden="1" customHeight="1" x14ac:dyDescent="0.3">
      <c r="A376" s="20" t="s">
        <v>939</v>
      </c>
      <c r="B376" s="21" t="s">
        <v>940</v>
      </c>
      <c r="C376" s="4" t="s">
        <v>130</v>
      </c>
      <c r="D376" s="4" t="s">
        <v>941</v>
      </c>
      <c r="E376" s="4" t="s">
        <v>385</v>
      </c>
      <c r="F376" s="22">
        <v>46295</v>
      </c>
      <c r="G376" s="23" t="s">
        <v>100</v>
      </c>
      <c r="H376" s="6"/>
      <c r="I376" s="6"/>
      <c r="J376" s="6"/>
      <c r="K376" s="6"/>
      <c r="L376" s="6"/>
      <c r="M376" s="6"/>
      <c r="N376" s="6"/>
      <c r="O376" s="16" t="str">
        <f>IF(COUNT(I376:M376)&lt;5,"",ROUND((I376*Matriz!$C$5+J376*Matriz!$C$6+K376*Matriz!$C$7+L376*Matriz!$C$8+M376*Matriz!$C$9)/SUM(Matriz!$C$5:$C$9),2))</f>
        <v/>
      </c>
      <c r="P376" s="17">
        <f>IFERROR(INDEX(Processos!$F$8:$F$17,MATCH(C376,Processos!$A$8:$A$17,0)),1)</f>
        <v>1.05</v>
      </c>
      <c r="Q376" s="24">
        <f>IFERROR(INDEX(Matriz!$C$28:$C$33,MATCH(G376,Matriz!$A$28:$A$33,0)),0)</f>
        <v>0</v>
      </c>
      <c r="R376" s="25" t="str">
        <f t="shared" si="20"/>
        <v/>
      </c>
      <c r="S376" s="10" t="str">
        <f>IF(R376="","",IF(R376&gt;=Matriz!$C$19,4,IF(R376&gt;=Matriz!$C$18,3,IF(R376&gt;=Matriz!$C$17,2,1))))</f>
        <v/>
      </c>
      <c r="T376" s="9" t="str">
        <f>IF(S376="","",MAX(S376,IF(I376=5,Matriz!$C$23,0),IF(N376="Sim",Matriz!$C$24,0)))</f>
        <v/>
      </c>
      <c r="U376" s="9" t="str">
        <f t="shared" si="21"/>
        <v/>
      </c>
      <c r="V376" s="26" t="str">
        <f t="shared" si="22"/>
        <v/>
      </c>
      <c r="W376" s="10" t="str">
        <f t="shared" si="23"/>
        <v/>
      </c>
      <c r="X376" s="4"/>
      <c r="Y376" s="4"/>
    </row>
    <row r="377" spans="1:25" ht="40.049999999999997" hidden="1" customHeight="1" x14ac:dyDescent="0.3">
      <c r="A377" s="20" t="s">
        <v>942</v>
      </c>
      <c r="B377" s="21" t="s">
        <v>943</v>
      </c>
      <c r="C377" s="4" t="s">
        <v>130</v>
      </c>
      <c r="D377" s="4" t="s">
        <v>456</v>
      </c>
      <c r="E377" s="4" t="s">
        <v>385</v>
      </c>
      <c r="F377" s="22">
        <v>46234</v>
      </c>
      <c r="G377" s="23" t="s">
        <v>100</v>
      </c>
      <c r="H377" s="6">
        <v>3</v>
      </c>
      <c r="I377" s="6">
        <v>3</v>
      </c>
      <c r="J377" s="6">
        <v>3</v>
      </c>
      <c r="K377" s="6">
        <v>3</v>
      </c>
      <c r="L377" s="6">
        <v>1</v>
      </c>
      <c r="M377" s="6">
        <v>2</v>
      </c>
      <c r="N377" s="6" t="s">
        <v>261</v>
      </c>
      <c r="O377" s="16">
        <f>IF(COUNT(I377:M377)&lt;5,"",ROUND((I377*Matriz!$C$5+J377*Matriz!$C$6+K377*Matriz!$C$7+L377*Matriz!$C$8+M377*Matriz!$C$9)/SUM(Matriz!$C$5:$C$9),2))</f>
        <v>2.5499999999999998</v>
      </c>
      <c r="P377" s="17">
        <f>IFERROR(INDEX(Processos!$F$8:$F$17,MATCH(C377,Processos!$A$8:$A$17,0)),1)</f>
        <v>1.05</v>
      </c>
      <c r="Q377" s="24">
        <f>IFERROR(INDEX(Matriz!$C$28:$C$33,MATCH(G377,Matriz!$A$28:$A$33,0)),0)</f>
        <v>0</v>
      </c>
      <c r="R377" s="25">
        <f t="shared" si="20"/>
        <v>2.68</v>
      </c>
      <c r="S377" s="10">
        <f>IF(R377="","",IF(R377&gt;=Matriz!$C$19,4,IF(R377&gt;=Matriz!$C$18,3,IF(R377&gt;=Matriz!$C$17,2,1))))</f>
        <v>2</v>
      </c>
      <c r="T377" s="9">
        <f>IF(S377="","",MAX(S377,IF(I377=5,Matriz!$C$23,0),IF(N377="Sim",Matriz!$C$24,0)))</f>
        <v>2</v>
      </c>
      <c r="U377" s="9" t="str">
        <f t="shared" si="21"/>
        <v>Normal</v>
      </c>
      <c r="V377" s="26">
        <f t="shared" si="22"/>
        <v>2026.4996229999999</v>
      </c>
      <c r="W377" s="10">
        <f t="shared" si="23"/>
        <v>9</v>
      </c>
      <c r="X377" s="4" t="s">
        <v>262</v>
      </c>
      <c r="Y377" s="4" t="s">
        <v>944</v>
      </c>
    </row>
    <row r="378" spans="1:25" ht="28.05" hidden="1" customHeight="1" x14ac:dyDescent="0.3">
      <c r="A378" s="20" t="s">
        <v>945</v>
      </c>
      <c r="B378" s="21" t="s">
        <v>946</v>
      </c>
      <c r="C378" s="4" t="s">
        <v>130</v>
      </c>
      <c r="D378" s="4" t="s">
        <v>456</v>
      </c>
      <c r="E378" s="4" t="s">
        <v>385</v>
      </c>
      <c r="F378" s="22">
        <v>46234</v>
      </c>
      <c r="G378" s="23" t="s">
        <v>108</v>
      </c>
      <c r="H378" s="6"/>
      <c r="I378" s="6"/>
      <c r="J378" s="6"/>
      <c r="K378" s="6"/>
      <c r="L378" s="6"/>
      <c r="M378" s="6"/>
      <c r="N378" s="6"/>
      <c r="O378" s="16" t="str">
        <f>IF(COUNT(I378:M378)&lt;5,"",ROUND((I378*Matriz!$C$5+J378*Matriz!$C$6+K378*Matriz!$C$7+L378*Matriz!$C$8+M378*Matriz!$C$9)/SUM(Matriz!$C$5:$C$9),2))</f>
        <v/>
      </c>
      <c r="P378" s="17">
        <f>IFERROR(INDEX(Processos!$F$8:$F$17,MATCH(C378,Processos!$A$8:$A$17,0)),1)</f>
        <v>1.05</v>
      </c>
      <c r="Q378" s="24">
        <f>IFERROR(INDEX(Matriz!$C$28:$C$33,MATCH(G378,Matriz!$A$28:$A$33,0)),0)</f>
        <v>-0.3</v>
      </c>
      <c r="R378" s="25" t="str">
        <f t="shared" si="20"/>
        <v/>
      </c>
      <c r="S378" s="10" t="str">
        <f>IF(R378="","",IF(R378&gt;=Matriz!$C$19,4,IF(R378&gt;=Matriz!$C$18,3,IF(R378&gt;=Matriz!$C$17,2,1))))</f>
        <v/>
      </c>
      <c r="T378" s="9" t="str">
        <f>IF(S378="","",MAX(S378,IF(I378=5,Matriz!$C$23,0),IF(N378="Sim",Matriz!$C$24,0)))</f>
        <v/>
      </c>
      <c r="U378" s="9" t="str">
        <f t="shared" si="21"/>
        <v/>
      </c>
      <c r="V378" s="26" t="str">
        <f t="shared" si="22"/>
        <v/>
      </c>
      <c r="W378" s="10" t="str">
        <f t="shared" si="23"/>
        <v/>
      </c>
      <c r="X378" s="4"/>
      <c r="Y378" s="4"/>
    </row>
    <row r="379" spans="1:25" ht="28.05" hidden="1" customHeight="1" x14ac:dyDescent="0.3">
      <c r="A379" s="20" t="s">
        <v>947</v>
      </c>
      <c r="B379" s="21" t="s">
        <v>948</v>
      </c>
      <c r="C379" s="4" t="s">
        <v>130</v>
      </c>
      <c r="D379" s="4" t="s">
        <v>456</v>
      </c>
      <c r="E379" s="4" t="s">
        <v>385</v>
      </c>
      <c r="F379" s="22">
        <v>46234</v>
      </c>
      <c r="G379" s="23" t="s">
        <v>108</v>
      </c>
      <c r="H379" s="6"/>
      <c r="I379" s="6"/>
      <c r="J379" s="6"/>
      <c r="K379" s="6"/>
      <c r="L379" s="6"/>
      <c r="M379" s="6"/>
      <c r="N379" s="6"/>
      <c r="O379" s="16" t="str">
        <f>IF(COUNT(I379:M379)&lt;5,"",ROUND((I379*Matriz!$C$5+J379*Matriz!$C$6+K379*Matriz!$C$7+L379*Matriz!$C$8+M379*Matriz!$C$9)/SUM(Matriz!$C$5:$C$9),2))</f>
        <v/>
      </c>
      <c r="P379" s="17">
        <f>IFERROR(INDEX(Processos!$F$8:$F$17,MATCH(C379,Processos!$A$8:$A$17,0)),1)</f>
        <v>1.05</v>
      </c>
      <c r="Q379" s="24">
        <f>IFERROR(INDEX(Matriz!$C$28:$C$33,MATCH(G379,Matriz!$A$28:$A$33,0)),0)</f>
        <v>-0.3</v>
      </c>
      <c r="R379" s="25" t="str">
        <f t="shared" si="20"/>
        <v/>
      </c>
      <c r="S379" s="10" t="str">
        <f>IF(R379="","",IF(R379&gt;=Matriz!$C$19,4,IF(R379&gt;=Matriz!$C$18,3,IF(R379&gt;=Matriz!$C$17,2,1))))</f>
        <v/>
      </c>
      <c r="T379" s="9" t="str">
        <f>IF(S379="","",MAX(S379,IF(I379=5,Matriz!$C$23,0),IF(N379="Sim",Matriz!$C$24,0)))</f>
        <v/>
      </c>
      <c r="U379" s="9" t="str">
        <f t="shared" si="21"/>
        <v/>
      </c>
      <c r="V379" s="26" t="str">
        <f t="shared" si="22"/>
        <v/>
      </c>
      <c r="W379" s="10" t="str">
        <f t="shared" si="23"/>
        <v/>
      </c>
      <c r="X379" s="4"/>
      <c r="Y379" s="4"/>
    </row>
    <row r="380" spans="1:25" ht="28.05" hidden="1" customHeight="1" x14ac:dyDescent="0.3">
      <c r="A380" s="20" t="s">
        <v>949</v>
      </c>
      <c r="B380" s="21" t="s">
        <v>950</v>
      </c>
      <c r="C380" s="4" t="s">
        <v>130</v>
      </c>
      <c r="D380" s="4" t="s">
        <v>213</v>
      </c>
      <c r="E380" s="4" t="s">
        <v>385</v>
      </c>
      <c r="F380" s="22">
        <v>46295</v>
      </c>
      <c r="G380" s="23" t="s">
        <v>104</v>
      </c>
      <c r="H380" s="6"/>
      <c r="I380" s="6"/>
      <c r="J380" s="6"/>
      <c r="K380" s="6"/>
      <c r="L380" s="6"/>
      <c r="M380" s="6"/>
      <c r="N380" s="6"/>
      <c r="O380" s="16" t="str">
        <f>IF(COUNT(I380:M380)&lt;5,"",ROUND((I380*Matriz!$C$5+J380*Matriz!$C$6+K380*Matriz!$C$7+L380*Matriz!$C$8+M380*Matriz!$C$9)/SUM(Matriz!$C$5:$C$9),2))</f>
        <v/>
      </c>
      <c r="P380" s="17">
        <f>IFERROR(INDEX(Processos!$F$8:$F$17,MATCH(C380,Processos!$A$8:$A$17,0)),1)</f>
        <v>1.05</v>
      </c>
      <c r="Q380" s="24">
        <f>IFERROR(INDEX(Matriz!$C$28:$C$33,MATCH(G380,Matriz!$A$28:$A$33,0)),0)</f>
        <v>0</v>
      </c>
      <c r="R380" s="25" t="str">
        <f t="shared" si="20"/>
        <v/>
      </c>
      <c r="S380" s="10" t="str">
        <f>IF(R380="","",IF(R380&gt;=Matriz!$C$19,4,IF(R380&gt;=Matriz!$C$18,3,IF(R380&gt;=Matriz!$C$17,2,1))))</f>
        <v/>
      </c>
      <c r="T380" s="9" t="str">
        <f>IF(S380="","",MAX(S380,IF(I380=5,Matriz!$C$23,0),IF(N380="Sim",Matriz!$C$24,0)))</f>
        <v/>
      </c>
      <c r="U380" s="9" t="str">
        <f t="shared" si="21"/>
        <v/>
      </c>
      <c r="V380" s="26" t="str">
        <f t="shared" si="22"/>
        <v/>
      </c>
      <c r="W380" s="10" t="str">
        <f t="shared" si="23"/>
        <v/>
      </c>
      <c r="X380" s="4"/>
      <c r="Y380" s="4"/>
    </row>
    <row r="381" spans="1:25" ht="28.05" hidden="1" customHeight="1" x14ac:dyDescent="0.3">
      <c r="A381" s="20" t="s">
        <v>951</v>
      </c>
      <c r="B381" s="21" t="s">
        <v>952</v>
      </c>
      <c r="C381" s="4" t="s">
        <v>130</v>
      </c>
      <c r="D381" s="4" t="s">
        <v>456</v>
      </c>
      <c r="E381" s="4" t="s">
        <v>385</v>
      </c>
      <c r="F381" s="22">
        <v>46173</v>
      </c>
      <c r="G381" s="23" t="s">
        <v>106</v>
      </c>
      <c r="H381" s="6"/>
      <c r="I381" s="6"/>
      <c r="J381" s="6"/>
      <c r="K381" s="6"/>
      <c r="L381" s="6"/>
      <c r="M381" s="6"/>
      <c r="N381" s="6"/>
      <c r="O381" s="16" t="str">
        <f>IF(COUNT(I381:M381)&lt;5,"",ROUND((I381*Matriz!$C$5+J381*Matriz!$C$6+K381*Matriz!$C$7+L381*Matriz!$C$8+M381*Matriz!$C$9)/SUM(Matriz!$C$5:$C$9),2))</f>
        <v/>
      </c>
      <c r="P381" s="17">
        <f>IFERROR(INDEX(Processos!$F$8:$F$17,MATCH(C381,Processos!$A$8:$A$17,0)),1)</f>
        <v>1.05</v>
      </c>
      <c r="Q381" s="24">
        <f>IFERROR(INDEX(Matriz!$C$28:$C$33,MATCH(G381,Matriz!$A$28:$A$33,0)),0)</f>
        <v>-0.2</v>
      </c>
      <c r="R381" s="25" t="str">
        <f t="shared" si="20"/>
        <v/>
      </c>
      <c r="S381" s="10" t="str">
        <f>IF(R381="","",IF(R381&gt;=Matriz!$C$19,4,IF(R381&gt;=Matriz!$C$18,3,IF(R381&gt;=Matriz!$C$17,2,1))))</f>
        <v/>
      </c>
      <c r="T381" s="9" t="str">
        <f>IF(S381="","",MAX(S381,IF(I381=5,Matriz!$C$23,0),IF(N381="Sim",Matriz!$C$24,0)))</f>
        <v/>
      </c>
      <c r="U381" s="9" t="str">
        <f t="shared" si="21"/>
        <v/>
      </c>
      <c r="V381" s="26" t="str">
        <f t="shared" si="22"/>
        <v/>
      </c>
      <c r="W381" s="10" t="str">
        <f t="shared" si="23"/>
        <v/>
      </c>
      <c r="X381" s="4"/>
      <c r="Y381" s="4"/>
    </row>
    <row r="382" spans="1:25" ht="28.05" hidden="1" customHeight="1" x14ac:dyDescent="0.3">
      <c r="A382" s="20" t="s">
        <v>953</v>
      </c>
      <c r="B382" s="21" t="s">
        <v>954</v>
      </c>
      <c r="C382" s="4" t="s">
        <v>130</v>
      </c>
      <c r="D382" s="4" t="s">
        <v>229</v>
      </c>
      <c r="E382" s="4" t="s">
        <v>186</v>
      </c>
      <c r="F382" s="22">
        <v>46326</v>
      </c>
      <c r="G382" s="23" t="s">
        <v>104</v>
      </c>
      <c r="H382" s="6"/>
      <c r="I382" s="6"/>
      <c r="J382" s="6"/>
      <c r="K382" s="6"/>
      <c r="L382" s="6"/>
      <c r="M382" s="6"/>
      <c r="N382" s="6"/>
      <c r="O382" s="16" t="str">
        <f>IF(COUNT(I382:M382)&lt;5,"",ROUND((I382*Matriz!$C$5+J382*Matriz!$C$6+K382*Matriz!$C$7+L382*Matriz!$C$8+M382*Matriz!$C$9)/SUM(Matriz!$C$5:$C$9),2))</f>
        <v/>
      </c>
      <c r="P382" s="17">
        <f>IFERROR(INDEX(Processos!$F$8:$F$17,MATCH(C382,Processos!$A$8:$A$17,0)),1)</f>
        <v>1.05</v>
      </c>
      <c r="Q382" s="24">
        <f>IFERROR(INDEX(Matriz!$C$28:$C$33,MATCH(G382,Matriz!$A$28:$A$33,0)),0)</f>
        <v>0</v>
      </c>
      <c r="R382" s="25" t="str">
        <f t="shared" si="20"/>
        <v/>
      </c>
      <c r="S382" s="10" t="str">
        <f>IF(R382="","",IF(R382&gt;=Matriz!$C$19,4,IF(R382&gt;=Matriz!$C$18,3,IF(R382&gt;=Matriz!$C$17,2,1))))</f>
        <v/>
      </c>
      <c r="T382" s="9" t="str">
        <f>IF(S382="","",MAX(S382,IF(I382=5,Matriz!$C$23,0),IF(N382="Sim",Matriz!$C$24,0)))</f>
        <v/>
      </c>
      <c r="U382" s="9" t="str">
        <f t="shared" si="21"/>
        <v/>
      </c>
      <c r="V382" s="26" t="str">
        <f t="shared" si="22"/>
        <v/>
      </c>
      <c r="W382" s="10" t="str">
        <f t="shared" si="23"/>
        <v/>
      </c>
      <c r="X382" s="4"/>
      <c r="Y382" s="4"/>
    </row>
    <row r="383" spans="1:25" ht="28.05" hidden="1" customHeight="1" x14ac:dyDescent="0.3">
      <c r="A383" s="20" t="s">
        <v>955</v>
      </c>
      <c r="B383" s="21" t="s">
        <v>956</v>
      </c>
      <c r="C383" s="4" t="s">
        <v>130</v>
      </c>
      <c r="D383" s="4" t="s">
        <v>229</v>
      </c>
      <c r="E383" s="4" t="s">
        <v>186</v>
      </c>
      <c r="F383" s="22">
        <v>46356</v>
      </c>
      <c r="G383" s="23" t="s">
        <v>102</v>
      </c>
      <c r="H383" s="6"/>
      <c r="I383" s="6"/>
      <c r="J383" s="6"/>
      <c r="K383" s="6"/>
      <c r="L383" s="6"/>
      <c r="M383" s="6"/>
      <c r="N383" s="6"/>
      <c r="O383" s="16" t="str">
        <f>IF(COUNT(I383:M383)&lt;5,"",ROUND((I383*Matriz!$C$5+J383*Matriz!$C$6+K383*Matriz!$C$7+L383*Matriz!$C$8+M383*Matriz!$C$9)/SUM(Matriz!$C$5:$C$9),2))</f>
        <v/>
      </c>
      <c r="P383" s="17">
        <f>IFERROR(INDEX(Processos!$F$8:$F$17,MATCH(C383,Processos!$A$8:$A$17,0)),1)</f>
        <v>1.05</v>
      </c>
      <c r="Q383" s="24">
        <f>IFERROR(INDEX(Matriz!$C$28:$C$33,MATCH(G383,Matriz!$A$28:$A$33,0)),0)</f>
        <v>0</v>
      </c>
      <c r="R383" s="25" t="str">
        <f t="shared" si="20"/>
        <v/>
      </c>
      <c r="S383" s="10" t="str">
        <f>IF(R383="","",IF(R383&gt;=Matriz!$C$19,4,IF(R383&gt;=Matriz!$C$18,3,IF(R383&gt;=Matriz!$C$17,2,1))))</f>
        <v/>
      </c>
      <c r="T383" s="9" t="str">
        <f>IF(S383="","",MAX(S383,IF(I383=5,Matriz!$C$23,0),IF(N383="Sim",Matriz!$C$24,0)))</f>
        <v/>
      </c>
      <c r="U383" s="9" t="str">
        <f t="shared" si="21"/>
        <v/>
      </c>
      <c r="V383" s="26" t="str">
        <f t="shared" si="22"/>
        <v/>
      </c>
      <c r="W383" s="10" t="str">
        <f t="shared" si="23"/>
        <v/>
      </c>
      <c r="X383" s="4"/>
      <c r="Y383" s="4"/>
    </row>
    <row r="384" spans="1:25" ht="28.05" hidden="1" customHeight="1" x14ac:dyDescent="0.3">
      <c r="A384" s="20" t="s">
        <v>957</v>
      </c>
      <c r="B384" s="21" t="s">
        <v>958</v>
      </c>
      <c r="C384" s="4" t="s">
        <v>130</v>
      </c>
      <c r="D384" s="4" t="s">
        <v>563</v>
      </c>
      <c r="E384" s="4" t="s">
        <v>186</v>
      </c>
      <c r="F384" s="22">
        <v>46418</v>
      </c>
      <c r="G384" s="23" t="s">
        <v>104</v>
      </c>
      <c r="H384" s="6"/>
      <c r="I384" s="6"/>
      <c r="J384" s="6"/>
      <c r="K384" s="6"/>
      <c r="L384" s="6"/>
      <c r="M384" s="6"/>
      <c r="N384" s="6"/>
      <c r="O384" s="16" t="str">
        <f>IF(COUNT(I384:M384)&lt;5,"",ROUND((I384*Matriz!$C$5+J384*Matriz!$C$6+K384*Matriz!$C$7+L384*Matriz!$C$8+M384*Matriz!$C$9)/SUM(Matriz!$C$5:$C$9),2))</f>
        <v/>
      </c>
      <c r="P384" s="17">
        <f>IFERROR(INDEX(Processos!$F$8:$F$17,MATCH(C384,Processos!$A$8:$A$17,0)),1)</f>
        <v>1.05</v>
      </c>
      <c r="Q384" s="24">
        <f>IFERROR(INDEX(Matriz!$C$28:$C$33,MATCH(G384,Matriz!$A$28:$A$33,0)),0)</f>
        <v>0</v>
      </c>
      <c r="R384" s="25" t="str">
        <f t="shared" si="20"/>
        <v/>
      </c>
      <c r="S384" s="10" t="str">
        <f>IF(R384="","",IF(R384&gt;=Matriz!$C$19,4,IF(R384&gt;=Matriz!$C$18,3,IF(R384&gt;=Matriz!$C$17,2,1))))</f>
        <v/>
      </c>
      <c r="T384" s="9" t="str">
        <f>IF(S384="","",MAX(S384,IF(I384=5,Matriz!$C$23,0),IF(N384="Sim",Matriz!$C$24,0)))</f>
        <v/>
      </c>
      <c r="U384" s="9" t="str">
        <f t="shared" si="21"/>
        <v/>
      </c>
      <c r="V384" s="26" t="str">
        <f t="shared" si="22"/>
        <v/>
      </c>
      <c r="W384" s="10" t="str">
        <f t="shared" si="23"/>
        <v/>
      </c>
      <c r="X384" s="4"/>
      <c r="Y384" s="4"/>
    </row>
    <row r="385" spans="1:25" ht="28.05" hidden="1" customHeight="1" x14ac:dyDescent="0.3">
      <c r="A385" s="20" t="s">
        <v>959</v>
      </c>
      <c r="B385" s="21" t="s">
        <v>960</v>
      </c>
      <c r="C385" s="4" t="s">
        <v>130</v>
      </c>
      <c r="D385" s="4" t="s">
        <v>229</v>
      </c>
      <c r="E385" s="4" t="s">
        <v>186</v>
      </c>
      <c r="F385" s="22">
        <v>46446</v>
      </c>
      <c r="G385" s="23" t="s">
        <v>102</v>
      </c>
      <c r="H385" s="6"/>
      <c r="I385" s="6"/>
      <c r="J385" s="6"/>
      <c r="K385" s="6"/>
      <c r="L385" s="6"/>
      <c r="M385" s="6"/>
      <c r="N385" s="6"/>
      <c r="O385" s="16" t="str">
        <f>IF(COUNT(I385:M385)&lt;5,"",ROUND((I385*Matriz!$C$5+J385*Matriz!$C$6+K385*Matriz!$C$7+L385*Matriz!$C$8+M385*Matriz!$C$9)/SUM(Matriz!$C$5:$C$9),2))</f>
        <v/>
      </c>
      <c r="P385" s="17">
        <f>IFERROR(INDEX(Processos!$F$8:$F$17,MATCH(C385,Processos!$A$8:$A$17,0)),1)</f>
        <v>1.05</v>
      </c>
      <c r="Q385" s="24">
        <f>IFERROR(INDEX(Matriz!$C$28:$C$33,MATCH(G385,Matriz!$A$28:$A$33,0)),0)</f>
        <v>0</v>
      </c>
      <c r="R385" s="25" t="str">
        <f t="shared" si="20"/>
        <v/>
      </c>
      <c r="S385" s="10" t="str">
        <f>IF(R385="","",IF(R385&gt;=Matriz!$C$19,4,IF(R385&gt;=Matriz!$C$18,3,IF(R385&gt;=Matriz!$C$17,2,1))))</f>
        <v/>
      </c>
      <c r="T385" s="9" t="str">
        <f>IF(S385="","",MAX(S385,IF(I385=5,Matriz!$C$23,0),IF(N385="Sim",Matriz!$C$24,0)))</f>
        <v/>
      </c>
      <c r="U385" s="9" t="str">
        <f t="shared" si="21"/>
        <v/>
      </c>
      <c r="V385" s="26" t="str">
        <f t="shared" si="22"/>
        <v/>
      </c>
      <c r="W385" s="10" t="str">
        <f t="shared" si="23"/>
        <v/>
      </c>
      <c r="X385" s="4"/>
      <c r="Y385" s="4"/>
    </row>
    <row r="386" spans="1:25" ht="40.049999999999997" hidden="1" customHeight="1" x14ac:dyDescent="0.3">
      <c r="A386" s="20" t="s">
        <v>961</v>
      </c>
      <c r="B386" s="21" t="s">
        <v>962</v>
      </c>
      <c r="C386" s="4" t="s">
        <v>130</v>
      </c>
      <c r="D386" s="4" t="s">
        <v>563</v>
      </c>
      <c r="E386" s="4" t="s">
        <v>186</v>
      </c>
      <c r="F386" s="22">
        <v>46418</v>
      </c>
      <c r="G386" s="23" t="s">
        <v>98</v>
      </c>
      <c r="H386" s="6">
        <v>2</v>
      </c>
      <c r="I386" s="6">
        <v>5</v>
      </c>
      <c r="J386" s="6">
        <v>3</v>
      </c>
      <c r="K386" s="6">
        <v>1</v>
      </c>
      <c r="L386" s="6">
        <v>3</v>
      </c>
      <c r="M386" s="6">
        <v>2</v>
      </c>
      <c r="N386" s="6" t="s">
        <v>261</v>
      </c>
      <c r="O386" s="16">
        <f>IF(COUNT(I386:M386)&lt;5,"",ROUND((I386*Matriz!$C$5+J386*Matriz!$C$6+K386*Matriz!$C$7+L386*Matriz!$C$8+M386*Matriz!$C$9)/SUM(Matriz!$C$5:$C$9),2))</f>
        <v>3.05</v>
      </c>
      <c r="P386" s="17">
        <f>IFERROR(INDEX(Processos!$F$8:$F$17,MATCH(C386,Processos!$A$8:$A$17,0)),1)</f>
        <v>1.05</v>
      </c>
      <c r="Q386" s="24">
        <f>IFERROR(INDEX(Matriz!$C$28:$C$33,MATCH(G386,Matriz!$A$28:$A$33,0)),0)</f>
        <v>0.3</v>
      </c>
      <c r="R386" s="25">
        <f t="shared" si="20"/>
        <v>3.5</v>
      </c>
      <c r="S386" s="10">
        <f>IF(R386="","",IF(R386&gt;=Matriz!$C$19,4,IF(R386&gt;=Matriz!$C$18,3,IF(R386&gt;=Matriz!$C$17,2,1))))</f>
        <v>3</v>
      </c>
      <c r="T386" s="9">
        <f>IF(S386="","",MAX(S386,IF(I386=5,Matriz!$C$23,0),IF(N386="Sim",Matriz!$C$24,0)))</f>
        <v>3</v>
      </c>
      <c r="U386" s="9" t="str">
        <f t="shared" si="21"/>
        <v>Alta</v>
      </c>
      <c r="V386" s="26">
        <f t="shared" si="22"/>
        <v>3034.799614</v>
      </c>
      <c r="W386" s="10">
        <f t="shared" si="23"/>
        <v>6</v>
      </c>
      <c r="X386" s="4" t="s">
        <v>262</v>
      </c>
      <c r="Y386" s="4" t="s">
        <v>963</v>
      </c>
    </row>
    <row r="387" spans="1:25" ht="28.05" hidden="1" customHeight="1" x14ac:dyDescent="0.3">
      <c r="A387" s="20" t="s">
        <v>964</v>
      </c>
      <c r="B387" s="21" t="s">
        <v>965</v>
      </c>
      <c r="C387" s="4" t="s">
        <v>130</v>
      </c>
      <c r="D387" s="4" t="s">
        <v>563</v>
      </c>
      <c r="E387" s="4" t="s">
        <v>186</v>
      </c>
      <c r="F387" s="22">
        <v>46418</v>
      </c>
      <c r="G387" s="23" t="s">
        <v>100</v>
      </c>
      <c r="H387" s="6"/>
      <c r="I387" s="6"/>
      <c r="J387" s="6"/>
      <c r="K387" s="6"/>
      <c r="L387" s="6"/>
      <c r="M387" s="6"/>
      <c r="N387" s="6"/>
      <c r="O387" s="16" t="str">
        <f>IF(COUNT(I387:M387)&lt;5,"",ROUND((I387*Matriz!$C$5+J387*Matriz!$C$6+K387*Matriz!$C$7+L387*Matriz!$C$8+M387*Matriz!$C$9)/SUM(Matriz!$C$5:$C$9),2))</f>
        <v/>
      </c>
      <c r="P387" s="17">
        <f>IFERROR(INDEX(Processos!$F$8:$F$17,MATCH(C387,Processos!$A$8:$A$17,0)),1)</f>
        <v>1.05</v>
      </c>
      <c r="Q387" s="24">
        <f>IFERROR(INDEX(Matriz!$C$28:$C$33,MATCH(G387,Matriz!$A$28:$A$33,0)),0)</f>
        <v>0</v>
      </c>
      <c r="R387" s="25" t="str">
        <f t="shared" si="20"/>
        <v/>
      </c>
      <c r="S387" s="10" t="str">
        <f>IF(R387="","",IF(R387&gt;=Matriz!$C$19,4,IF(R387&gt;=Matriz!$C$18,3,IF(R387&gt;=Matriz!$C$17,2,1))))</f>
        <v/>
      </c>
      <c r="T387" s="9" t="str">
        <f>IF(S387="","",MAX(S387,IF(I387=5,Matriz!$C$23,0),IF(N387="Sim",Matriz!$C$24,0)))</f>
        <v/>
      </c>
      <c r="U387" s="9" t="str">
        <f t="shared" si="21"/>
        <v/>
      </c>
      <c r="V387" s="26" t="str">
        <f t="shared" si="22"/>
        <v/>
      </c>
      <c r="W387" s="10" t="str">
        <f t="shared" si="23"/>
        <v/>
      </c>
      <c r="X387" s="4"/>
      <c r="Y387" s="4"/>
    </row>
    <row r="388" spans="1:25" ht="28.05" hidden="1" customHeight="1" x14ac:dyDescent="0.3">
      <c r="A388" s="20" t="s">
        <v>966</v>
      </c>
      <c r="B388" s="21" t="s">
        <v>967</v>
      </c>
      <c r="C388" s="4" t="s">
        <v>130</v>
      </c>
      <c r="D388" s="4" t="s">
        <v>563</v>
      </c>
      <c r="E388" s="4" t="s">
        <v>186</v>
      </c>
      <c r="F388" s="22">
        <v>46418</v>
      </c>
      <c r="G388" s="23" t="s">
        <v>100</v>
      </c>
      <c r="H388" s="6"/>
      <c r="I388" s="6"/>
      <c r="J388" s="6"/>
      <c r="K388" s="6"/>
      <c r="L388" s="6"/>
      <c r="M388" s="6"/>
      <c r="N388" s="6"/>
      <c r="O388" s="16" t="str">
        <f>IF(COUNT(I388:M388)&lt;5,"",ROUND((I388*Matriz!$C$5+J388*Matriz!$C$6+K388*Matriz!$C$7+L388*Matriz!$C$8+M388*Matriz!$C$9)/SUM(Matriz!$C$5:$C$9),2))</f>
        <v/>
      </c>
      <c r="P388" s="17">
        <f>IFERROR(INDEX(Processos!$F$8:$F$17,MATCH(C388,Processos!$A$8:$A$17,0)),1)</f>
        <v>1.05</v>
      </c>
      <c r="Q388" s="24">
        <f>IFERROR(INDEX(Matriz!$C$28:$C$33,MATCH(G388,Matriz!$A$28:$A$33,0)),0)</f>
        <v>0</v>
      </c>
      <c r="R388" s="25" t="str">
        <f t="shared" si="20"/>
        <v/>
      </c>
      <c r="S388" s="10" t="str">
        <f>IF(R388="","",IF(R388&gt;=Matriz!$C$19,4,IF(R388&gt;=Matriz!$C$18,3,IF(R388&gt;=Matriz!$C$17,2,1))))</f>
        <v/>
      </c>
      <c r="T388" s="9" t="str">
        <f>IF(S388="","",MAX(S388,IF(I388=5,Matriz!$C$23,0),IF(N388="Sim",Matriz!$C$24,0)))</f>
        <v/>
      </c>
      <c r="U388" s="9" t="str">
        <f t="shared" si="21"/>
        <v/>
      </c>
      <c r="V388" s="26" t="str">
        <f t="shared" si="22"/>
        <v/>
      </c>
      <c r="W388" s="10" t="str">
        <f t="shared" si="23"/>
        <v/>
      </c>
      <c r="X388" s="4"/>
      <c r="Y388" s="4"/>
    </row>
    <row r="389" spans="1:25" ht="28.05" hidden="1" customHeight="1" x14ac:dyDescent="0.3">
      <c r="A389" s="20" t="s">
        <v>968</v>
      </c>
      <c r="B389" s="21" t="s">
        <v>969</v>
      </c>
      <c r="C389" s="4" t="s">
        <v>130</v>
      </c>
      <c r="D389" s="4" t="s">
        <v>229</v>
      </c>
      <c r="E389" s="4" t="s">
        <v>186</v>
      </c>
      <c r="F389" s="22">
        <v>46387</v>
      </c>
      <c r="G389" s="23" t="s">
        <v>102</v>
      </c>
      <c r="H389" s="6"/>
      <c r="I389" s="6"/>
      <c r="J389" s="6"/>
      <c r="K389" s="6"/>
      <c r="L389" s="6"/>
      <c r="M389" s="6"/>
      <c r="N389" s="6"/>
      <c r="O389" s="16" t="str">
        <f>IF(COUNT(I389:M389)&lt;5,"",ROUND((I389*Matriz!$C$5+J389*Matriz!$C$6+K389*Matriz!$C$7+L389*Matriz!$C$8+M389*Matriz!$C$9)/SUM(Matriz!$C$5:$C$9),2))</f>
        <v/>
      </c>
      <c r="P389" s="17">
        <f>IFERROR(INDEX(Processos!$F$8:$F$17,MATCH(C389,Processos!$A$8:$A$17,0)),1)</f>
        <v>1.05</v>
      </c>
      <c r="Q389" s="24">
        <f>IFERROR(INDEX(Matriz!$C$28:$C$33,MATCH(G389,Matriz!$A$28:$A$33,0)),0)</f>
        <v>0</v>
      </c>
      <c r="R389" s="25" t="str">
        <f t="shared" ref="R389:R405" si="24">IF(O389="","",ROUND(O389*P389+Q389,2))</f>
        <v/>
      </c>
      <c r="S389" s="10" t="str">
        <f>IF(R389="","",IF(R389&gt;=Matriz!$C$19,4,IF(R389&gt;=Matriz!$C$18,3,IF(R389&gt;=Matriz!$C$17,2,1))))</f>
        <v/>
      </c>
      <c r="T389" s="9" t="str">
        <f>IF(S389="","",MAX(S389,IF(I389=5,Matriz!$C$23,0),IF(N389="Sim",Matriz!$C$24,0)))</f>
        <v/>
      </c>
      <c r="U389" s="9" t="str">
        <f t="shared" ref="U389:U405" si="25">IF(T389="","",CHOOSE(T389,"Baixa","Normal","Alta","Urgente"))</f>
        <v/>
      </c>
      <c r="V389" s="26" t="str">
        <f t="shared" ref="V389:V405" si="26">IF(T389="","",T389*1000+R389*10-IF(H389="",3,H389)/10-ROW()/1000000)</f>
        <v/>
      </c>
      <c r="W389" s="10" t="str">
        <f t="shared" ref="W389:W405" si="27">IF(V389="","",COUNTIF($V$5:$V$405,"&gt;"&amp;V389)+1)</f>
        <v/>
      </c>
      <c r="X389" s="4"/>
      <c r="Y389" s="4"/>
    </row>
    <row r="390" spans="1:25" ht="28.05" hidden="1" customHeight="1" x14ac:dyDescent="0.3">
      <c r="A390" s="20" t="s">
        <v>970</v>
      </c>
      <c r="B390" s="21" t="s">
        <v>971</v>
      </c>
      <c r="C390" s="4" t="s">
        <v>130</v>
      </c>
      <c r="D390" s="4" t="s">
        <v>229</v>
      </c>
      <c r="E390" s="4" t="s">
        <v>226</v>
      </c>
      <c r="F390" s="22"/>
      <c r="G390" s="23" t="s">
        <v>102</v>
      </c>
      <c r="H390" s="6"/>
      <c r="I390" s="6"/>
      <c r="J390" s="6"/>
      <c r="K390" s="6"/>
      <c r="L390" s="6"/>
      <c r="M390" s="6"/>
      <c r="N390" s="6"/>
      <c r="O390" s="16" t="str">
        <f>IF(COUNT(I390:M390)&lt;5,"",ROUND((I390*Matriz!$C$5+J390*Matriz!$C$6+K390*Matriz!$C$7+L390*Matriz!$C$8+M390*Matriz!$C$9)/SUM(Matriz!$C$5:$C$9),2))</f>
        <v/>
      </c>
      <c r="P390" s="17">
        <f>IFERROR(INDEX(Processos!$F$8:$F$17,MATCH(C390,Processos!$A$8:$A$17,0)),1)</f>
        <v>1.05</v>
      </c>
      <c r="Q390" s="24">
        <f>IFERROR(INDEX(Matriz!$C$28:$C$33,MATCH(G390,Matriz!$A$28:$A$33,0)),0)</f>
        <v>0</v>
      </c>
      <c r="R390" s="25" t="str">
        <f t="shared" si="24"/>
        <v/>
      </c>
      <c r="S390" s="10" t="str">
        <f>IF(R390="","",IF(R390&gt;=Matriz!$C$19,4,IF(R390&gt;=Matriz!$C$18,3,IF(R390&gt;=Matriz!$C$17,2,1))))</f>
        <v/>
      </c>
      <c r="T390" s="9" t="str">
        <f>IF(S390="","",MAX(S390,IF(I390=5,Matriz!$C$23,0),IF(N390="Sim",Matriz!$C$24,0)))</f>
        <v/>
      </c>
      <c r="U390" s="9" t="str">
        <f t="shared" si="25"/>
        <v/>
      </c>
      <c r="V390" s="26" t="str">
        <f t="shared" si="26"/>
        <v/>
      </c>
      <c r="W390" s="10" t="str">
        <f t="shared" si="27"/>
        <v/>
      </c>
      <c r="X390" s="4"/>
      <c r="Y390" s="4"/>
    </row>
    <row r="391" spans="1:25" ht="28.05" hidden="1" customHeight="1" x14ac:dyDescent="0.3">
      <c r="A391" s="20" t="s">
        <v>972</v>
      </c>
      <c r="B391" s="21" t="s">
        <v>973</v>
      </c>
      <c r="C391" s="4" t="s">
        <v>130</v>
      </c>
      <c r="D391" s="4" t="s">
        <v>260</v>
      </c>
      <c r="E391" s="4" t="s">
        <v>226</v>
      </c>
      <c r="F391" s="22"/>
      <c r="G391" s="23" t="s">
        <v>104</v>
      </c>
      <c r="H391" s="6"/>
      <c r="I391" s="6"/>
      <c r="J391" s="6"/>
      <c r="K391" s="6"/>
      <c r="L391" s="6"/>
      <c r="M391" s="6"/>
      <c r="N391" s="6"/>
      <c r="O391" s="16" t="str">
        <f>IF(COUNT(I391:M391)&lt;5,"",ROUND((I391*Matriz!$C$5+J391*Matriz!$C$6+K391*Matriz!$C$7+L391*Matriz!$C$8+M391*Matriz!$C$9)/SUM(Matriz!$C$5:$C$9),2))</f>
        <v/>
      </c>
      <c r="P391" s="17">
        <f>IFERROR(INDEX(Processos!$F$8:$F$17,MATCH(C391,Processos!$A$8:$A$17,0)),1)</f>
        <v>1.05</v>
      </c>
      <c r="Q391" s="24">
        <f>IFERROR(INDEX(Matriz!$C$28:$C$33,MATCH(G391,Matriz!$A$28:$A$33,0)),0)</f>
        <v>0</v>
      </c>
      <c r="R391" s="25" t="str">
        <f t="shared" si="24"/>
        <v/>
      </c>
      <c r="S391" s="10" t="str">
        <f>IF(R391="","",IF(R391&gt;=Matriz!$C$19,4,IF(R391&gt;=Matriz!$C$18,3,IF(R391&gt;=Matriz!$C$17,2,1))))</f>
        <v/>
      </c>
      <c r="T391" s="9" t="str">
        <f>IF(S391="","",MAX(S391,IF(I391=5,Matriz!$C$23,0),IF(N391="Sim",Matriz!$C$24,0)))</f>
        <v/>
      </c>
      <c r="U391" s="9" t="str">
        <f t="shared" si="25"/>
        <v/>
      </c>
      <c r="V391" s="26" t="str">
        <f t="shared" si="26"/>
        <v/>
      </c>
      <c r="W391" s="10" t="str">
        <f t="shared" si="27"/>
        <v/>
      </c>
      <c r="X391" s="4"/>
      <c r="Y391" s="4"/>
    </row>
    <row r="392" spans="1:25" ht="28.05" hidden="1" customHeight="1" x14ac:dyDescent="0.3">
      <c r="A392" s="20" t="s">
        <v>974</v>
      </c>
      <c r="B392" s="21" t="s">
        <v>975</v>
      </c>
      <c r="C392" s="4" t="s">
        <v>130</v>
      </c>
      <c r="D392" s="4" t="s">
        <v>229</v>
      </c>
      <c r="E392" s="4" t="s">
        <v>226</v>
      </c>
      <c r="F392" s="22"/>
      <c r="G392" s="23" t="s">
        <v>102</v>
      </c>
      <c r="H392" s="6"/>
      <c r="I392" s="6"/>
      <c r="J392" s="6"/>
      <c r="K392" s="6"/>
      <c r="L392" s="6"/>
      <c r="M392" s="6"/>
      <c r="N392" s="6"/>
      <c r="O392" s="16" t="str">
        <f>IF(COUNT(I392:M392)&lt;5,"",ROUND((I392*Matriz!$C$5+J392*Matriz!$C$6+K392*Matriz!$C$7+L392*Matriz!$C$8+M392*Matriz!$C$9)/SUM(Matriz!$C$5:$C$9),2))</f>
        <v/>
      </c>
      <c r="P392" s="17">
        <f>IFERROR(INDEX(Processos!$F$8:$F$17,MATCH(C392,Processos!$A$8:$A$17,0)),1)</f>
        <v>1.05</v>
      </c>
      <c r="Q392" s="24">
        <f>IFERROR(INDEX(Matriz!$C$28:$C$33,MATCH(G392,Matriz!$A$28:$A$33,0)),0)</f>
        <v>0</v>
      </c>
      <c r="R392" s="25" t="str">
        <f t="shared" si="24"/>
        <v/>
      </c>
      <c r="S392" s="10" t="str">
        <f>IF(R392="","",IF(R392&gt;=Matriz!$C$19,4,IF(R392&gt;=Matriz!$C$18,3,IF(R392&gt;=Matriz!$C$17,2,1))))</f>
        <v/>
      </c>
      <c r="T392" s="9" t="str">
        <f>IF(S392="","",MAX(S392,IF(I392=5,Matriz!$C$23,0),IF(N392="Sim",Matriz!$C$24,0)))</f>
        <v/>
      </c>
      <c r="U392" s="9" t="str">
        <f t="shared" si="25"/>
        <v/>
      </c>
      <c r="V392" s="26" t="str">
        <f t="shared" si="26"/>
        <v/>
      </c>
      <c r="W392" s="10" t="str">
        <f t="shared" si="27"/>
        <v/>
      </c>
      <c r="X392" s="4"/>
      <c r="Y392" s="4"/>
    </row>
    <row r="393" spans="1:25" ht="28.05" hidden="1" customHeight="1" x14ac:dyDescent="0.3">
      <c r="A393" s="20" t="s">
        <v>976</v>
      </c>
      <c r="B393" s="21" t="s">
        <v>977</v>
      </c>
      <c r="C393" s="4" t="s">
        <v>130</v>
      </c>
      <c r="D393" s="4" t="s">
        <v>229</v>
      </c>
      <c r="E393" s="4" t="s">
        <v>226</v>
      </c>
      <c r="F393" s="22"/>
      <c r="G393" s="23" t="s">
        <v>106</v>
      </c>
      <c r="H393" s="6"/>
      <c r="I393" s="6"/>
      <c r="J393" s="6"/>
      <c r="K393" s="6"/>
      <c r="L393" s="6"/>
      <c r="M393" s="6"/>
      <c r="N393" s="6"/>
      <c r="O393" s="16" t="str">
        <f>IF(COUNT(I393:M393)&lt;5,"",ROUND((I393*Matriz!$C$5+J393*Matriz!$C$6+K393*Matriz!$C$7+L393*Matriz!$C$8+M393*Matriz!$C$9)/SUM(Matriz!$C$5:$C$9),2))</f>
        <v/>
      </c>
      <c r="P393" s="17">
        <f>IFERROR(INDEX(Processos!$F$8:$F$17,MATCH(C393,Processos!$A$8:$A$17,0)),1)</f>
        <v>1.05</v>
      </c>
      <c r="Q393" s="24">
        <f>IFERROR(INDEX(Matriz!$C$28:$C$33,MATCH(G393,Matriz!$A$28:$A$33,0)),0)</f>
        <v>-0.2</v>
      </c>
      <c r="R393" s="25" t="str">
        <f t="shared" si="24"/>
        <v/>
      </c>
      <c r="S393" s="10" t="str">
        <f>IF(R393="","",IF(R393&gt;=Matriz!$C$19,4,IF(R393&gt;=Matriz!$C$18,3,IF(R393&gt;=Matriz!$C$17,2,1))))</f>
        <v/>
      </c>
      <c r="T393" s="9" t="str">
        <f>IF(S393="","",MAX(S393,IF(I393=5,Matriz!$C$23,0),IF(N393="Sim",Matriz!$C$24,0)))</f>
        <v/>
      </c>
      <c r="U393" s="9" t="str">
        <f t="shared" si="25"/>
        <v/>
      </c>
      <c r="V393" s="26" t="str">
        <f t="shared" si="26"/>
        <v/>
      </c>
      <c r="W393" s="10" t="str">
        <f t="shared" si="27"/>
        <v/>
      </c>
      <c r="X393" s="4"/>
      <c r="Y393" s="4"/>
    </row>
    <row r="394" spans="1:25" ht="28.05" hidden="1" customHeight="1" x14ac:dyDescent="0.3">
      <c r="A394" s="20" t="s">
        <v>978</v>
      </c>
      <c r="B394" s="21" t="s">
        <v>979</v>
      </c>
      <c r="C394" s="4" t="s">
        <v>130</v>
      </c>
      <c r="D394" s="4" t="s">
        <v>456</v>
      </c>
      <c r="E394" s="4" t="s">
        <v>226</v>
      </c>
      <c r="F394" s="22"/>
      <c r="G394" s="23" t="s">
        <v>102</v>
      </c>
      <c r="H394" s="6"/>
      <c r="I394" s="6"/>
      <c r="J394" s="6"/>
      <c r="K394" s="6"/>
      <c r="L394" s="6"/>
      <c r="M394" s="6"/>
      <c r="N394" s="6"/>
      <c r="O394" s="16" t="str">
        <f>IF(COUNT(I394:M394)&lt;5,"",ROUND((I394*Matriz!$C$5+J394*Matriz!$C$6+K394*Matriz!$C$7+L394*Matriz!$C$8+M394*Matriz!$C$9)/SUM(Matriz!$C$5:$C$9),2))</f>
        <v/>
      </c>
      <c r="P394" s="17">
        <f>IFERROR(INDEX(Processos!$F$8:$F$17,MATCH(C394,Processos!$A$8:$A$17,0)),1)</f>
        <v>1.05</v>
      </c>
      <c r="Q394" s="24">
        <f>IFERROR(INDEX(Matriz!$C$28:$C$33,MATCH(G394,Matriz!$A$28:$A$33,0)),0)</f>
        <v>0</v>
      </c>
      <c r="R394" s="25" t="str">
        <f t="shared" si="24"/>
        <v/>
      </c>
      <c r="S394" s="10" t="str">
        <f>IF(R394="","",IF(R394&gt;=Matriz!$C$19,4,IF(R394&gt;=Matriz!$C$18,3,IF(R394&gt;=Matriz!$C$17,2,1))))</f>
        <v/>
      </c>
      <c r="T394" s="9" t="str">
        <f>IF(S394="","",MAX(S394,IF(I394=5,Matriz!$C$23,0),IF(N394="Sim",Matriz!$C$24,0)))</f>
        <v/>
      </c>
      <c r="U394" s="9" t="str">
        <f t="shared" si="25"/>
        <v/>
      </c>
      <c r="V394" s="26" t="str">
        <f t="shared" si="26"/>
        <v/>
      </c>
      <c r="W394" s="10" t="str">
        <f t="shared" si="27"/>
        <v/>
      </c>
      <c r="X394" s="4"/>
      <c r="Y394" s="4"/>
    </row>
    <row r="395" spans="1:25" ht="28.05" hidden="1" customHeight="1" x14ac:dyDescent="0.3">
      <c r="A395" s="20" t="s">
        <v>980</v>
      </c>
      <c r="B395" s="21" t="s">
        <v>981</v>
      </c>
      <c r="C395" s="4" t="s">
        <v>130</v>
      </c>
      <c r="D395" s="4" t="s">
        <v>229</v>
      </c>
      <c r="E395" s="4" t="s">
        <v>326</v>
      </c>
      <c r="F395" s="22">
        <v>46234</v>
      </c>
      <c r="G395" s="23" t="s">
        <v>98</v>
      </c>
      <c r="H395" s="6"/>
      <c r="I395" s="6"/>
      <c r="J395" s="6"/>
      <c r="K395" s="6"/>
      <c r="L395" s="6"/>
      <c r="M395" s="6"/>
      <c r="N395" s="6"/>
      <c r="O395" s="16" t="str">
        <f>IF(COUNT(I395:M395)&lt;5,"",ROUND((I395*Matriz!$C$5+J395*Matriz!$C$6+K395*Matriz!$C$7+L395*Matriz!$C$8+M395*Matriz!$C$9)/SUM(Matriz!$C$5:$C$9),2))</f>
        <v/>
      </c>
      <c r="P395" s="17">
        <f>IFERROR(INDEX(Processos!$F$8:$F$17,MATCH(C395,Processos!$A$8:$A$17,0)),1)</f>
        <v>1.05</v>
      </c>
      <c r="Q395" s="24">
        <f>IFERROR(INDEX(Matriz!$C$28:$C$33,MATCH(G395,Matriz!$A$28:$A$33,0)),0)</f>
        <v>0.3</v>
      </c>
      <c r="R395" s="25" t="str">
        <f t="shared" si="24"/>
        <v/>
      </c>
      <c r="S395" s="10" t="str">
        <f>IF(R395="","",IF(R395&gt;=Matriz!$C$19,4,IF(R395&gt;=Matriz!$C$18,3,IF(R395&gt;=Matriz!$C$17,2,1))))</f>
        <v/>
      </c>
      <c r="T395" s="9" t="str">
        <f>IF(S395="","",MAX(S395,IF(I395=5,Matriz!$C$23,0),IF(N395="Sim",Matriz!$C$24,0)))</f>
        <v/>
      </c>
      <c r="U395" s="9" t="str">
        <f t="shared" si="25"/>
        <v/>
      </c>
      <c r="V395" s="26" t="str">
        <f t="shared" si="26"/>
        <v/>
      </c>
      <c r="W395" s="10" t="str">
        <f t="shared" si="27"/>
        <v/>
      </c>
      <c r="X395" s="4"/>
      <c r="Y395" s="4"/>
    </row>
    <row r="396" spans="1:25" ht="28.05" hidden="1" customHeight="1" x14ac:dyDescent="0.3">
      <c r="A396" s="20" t="s">
        <v>982</v>
      </c>
      <c r="B396" s="21" t="s">
        <v>983</v>
      </c>
      <c r="C396" s="4" t="s">
        <v>130</v>
      </c>
      <c r="D396" s="4" t="s">
        <v>456</v>
      </c>
      <c r="E396" s="4" t="s">
        <v>326</v>
      </c>
      <c r="F396" s="22">
        <v>46173</v>
      </c>
      <c r="G396" s="23" t="s">
        <v>98</v>
      </c>
      <c r="H396" s="6"/>
      <c r="I396" s="6"/>
      <c r="J396" s="6"/>
      <c r="K396" s="6"/>
      <c r="L396" s="6"/>
      <c r="M396" s="6"/>
      <c r="N396" s="6"/>
      <c r="O396" s="16" t="str">
        <f>IF(COUNT(I396:M396)&lt;5,"",ROUND((I396*Matriz!$C$5+J396*Matriz!$C$6+K396*Matriz!$C$7+L396*Matriz!$C$8+M396*Matriz!$C$9)/SUM(Matriz!$C$5:$C$9),2))</f>
        <v/>
      </c>
      <c r="P396" s="17">
        <f>IFERROR(INDEX(Processos!$F$8:$F$17,MATCH(C396,Processos!$A$8:$A$17,0)),1)</f>
        <v>1.05</v>
      </c>
      <c r="Q396" s="24">
        <f>IFERROR(INDEX(Matriz!$C$28:$C$33,MATCH(G396,Matriz!$A$28:$A$33,0)),0)</f>
        <v>0.3</v>
      </c>
      <c r="R396" s="25" t="str">
        <f t="shared" si="24"/>
        <v/>
      </c>
      <c r="S396" s="10" t="str">
        <f>IF(R396="","",IF(R396&gt;=Matriz!$C$19,4,IF(R396&gt;=Matriz!$C$18,3,IF(R396&gt;=Matriz!$C$17,2,1))))</f>
        <v/>
      </c>
      <c r="T396" s="9" t="str">
        <f>IF(S396="","",MAX(S396,IF(I396=5,Matriz!$C$23,0),IF(N396="Sim",Matriz!$C$24,0)))</f>
        <v/>
      </c>
      <c r="U396" s="9" t="str">
        <f t="shared" si="25"/>
        <v/>
      </c>
      <c r="V396" s="26" t="str">
        <f t="shared" si="26"/>
        <v/>
      </c>
      <c r="W396" s="10" t="str">
        <f t="shared" si="27"/>
        <v/>
      </c>
      <c r="X396" s="4"/>
      <c r="Y396" s="4"/>
    </row>
    <row r="397" spans="1:25" ht="28.05" hidden="1" customHeight="1" x14ac:dyDescent="0.3">
      <c r="A397" s="20" t="s">
        <v>984</v>
      </c>
      <c r="B397" s="21" t="s">
        <v>985</v>
      </c>
      <c r="C397" s="4" t="s">
        <v>130</v>
      </c>
      <c r="D397" s="4" t="s">
        <v>456</v>
      </c>
      <c r="E397" s="4" t="s">
        <v>326</v>
      </c>
      <c r="F397" s="22"/>
      <c r="G397" s="23" t="s">
        <v>102</v>
      </c>
      <c r="H397" s="6"/>
      <c r="I397" s="6"/>
      <c r="J397" s="6"/>
      <c r="K397" s="6"/>
      <c r="L397" s="6"/>
      <c r="M397" s="6"/>
      <c r="N397" s="6"/>
      <c r="O397" s="16" t="str">
        <f>IF(COUNT(I397:M397)&lt;5,"",ROUND((I397*Matriz!$C$5+J397*Matriz!$C$6+K397*Matriz!$C$7+L397*Matriz!$C$8+M397*Matriz!$C$9)/SUM(Matriz!$C$5:$C$9),2))</f>
        <v/>
      </c>
      <c r="P397" s="17">
        <f>IFERROR(INDEX(Processos!$F$8:$F$17,MATCH(C397,Processos!$A$8:$A$17,0)),1)</f>
        <v>1.05</v>
      </c>
      <c r="Q397" s="24">
        <f>IFERROR(INDEX(Matriz!$C$28:$C$33,MATCH(G397,Matriz!$A$28:$A$33,0)),0)</f>
        <v>0</v>
      </c>
      <c r="R397" s="25" t="str">
        <f t="shared" si="24"/>
        <v/>
      </c>
      <c r="S397" s="10" t="str">
        <f>IF(R397="","",IF(R397&gt;=Matriz!$C$19,4,IF(R397&gt;=Matriz!$C$18,3,IF(R397&gt;=Matriz!$C$17,2,1))))</f>
        <v/>
      </c>
      <c r="T397" s="9" t="str">
        <f>IF(S397="","",MAX(S397,IF(I397=5,Matriz!$C$23,0),IF(N397="Sim",Matriz!$C$24,0)))</f>
        <v/>
      </c>
      <c r="U397" s="9" t="str">
        <f t="shared" si="25"/>
        <v/>
      </c>
      <c r="V397" s="26" t="str">
        <f t="shared" si="26"/>
        <v/>
      </c>
      <c r="W397" s="10" t="str">
        <f t="shared" si="27"/>
        <v/>
      </c>
      <c r="X397" s="4"/>
      <c r="Y397" s="4"/>
    </row>
    <row r="398" spans="1:25" ht="28.05" hidden="1" customHeight="1" x14ac:dyDescent="0.3">
      <c r="A398" s="20" t="s">
        <v>986</v>
      </c>
      <c r="B398" s="21" t="s">
        <v>987</v>
      </c>
      <c r="C398" s="4" t="s">
        <v>130</v>
      </c>
      <c r="D398" s="4" t="s">
        <v>456</v>
      </c>
      <c r="E398" s="4" t="s">
        <v>326</v>
      </c>
      <c r="F398" s="22"/>
      <c r="G398" s="23" t="s">
        <v>100</v>
      </c>
      <c r="H398" s="6"/>
      <c r="I398" s="6"/>
      <c r="J398" s="6"/>
      <c r="K398" s="6"/>
      <c r="L398" s="6"/>
      <c r="M398" s="6"/>
      <c r="N398" s="6"/>
      <c r="O398" s="16" t="str">
        <f>IF(COUNT(I398:M398)&lt;5,"",ROUND((I398*Matriz!$C$5+J398*Matriz!$C$6+K398*Matriz!$C$7+L398*Matriz!$C$8+M398*Matriz!$C$9)/SUM(Matriz!$C$5:$C$9),2))</f>
        <v/>
      </c>
      <c r="P398" s="17">
        <f>IFERROR(INDEX(Processos!$F$8:$F$17,MATCH(C398,Processos!$A$8:$A$17,0)),1)</f>
        <v>1.05</v>
      </c>
      <c r="Q398" s="24">
        <f>IFERROR(INDEX(Matriz!$C$28:$C$33,MATCH(G398,Matriz!$A$28:$A$33,0)),0)</f>
        <v>0</v>
      </c>
      <c r="R398" s="25" t="str">
        <f t="shared" si="24"/>
        <v/>
      </c>
      <c r="S398" s="10" t="str">
        <f>IF(R398="","",IF(R398&gt;=Matriz!$C$19,4,IF(R398&gt;=Matriz!$C$18,3,IF(R398&gt;=Matriz!$C$17,2,1))))</f>
        <v/>
      </c>
      <c r="T398" s="9" t="str">
        <f>IF(S398="","",MAX(S398,IF(I398=5,Matriz!$C$23,0),IF(N398="Sim",Matriz!$C$24,0)))</f>
        <v/>
      </c>
      <c r="U398" s="9" t="str">
        <f t="shared" si="25"/>
        <v/>
      </c>
      <c r="V398" s="26" t="str">
        <f t="shared" si="26"/>
        <v/>
      </c>
      <c r="W398" s="10" t="str">
        <f t="shared" si="27"/>
        <v/>
      </c>
      <c r="X398" s="4"/>
      <c r="Y398" s="4"/>
    </row>
    <row r="399" spans="1:25" ht="28.05" hidden="1" customHeight="1" x14ac:dyDescent="0.3">
      <c r="A399" s="20" t="s">
        <v>988</v>
      </c>
      <c r="B399" s="21" t="s">
        <v>989</v>
      </c>
      <c r="C399" s="4" t="s">
        <v>130</v>
      </c>
      <c r="D399" s="4" t="s">
        <v>456</v>
      </c>
      <c r="E399" s="4" t="s">
        <v>326</v>
      </c>
      <c r="F399" s="22"/>
      <c r="G399" s="23" t="s">
        <v>104</v>
      </c>
      <c r="H399" s="6"/>
      <c r="I399" s="6"/>
      <c r="J399" s="6"/>
      <c r="K399" s="6"/>
      <c r="L399" s="6"/>
      <c r="M399" s="6"/>
      <c r="N399" s="6"/>
      <c r="O399" s="16" t="str">
        <f>IF(COUNT(I399:M399)&lt;5,"",ROUND((I399*Matriz!$C$5+J399*Matriz!$C$6+K399*Matriz!$C$7+L399*Matriz!$C$8+M399*Matriz!$C$9)/SUM(Matriz!$C$5:$C$9),2))</f>
        <v/>
      </c>
      <c r="P399" s="17">
        <f>IFERROR(INDEX(Processos!$F$8:$F$17,MATCH(C399,Processos!$A$8:$A$17,0)),1)</f>
        <v>1.05</v>
      </c>
      <c r="Q399" s="24">
        <f>IFERROR(INDEX(Matriz!$C$28:$C$33,MATCH(G399,Matriz!$A$28:$A$33,0)),0)</f>
        <v>0</v>
      </c>
      <c r="R399" s="25" t="str">
        <f t="shared" si="24"/>
        <v/>
      </c>
      <c r="S399" s="10" t="str">
        <f>IF(R399="","",IF(R399&gt;=Matriz!$C$19,4,IF(R399&gt;=Matriz!$C$18,3,IF(R399&gt;=Matriz!$C$17,2,1))))</f>
        <v/>
      </c>
      <c r="T399" s="9" t="str">
        <f>IF(S399="","",MAX(S399,IF(I399=5,Matriz!$C$23,0),IF(N399="Sim",Matriz!$C$24,0)))</f>
        <v/>
      </c>
      <c r="U399" s="9" t="str">
        <f t="shared" si="25"/>
        <v/>
      </c>
      <c r="V399" s="26" t="str">
        <f t="shared" si="26"/>
        <v/>
      </c>
      <c r="W399" s="10" t="str">
        <f t="shared" si="27"/>
        <v/>
      </c>
      <c r="X399" s="4"/>
      <c r="Y399" s="4"/>
    </row>
    <row r="400" spans="1:25" ht="28.05" hidden="1" customHeight="1" x14ac:dyDescent="0.3">
      <c r="A400" s="20" t="s">
        <v>990</v>
      </c>
      <c r="B400" s="21" t="s">
        <v>991</v>
      </c>
      <c r="C400" s="4" t="s">
        <v>130</v>
      </c>
      <c r="D400" s="4" t="s">
        <v>456</v>
      </c>
      <c r="E400" s="4" t="s">
        <v>326</v>
      </c>
      <c r="F400" s="22">
        <v>46173</v>
      </c>
      <c r="G400" s="23" t="s">
        <v>102</v>
      </c>
      <c r="H400" s="6"/>
      <c r="I400" s="6"/>
      <c r="J400" s="6"/>
      <c r="K400" s="6"/>
      <c r="L400" s="6"/>
      <c r="M400" s="6"/>
      <c r="N400" s="6"/>
      <c r="O400" s="16" t="str">
        <f>IF(COUNT(I400:M400)&lt;5,"",ROUND((I400*Matriz!$C$5+J400*Matriz!$C$6+K400*Matriz!$C$7+L400*Matriz!$C$8+M400*Matriz!$C$9)/SUM(Matriz!$C$5:$C$9),2))</f>
        <v/>
      </c>
      <c r="P400" s="17">
        <f>IFERROR(INDEX(Processos!$F$8:$F$17,MATCH(C400,Processos!$A$8:$A$17,0)),1)</f>
        <v>1.05</v>
      </c>
      <c r="Q400" s="24">
        <f>IFERROR(INDEX(Matriz!$C$28:$C$33,MATCH(G400,Matriz!$A$28:$A$33,0)),0)</f>
        <v>0</v>
      </c>
      <c r="R400" s="25" t="str">
        <f t="shared" si="24"/>
        <v/>
      </c>
      <c r="S400" s="10" t="str">
        <f>IF(R400="","",IF(R400&gt;=Matriz!$C$19,4,IF(R400&gt;=Matriz!$C$18,3,IF(R400&gt;=Matriz!$C$17,2,1))))</f>
        <v/>
      </c>
      <c r="T400" s="9" t="str">
        <f>IF(S400="","",MAX(S400,IF(I400=5,Matriz!$C$23,0),IF(N400="Sim",Matriz!$C$24,0)))</f>
        <v/>
      </c>
      <c r="U400" s="9" t="str">
        <f t="shared" si="25"/>
        <v/>
      </c>
      <c r="V400" s="26" t="str">
        <f t="shared" si="26"/>
        <v/>
      </c>
      <c r="W400" s="10" t="str">
        <f t="shared" si="27"/>
        <v/>
      </c>
      <c r="X400" s="4"/>
      <c r="Y400" s="4"/>
    </row>
    <row r="401" spans="1:25" ht="28.05" hidden="1" customHeight="1" x14ac:dyDescent="0.3">
      <c r="A401" s="20" t="s">
        <v>992</v>
      </c>
      <c r="B401" s="21" t="s">
        <v>993</v>
      </c>
      <c r="C401" s="4" t="s">
        <v>130</v>
      </c>
      <c r="D401" s="4" t="s">
        <v>456</v>
      </c>
      <c r="E401" s="4" t="s">
        <v>326</v>
      </c>
      <c r="F401" s="22"/>
      <c r="G401" s="23" t="s">
        <v>108</v>
      </c>
      <c r="H401" s="6"/>
      <c r="I401" s="6"/>
      <c r="J401" s="6"/>
      <c r="K401" s="6"/>
      <c r="L401" s="6"/>
      <c r="M401" s="6"/>
      <c r="N401" s="6"/>
      <c r="O401" s="16" t="str">
        <f>IF(COUNT(I401:M401)&lt;5,"",ROUND((I401*Matriz!$C$5+J401*Matriz!$C$6+K401*Matriz!$C$7+L401*Matriz!$C$8+M401*Matriz!$C$9)/SUM(Matriz!$C$5:$C$9),2))</f>
        <v/>
      </c>
      <c r="P401" s="17">
        <f>IFERROR(INDEX(Processos!$F$8:$F$17,MATCH(C401,Processos!$A$8:$A$17,0)),1)</f>
        <v>1.05</v>
      </c>
      <c r="Q401" s="24">
        <f>IFERROR(INDEX(Matriz!$C$28:$C$33,MATCH(G401,Matriz!$A$28:$A$33,0)),0)</f>
        <v>-0.3</v>
      </c>
      <c r="R401" s="25" t="str">
        <f t="shared" si="24"/>
        <v/>
      </c>
      <c r="S401" s="10" t="str">
        <f>IF(R401="","",IF(R401&gt;=Matriz!$C$19,4,IF(R401&gt;=Matriz!$C$18,3,IF(R401&gt;=Matriz!$C$17,2,1))))</f>
        <v/>
      </c>
      <c r="T401" s="9" t="str">
        <f>IF(S401="","",MAX(S401,IF(I401=5,Matriz!$C$23,0),IF(N401="Sim",Matriz!$C$24,0)))</f>
        <v/>
      </c>
      <c r="U401" s="9" t="str">
        <f t="shared" si="25"/>
        <v/>
      </c>
      <c r="V401" s="26" t="str">
        <f t="shared" si="26"/>
        <v/>
      </c>
      <c r="W401" s="10" t="str">
        <f t="shared" si="27"/>
        <v/>
      </c>
      <c r="X401" s="4"/>
      <c r="Y401" s="4"/>
    </row>
    <row r="402" spans="1:25" ht="28.05" hidden="1" customHeight="1" x14ac:dyDescent="0.3">
      <c r="A402" s="20" t="s">
        <v>994</v>
      </c>
      <c r="B402" s="21" t="s">
        <v>995</v>
      </c>
      <c r="C402" s="4" t="s">
        <v>130</v>
      </c>
      <c r="D402" s="4" t="s">
        <v>456</v>
      </c>
      <c r="E402" s="4" t="s">
        <v>326</v>
      </c>
      <c r="F402" s="22"/>
      <c r="G402" s="23" t="s">
        <v>108</v>
      </c>
      <c r="H402" s="6"/>
      <c r="I402" s="6"/>
      <c r="J402" s="6"/>
      <c r="K402" s="6"/>
      <c r="L402" s="6"/>
      <c r="M402" s="6"/>
      <c r="N402" s="6"/>
      <c r="O402" s="16" t="str">
        <f>IF(COUNT(I402:M402)&lt;5,"",ROUND((I402*Matriz!$C$5+J402*Matriz!$C$6+K402*Matriz!$C$7+L402*Matriz!$C$8+M402*Matriz!$C$9)/SUM(Matriz!$C$5:$C$9),2))</f>
        <v/>
      </c>
      <c r="P402" s="17">
        <f>IFERROR(INDEX(Processos!$F$8:$F$17,MATCH(C402,Processos!$A$8:$A$17,0)),1)</f>
        <v>1.05</v>
      </c>
      <c r="Q402" s="24">
        <f>IFERROR(INDEX(Matriz!$C$28:$C$33,MATCH(G402,Matriz!$A$28:$A$33,0)),0)</f>
        <v>-0.3</v>
      </c>
      <c r="R402" s="25" t="str">
        <f t="shared" si="24"/>
        <v/>
      </c>
      <c r="S402" s="10" t="str">
        <f>IF(R402="","",IF(R402&gt;=Matriz!$C$19,4,IF(R402&gt;=Matriz!$C$18,3,IF(R402&gt;=Matriz!$C$17,2,1))))</f>
        <v/>
      </c>
      <c r="T402" s="9" t="str">
        <f>IF(S402="","",MAX(S402,IF(I402=5,Matriz!$C$23,0),IF(N402="Sim",Matriz!$C$24,0)))</f>
        <v/>
      </c>
      <c r="U402" s="9" t="str">
        <f t="shared" si="25"/>
        <v/>
      </c>
      <c r="V402" s="26" t="str">
        <f t="shared" si="26"/>
        <v/>
      </c>
      <c r="W402" s="10" t="str">
        <f t="shared" si="27"/>
        <v/>
      </c>
      <c r="X402" s="4"/>
      <c r="Y402" s="4"/>
    </row>
    <row r="403" spans="1:25" ht="28.05" hidden="1" customHeight="1" x14ac:dyDescent="0.3">
      <c r="A403" s="20" t="s">
        <v>996</v>
      </c>
      <c r="B403" s="21" t="s">
        <v>997</v>
      </c>
      <c r="C403" s="4" t="s">
        <v>130</v>
      </c>
      <c r="D403" s="4" t="s">
        <v>229</v>
      </c>
      <c r="E403" s="4" t="s">
        <v>326</v>
      </c>
      <c r="F403" s="22"/>
      <c r="G403" s="23" t="s">
        <v>102</v>
      </c>
      <c r="H403" s="6"/>
      <c r="I403" s="6"/>
      <c r="J403" s="6"/>
      <c r="K403" s="6"/>
      <c r="L403" s="6"/>
      <c r="M403" s="6"/>
      <c r="N403" s="6"/>
      <c r="O403" s="16" t="str">
        <f>IF(COUNT(I403:M403)&lt;5,"",ROUND((I403*Matriz!$C$5+J403*Matriz!$C$6+K403*Matriz!$C$7+L403*Matriz!$C$8+M403*Matriz!$C$9)/SUM(Matriz!$C$5:$C$9),2))</f>
        <v/>
      </c>
      <c r="P403" s="17">
        <f>IFERROR(INDEX(Processos!$F$8:$F$17,MATCH(C403,Processos!$A$8:$A$17,0)),1)</f>
        <v>1.05</v>
      </c>
      <c r="Q403" s="24">
        <f>IFERROR(INDEX(Matriz!$C$28:$C$33,MATCH(G403,Matriz!$A$28:$A$33,0)),0)</f>
        <v>0</v>
      </c>
      <c r="R403" s="25" t="str">
        <f t="shared" si="24"/>
        <v/>
      </c>
      <c r="S403" s="10" t="str">
        <f>IF(R403="","",IF(R403&gt;=Matriz!$C$19,4,IF(R403&gt;=Matriz!$C$18,3,IF(R403&gt;=Matriz!$C$17,2,1))))</f>
        <v/>
      </c>
      <c r="T403" s="9" t="str">
        <f>IF(S403="","",MAX(S403,IF(I403=5,Matriz!$C$23,0),IF(N403="Sim",Matriz!$C$24,0)))</f>
        <v/>
      </c>
      <c r="U403" s="9" t="str">
        <f t="shared" si="25"/>
        <v/>
      </c>
      <c r="V403" s="26" t="str">
        <f t="shared" si="26"/>
        <v/>
      </c>
      <c r="W403" s="10" t="str">
        <f t="shared" si="27"/>
        <v/>
      </c>
      <c r="X403" s="4"/>
      <c r="Y403" s="4"/>
    </row>
    <row r="404" spans="1:25" ht="28.05" hidden="1" customHeight="1" x14ac:dyDescent="0.3">
      <c r="A404" s="20" t="s">
        <v>998</v>
      </c>
      <c r="B404" s="21" t="s">
        <v>999</v>
      </c>
      <c r="C404" s="4" t="s">
        <v>130</v>
      </c>
      <c r="D404" s="4" t="s">
        <v>456</v>
      </c>
      <c r="E404" s="4" t="s">
        <v>326</v>
      </c>
      <c r="F404" s="22"/>
      <c r="G404" s="23" t="s">
        <v>102</v>
      </c>
      <c r="H404" s="6"/>
      <c r="I404" s="6"/>
      <c r="J404" s="6"/>
      <c r="K404" s="6"/>
      <c r="L404" s="6"/>
      <c r="M404" s="6"/>
      <c r="N404" s="6"/>
      <c r="O404" s="16" t="str">
        <f>IF(COUNT(I404:M404)&lt;5,"",ROUND((I404*Matriz!$C$5+J404*Matriz!$C$6+K404*Matriz!$C$7+L404*Matriz!$C$8+M404*Matriz!$C$9)/SUM(Matriz!$C$5:$C$9),2))</f>
        <v/>
      </c>
      <c r="P404" s="17">
        <f>IFERROR(INDEX(Processos!$F$8:$F$17,MATCH(C404,Processos!$A$8:$A$17,0)),1)</f>
        <v>1.05</v>
      </c>
      <c r="Q404" s="24">
        <f>IFERROR(INDEX(Matriz!$C$28:$C$33,MATCH(G404,Matriz!$A$28:$A$33,0)),0)</f>
        <v>0</v>
      </c>
      <c r="R404" s="25" t="str">
        <f t="shared" si="24"/>
        <v/>
      </c>
      <c r="S404" s="10" t="str">
        <f>IF(R404="","",IF(R404&gt;=Matriz!$C$19,4,IF(R404&gt;=Matriz!$C$18,3,IF(R404&gt;=Matriz!$C$17,2,1))))</f>
        <v/>
      </c>
      <c r="T404" s="9" t="str">
        <f>IF(S404="","",MAX(S404,IF(I404=5,Matriz!$C$23,0),IF(N404="Sim",Matriz!$C$24,0)))</f>
        <v/>
      </c>
      <c r="U404" s="9" t="str">
        <f t="shared" si="25"/>
        <v/>
      </c>
      <c r="V404" s="26" t="str">
        <f t="shared" si="26"/>
        <v/>
      </c>
      <c r="W404" s="10" t="str">
        <f t="shared" si="27"/>
        <v/>
      </c>
      <c r="X404" s="4"/>
      <c r="Y404" s="4"/>
    </row>
    <row r="405" spans="1:25" ht="28.05" hidden="1" customHeight="1" x14ac:dyDescent="0.3">
      <c r="A405" s="20" t="s">
        <v>1000</v>
      </c>
      <c r="B405" s="21" t="s">
        <v>1001</v>
      </c>
      <c r="C405" s="4" t="s">
        <v>130</v>
      </c>
      <c r="D405" s="4" t="s">
        <v>229</v>
      </c>
      <c r="E405" s="4" t="s">
        <v>326</v>
      </c>
      <c r="F405" s="22"/>
      <c r="G405" s="23" t="s">
        <v>102</v>
      </c>
      <c r="H405" s="6"/>
      <c r="I405" s="6"/>
      <c r="J405" s="6"/>
      <c r="K405" s="6"/>
      <c r="L405" s="6"/>
      <c r="M405" s="6"/>
      <c r="N405" s="6"/>
      <c r="O405" s="16" t="str">
        <f>IF(COUNT(I405:M405)&lt;5,"",ROUND((I405*Matriz!$C$5+J405*Matriz!$C$6+K405*Matriz!$C$7+L405*Matriz!$C$8+M405*Matriz!$C$9)/SUM(Matriz!$C$5:$C$9),2))</f>
        <v/>
      </c>
      <c r="P405" s="17">
        <f>IFERROR(INDEX(Processos!$F$8:$F$17,MATCH(C405,Processos!$A$8:$A$17,0)),1)</f>
        <v>1.05</v>
      </c>
      <c r="Q405" s="24">
        <f>IFERROR(INDEX(Matriz!$C$28:$C$33,MATCH(G405,Matriz!$A$28:$A$33,0)),0)</f>
        <v>0</v>
      </c>
      <c r="R405" s="25" t="str">
        <f t="shared" si="24"/>
        <v/>
      </c>
      <c r="S405" s="10" t="str">
        <f>IF(R405="","",IF(R405&gt;=Matriz!$C$19,4,IF(R405&gt;=Matriz!$C$18,3,IF(R405&gt;=Matriz!$C$17,2,1))))</f>
        <v/>
      </c>
      <c r="T405" s="9" t="str">
        <f>IF(S405="","",MAX(S405,IF(I405=5,Matriz!$C$23,0),IF(N405="Sim",Matriz!$C$24,0)))</f>
        <v/>
      </c>
      <c r="U405" s="9" t="str">
        <f t="shared" si="25"/>
        <v/>
      </c>
      <c r="V405" s="26" t="str">
        <f t="shared" si="26"/>
        <v/>
      </c>
      <c r="W405" s="10" t="str">
        <f t="shared" si="27"/>
        <v/>
      </c>
      <c r="X405" s="4"/>
      <c r="Y405" s="4"/>
    </row>
  </sheetData>
  <autoFilter ref="A4:Y405" xr:uid="{00000000-0009-0000-0000-000004000000}">
    <filterColumn colId="15">
      <filters>
        <filter val="1,100"/>
      </filters>
    </filterColumn>
  </autoFilter>
  <conditionalFormatting sqref="U5:U405">
    <cfRule type="expression" dxfId="3" priority="1">
      <formula>$U5="Urgente"</formula>
    </cfRule>
    <cfRule type="expression" dxfId="2" priority="2">
      <formula>$U5="Alta"</formula>
    </cfRule>
    <cfRule type="expression" dxfId="1" priority="3">
      <formula>$U5="Normal"</formula>
    </cfRule>
    <cfRule type="expression" dxfId="0" priority="4">
      <formula>$U5="Baixa"</formula>
    </cfRule>
  </conditionalFormatting>
  <dataValidations count="2">
    <dataValidation type="whole" allowBlank="1" showErrorMessage="1" errorTitle="Nota" error="Use um número inteiro de 1 a 5." sqref="H5:M405" xr:uid="{00000000-0002-0000-0400-000000000000}">
      <formula1>1</formula1>
      <formula2>5</formula2>
    </dataValidation>
    <dataValidation type="list" allowBlank="1" sqref="N5:N405" xr:uid="{00000000-0002-0000-0400-000001000000}">
      <formula1>"Sim,Não"</formula1>
    </dataValidation>
  </dataValidations>
  <hyperlinks>
    <hyperlink ref="B5" r:id="rId1" xr:uid="{00000000-0004-0000-0400-000000000000}"/>
    <hyperlink ref="B6" r:id="rId2" xr:uid="{00000000-0004-0000-0400-000001000000}"/>
    <hyperlink ref="B7" r:id="rId3" xr:uid="{00000000-0004-0000-0400-000002000000}"/>
    <hyperlink ref="B8" r:id="rId4" xr:uid="{00000000-0004-0000-0400-000003000000}"/>
    <hyperlink ref="B9" r:id="rId5" xr:uid="{00000000-0004-0000-0400-000004000000}"/>
    <hyperlink ref="B10" r:id="rId6" xr:uid="{00000000-0004-0000-0400-000005000000}"/>
    <hyperlink ref="B11" r:id="rId7" xr:uid="{00000000-0004-0000-0400-000006000000}"/>
    <hyperlink ref="B12" r:id="rId8" xr:uid="{00000000-0004-0000-0400-000007000000}"/>
    <hyperlink ref="B13" r:id="rId9" xr:uid="{00000000-0004-0000-0400-000008000000}"/>
    <hyperlink ref="B14" r:id="rId10" xr:uid="{00000000-0004-0000-0400-000009000000}"/>
    <hyperlink ref="B15" r:id="rId11" xr:uid="{00000000-0004-0000-0400-00000A000000}"/>
    <hyperlink ref="B16" r:id="rId12" xr:uid="{00000000-0004-0000-0400-00000B000000}"/>
    <hyperlink ref="B17" r:id="rId13" xr:uid="{00000000-0004-0000-0400-00000C000000}"/>
    <hyperlink ref="B18" r:id="rId14" xr:uid="{00000000-0004-0000-0400-00000D000000}"/>
    <hyperlink ref="B19" r:id="rId15" xr:uid="{00000000-0004-0000-0400-00000E000000}"/>
    <hyperlink ref="B20" r:id="rId16" xr:uid="{00000000-0004-0000-0400-00000F000000}"/>
    <hyperlink ref="B21" r:id="rId17" xr:uid="{00000000-0004-0000-0400-000010000000}"/>
    <hyperlink ref="B22" r:id="rId18" xr:uid="{00000000-0004-0000-0400-000011000000}"/>
    <hyperlink ref="B23" r:id="rId19" xr:uid="{00000000-0004-0000-0400-000012000000}"/>
    <hyperlink ref="B24" r:id="rId20" xr:uid="{00000000-0004-0000-0400-000013000000}"/>
    <hyperlink ref="B25" r:id="rId21" xr:uid="{00000000-0004-0000-0400-000014000000}"/>
    <hyperlink ref="B26" r:id="rId22" xr:uid="{00000000-0004-0000-0400-000015000000}"/>
    <hyperlink ref="B27" r:id="rId23" xr:uid="{00000000-0004-0000-0400-000016000000}"/>
    <hyperlink ref="B28" r:id="rId24" xr:uid="{00000000-0004-0000-0400-000017000000}"/>
    <hyperlink ref="B29" r:id="rId25" xr:uid="{00000000-0004-0000-0400-000018000000}"/>
    <hyperlink ref="B30" r:id="rId26" xr:uid="{00000000-0004-0000-0400-000019000000}"/>
    <hyperlink ref="B31" r:id="rId27" xr:uid="{00000000-0004-0000-0400-00001A000000}"/>
    <hyperlink ref="B32" r:id="rId28" xr:uid="{00000000-0004-0000-0400-00001B000000}"/>
    <hyperlink ref="B33" r:id="rId29" xr:uid="{00000000-0004-0000-0400-00001C000000}"/>
    <hyperlink ref="B34" r:id="rId30" xr:uid="{00000000-0004-0000-0400-00001D000000}"/>
    <hyperlink ref="B35" r:id="rId31" xr:uid="{00000000-0004-0000-0400-00001E000000}"/>
    <hyperlink ref="B36" r:id="rId32" xr:uid="{00000000-0004-0000-0400-00001F000000}"/>
    <hyperlink ref="B37" r:id="rId33" xr:uid="{00000000-0004-0000-0400-000020000000}"/>
    <hyperlink ref="B38" r:id="rId34" xr:uid="{00000000-0004-0000-0400-000021000000}"/>
    <hyperlink ref="B39" r:id="rId35" xr:uid="{00000000-0004-0000-0400-000022000000}"/>
    <hyperlink ref="B40" r:id="rId36" xr:uid="{00000000-0004-0000-0400-000023000000}"/>
    <hyperlink ref="B41" r:id="rId37" xr:uid="{00000000-0004-0000-0400-000024000000}"/>
    <hyperlink ref="B42" r:id="rId38" xr:uid="{00000000-0004-0000-0400-000025000000}"/>
    <hyperlink ref="B43" r:id="rId39" xr:uid="{00000000-0004-0000-0400-000026000000}"/>
    <hyperlink ref="B44" r:id="rId40" xr:uid="{00000000-0004-0000-0400-000027000000}"/>
    <hyperlink ref="B45" r:id="rId41" xr:uid="{00000000-0004-0000-0400-000028000000}"/>
    <hyperlink ref="B46" r:id="rId42" xr:uid="{00000000-0004-0000-0400-000029000000}"/>
    <hyperlink ref="B47" r:id="rId43" xr:uid="{00000000-0004-0000-0400-00002A000000}"/>
    <hyperlink ref="B48" r:id="rId44" xr:uid="{00000000-0004-0000-0400-00002B000000}"/>
    <hyperlink ref="B49" r:id="rId45" xr:uid="{00000000-0004-0000-0400-00002C000000}"/>
    <hyperlink ref="B50" r:id="rId46" xr:uid="{00000000-0004-0000-0400-00002D000000}"/>
    <hyperlink ref="B51" r:id="rId47" xr:uid="{00000000-0004-0000-0400-00002E000000}"/>
    <hyperlink ref="B52" r:id="rId48" xr:uid="{00000000-0004-0000-0400-00002F000000}"/>
    <hyperlink ref="B53" r:id="rId49" xr:uid="{00000000-0004-0000-0400-000030000000}"/>
    <hyperlink ref="B54" r:id="rId50" xr:uid="{00000000-0004-0000-0400-000031000000}"/>
    <hyperlink ref="B55" r:id="rId51" xr:uid="{00000000-0004-0000-0400-000032000000}"/>
    <hyperlink ref="B56" r:id="rId52" xr:uid="{00000000-0004-0000-0400-000033000000}"/>
    <hyperlink ref="B57" r:id="rId53" xr:uid="{00000000-0004-0000-0400-000034000000}"/>
    <hyperlink ref="B58" r:id="rId54" xr:uid="{00000000-0004-0000-0400-000035000000}"/>
    <hyperlink ref="B59" r:id="rId55" xr:uid="{00000000-0004-0000-0400-000036000000}"/>
    <hyperlink ref="B60" r:id="rId56" xr:uid="{00000000-0004-0000-0400-000037000000}"/>
    <hyperlink ref="B61" r:id="rId57" xr:uid="{00000000-0004-0000-0400-000038000000}"/>
    <hyperlink ref="B62" r:id="rId58" xr:uid="{00000000-0004-0000-0400-000039000000}"/>
    <hyperlink ref="B63" r:id="rId59" xr:uid="{00000000-0004-0000-0400-00003A000000}"/>
    <hyperlink ref="B64" r:id="rId60" xr:uid="{00000000-0004-0000-0400-00003B000000}"/>
    <hyperlink ref="B65" r:id="rId61" xr:uid="{00000000-0004-0000-0400-00003C000000}"/>
    <hyperlink ref="B66" r:id="rId62" xr:uid="{00000000-0004-0000-0400-00003D000000}"/>
    <hyperlink ref="B67" r:id="rId63" xr:uid="{00000000-0004-0000-0400-00003E000000}"/>
    <hyperlink ref="B68" r:id="rId64" xr:uid="{00000000-0004-0000-0400-00003F000000}"/>
    <hyperlink ref="B69" r:id="rId65" xr:uid="{00000000-0004-0000-0400-000040000000}"/>
    <hyperlink ref="B70" r:id="rId66" xr:uid="{00000000-0004-0000-0400-000041000000}"/>
    <hyperlink ref="B71" r:id="rId67" xr:uid="{00000000-0004-0000-0400-000042000000}"/>
    <hyperlink ref="B72" r:id="rId68" xr:uid="{00000000-0004-0000-0400-000043000000}"/>
    <hyperlink ref="B73" r:id="rId69" xr:uid="{00000000-0004-0000-0400-000044000000}"/>
    <hyperlink ref="B74" r:id="rId70" xr:uid="{00000000-0004-0000-0400-000045000000}"/>
    <hyperlink ref="B75" r:id="rId71" xr:uid="{00000000-0004-0000-0400-000046000000}"/>
    <hyperlink ref="B76" r:id="rId72" xr:uid="{00000000-0004-0000-0400-000047000000}"/>
    <hyperlink ref="B77" r:id="rId73" xr:uid="{00000000-0004-0000-0400-000048000000}"/>
    <hyperlink ref="B78" r:id="rId74" xr:uid="{00000000-0004-0000-0400-000049000000}"/>
    <hyperlink ref="B79" r:id="rId75" xr:uid="{00000000-0004-0000-0400-00004A000000}"/>
    <hyperlink ref="B80" r:id="rId76" xr:uid="{00000000-0004-0000-0400-00004B000000}"/>
    <hyperlink ref="B81" r:id="rId77" xr:uid="{00000000-0004-0000-0400-00004C000000}"/>
    <hyperlink ref="B82" r:id="rId78" xr:uid="{00000000-0004-0000-0400-00004D000000}"/>
    <hyperlink ref="B83" r:id="rId79" xr:uid="{00000000-0004-0000-0400-00004E000000}"/>
    <hyperlink ref="B84" r:id="rId80" xr:uid="{00000000-0004-0000-0400-00004F000000}"/>
    <hyperlink ref="B85" r:id="rId81" xr:uid="{00000000-0004-0000-0400-000050000000}"/>
    <hyperlink ref="B86" r:id="rId82" xr:uid="{00000000-0004-0000-0400-000051000000}"/>
    <hyperlink ref="B87" r:id="rId83" xr:uid="{00000000-0004-0000-0400-000052000000}"/>
    <hyperlink ref="B88" r:id="rId84" xr:uid="{00000000-0004-0000-0400-000053000000}"/>
    <hyperlink ref="B89" r:id="rId85" xr:uid="{00000000-0004-0000-0400-000054000000}"/>
    <hyperlink ref="B90" r:id="rId86" xr:uid="{00000000-0004-0000-0400-000055000000}"/>
    <hyperlink ref="B91" r:id="rId87" xr:uid="{00000000-0004-0000-0400-000056000000}"/>
    <hyperlink ref="B92" r:id="rId88" xr:uid="{00000000-0004-0000-0400-000057000000}"/>
    <hyperlink ref="B93" r:id="rId89" xr:uid="{00000000-0004-0000-0400-000058000000}"/>
    <hyperlink ref="B94" r:id="rId90" xr:uid="{00000000-0004-0000-0400-000059000000}"/>
    <hyperlink ref="B95" r:id="rId91" xr:uid="{00000000-0004-0000-0400-00005A000000}"/>
    <hyperlink ref="B96" r:id="rId92" xr:uid="{00000000-0004-0000-0400-00005B000000}"/>
    <hyperlink ref="B97" r:id="rId93" xr:uid="{00000000-0004-0000-0400-00005C000000}"/>
    <hyperlink ref="B98" r:id="rId94" xr:uid="{00000000-0004-0000-0400-00005D000000}"/>
    <hyperlink ref="B99" r:id="rId95" xr:uid="{00000000-0004-0000-0400-00005E000000}"/>
    <hyperlink ref="B100" r:id="rId96" xr:uid="{00000000-0004-0000-0400-00005F000000}"/>
    <hyperlink ref="B101" r:id="rId97" xr:uid="{00000000-0004-0000-0400-000060000000}"/>
    <hyperlink ref="B102" r:id="rId98" xr:uid="{00000000-0004-0000-0400-000061000000}"/>
    <hyperlink ref="B103" r:id="rId99" xr:uid="{00000000-0004-0000-0400-000062000000}"/>
    <hyperlink ref="B104" r:id="rId100" xr:uid="{00000000-0004-0000-0400-000063000000}"/>
    <hyperlink ref="B105" r:id="rId101" xr:uid="{00000000-0004-0000-0400-000064000000}"/>
    <hyperlink ref="B106" r:id="rId102" xr:uid="{00000000-0004-0000-0400-000065000000}"/>
    <hyperlink ref="B107" r:id="rId103" xr:uid="{00000000-0004-0000-0400-000066000000}"/>
    <hyperlink ref="B108" r:id="rId104" xr:uid="{00000000-0004-0000-0400-000067000000}"/>
    <hyperlink ref="B109" r:id="rId105" xr:uid="{00000000-0004-0000-0400-000068000000}"/>
    <hyperlink ref="B110" r:id="rId106" xr:uid="{00000000-0004-0000-0400-000069000000}"/>
    <hyperlink ref="B111" r:id="rId107" xr:uid="{00000000-0004-0000-0400-00006A000000}"/>
    <hyperlink ref="B112" r:id="rId108" xr:uid="{00000000-0004-0000-0400-00006B000000}"/>
    <hyperlink ref="B113" r:id="rId109" xr:uid="{00000000-0004-0000-0400-00006C000000}"/>
    <hyperlink ref="B114" r:id="rId110" xr:uid="{00000000-0004-0000-0400-00006D000000}"/>
    <hyperlink ref="B115" r:id="rId111" xr:uid="{00000000-0004-0000-0400-00006E000000}"/>
    <hyperlink ref="B116" r:id="rId112" xr:uid="{00000000-0004-0000-0400-00006F000000}"/>
    <hyperlink ref="B117" r:id="rId113" xr:uid="{00000000-0004-0000-0400-000070000000}"/>
    <hyperlink ref="B118" r:id="rId114" xr:uid="{00000000-0004-0000-0400-000071000000}"/>
    <hyperlink ref="B119" r:id="rId115" xr:uid="{00000000-0004-0000-0400-000072000000}"/>
    <hyperlink ref="B120" r:id="rId116" xr:uid="{00000000-0004-0000-0400-000073000000}"/>
    <hyperlink ref="B121" r:id="rId117" xr:uid="{00000000-0004-0000-0400-000074000000}"/>
    <hyperlink ref="B122" r:id="rId118" xr:uid="{00000000-0004-0000-0400-000075000000}"/>
    <hyperlink ref="B123" r:id="rId119" xr:uid="{00000000-0004-0000-0400-000076000000}"/>
    <hyperlink ref="B124" r:id="rId120" xr:uid="{00000000-0004-0000-0400-000077000000}"/>
    <hyperlink ref="B125" r:id="rId121" xr:uid="{00000000-0004-0000-0400-000078000000}"/>
    <hyperlink ref="B126" r:id="rId122" xr:uid="{00000000-0004-0000-0400-000079000000}"/>
    <hyperlink ref="B127" r:id="rId123" xr:uid="{00000000-0004-0000-0400-00007A000000}"/>
    <hyperlink ref="B128" r:id="rId124" xr:uid="{00000000-0004-0000-0400-00007B000000}"/>
    <hyperlink ref="B129" r:id="rId125" xr:uid="{00000000-0004-0000-0400-00007C000000}"/>
    <hyperlink ref="B130" r:id="rId126" xr:uid="{00000000-0004-0000-0400-00007D000000}"/>
    <hyperlink ref="B131" r:id="rId127" xr:uid="{00000000-0004-0000-0400-00007E000000}"/>
    <hyperlink ref="B132" r:id="rId128" xr:uid="{00000000-0004-0000-0400-00007F000000}"/>
    <hyperlink ref="B133" r:id="rId129" xr:uid="{00000000-0004-0000-0400-000080000000}"/>
    <hyperlink ref="B134" r:id="rId130" xr:uid="{00000000-0004-0000-0400-000081000000}"/>
    <hyperlink ref="B135" r:id="rId131" xr:uid="{00000000-0004-0000-0400-000082000000}"/>
    <hyperlink ref="B136" r:id="rId132" xr:uid="{00000000-0004-0000-0400-000083000000}"/>
    <hyperlink ref="B137" r:id="rId133" xr:uid="{00000000-0004-0000-0400-000084000000}"/>
    <hyperlink ref="B138" r:id="rId134" xr:uid="{00000000-0004-0000-0400-000085000000}"/>
    <hyperlink ref="B139" r:id="rId135" xr:uid="{00000000-0004-0000-0400-000086000000}"/>
    <hyperlink ref="B140" r:id="rId136" xr:uid="{00000000-0004-0000-0400-000087000000}"/>
    <hyperlink ref="B141" r:id="rId137" xr:uid="{00000000-0004-0000-0400-000088000000}"/>
    <hyperlink ref="B142" r:id="rId138" xr:uid="{00000000-0004-0000-0400-000089000000}"/>
    <hyperlink ref="B143" r:id="rId139" xr:uid="{00000000-0004-0000-0400-00008A000000}"/>
    <hyperlink ref="B144" r:id="rId140" xr:uid="{00000000-0004-0000-0400-00008B000000}"/>
    <hyperlink ref="B145" r:id="rId141" xr:uid="{00000000-0004-0000-0400-00008C000000}"/>
    <hyperlink ref="B146" r:id="rId142" xr:uid="{00000000-0004-0000-0400-00008D000000}"/>
    <hyperlink ref="B147" r:id="rId143" xr:uid="{00000000-0004-0000-0400-00008E000000}"/>
    <hyperlink ref="B148" r:id="rId144" xr:uid="{00000000-0004-0000-0400-00008F000000}"/>
    <hyperlink ref="B149" r:id="rId145" xr:uid="{00000000-0004-0000-0400-000090000000}"/>
    <hyperlink ref="B150" r:id="rId146" xr:uid="{00000000-0004-0000-0400-000091000000}"/>
    <hyperlink ref="B151" r:id="rId147" xr:uid="{00000000-0004-0000-0400-000092000000}"/>
    <hyperlink ref="B152" r:id="rId148" xr:uid="{00000000-0004-0000-0400-000093000000}"/>
    <hyperlink ref="B153" r:id="rId149" xr:uid="{00000000-0004-0000-0400-000094000000}"/>
    <hyperlink ref="B154" r:id="rId150" xr:uid="{00000000-0004-0000-0400-000095000000}"/>
    <hyperlink ref="B155" r:id="rId151" xr:uid="{00000000-0004-0000-0400-000096000000}"/>
    <hyperlink ref="B156" r:id="rId152" xr:uid="{00000000-0004-0000-0400-000097000000}"/>
    <hyperlink ref="B157" r:id="rId153" xr:uid="{00000000-0004-0000-0400-000098000000}"/>
    <hyperlink ref="B158" r:id="rId154" xr:uid="{00000000-0004-0000-0400-000099000000}"/>
    <hyperlink ref="B159" r:id="rId155" xr:uid="{00000000-0004-0000-0400-00009A000000}"/>
    <hyperlink ref="B160" r:id="rId156" xr:uid="{00000000-0004-0000-0400-00009B000000}"/>
    <hyperlink ref="B161" r:id="rId157" xr:uid="{00000000-0004-0000-0400-00009C000000}"/>
    <hyperlink ref="B162" r:id="rId158" xr:uid="{00000000-0004-0000-0400-00009D000000}"/>
    <hyperlink ref="B163" r:id="rId159" xr:uid="{00000000-0004-0000-0400-00009E000000}"/>
    <hyperlink ref="B164" r:id="rId160" xr:uid="{00000000-0004-0000-0400-00009F000000}"/>
    <hyperlink ref="B165" r:id="rId161" xr:uid="{00000000-0004-0000-0400-0000A0000000}"/>
    <hyperlink ref="B166" r:id="rId162" xr:uid="{00000000-0004-0000-0400-0000A1000000}"/>
    <hyperlink ref="B167" r:id="rId163" xr:uid="{00000000-0004-0000-0400-0000A2000000}"/>
    <hyperlink ref="B168" r:id="rId164" xr:uid="{00000000-0004-0000-0400-0000A3000000}"/>
    <hyperlink ref="B169" r:id="rId165" xr:uid="{00000000-0004-0000-0400-0000A4000000}"/>
    <hyperlink ref="B170" r:id="rId166" xr:uid="{00000000-0004-0000-0400-0000A5000000}"/>
    <hyperlink ref="B171" r:id="rId167" xr:uid="{00000000-0004-0000-0400-0000A6000000}"/>
    <hyperlink ref="B172" r:id="rId168" xr:uid="{00000000-0004-0000-0400-0000A7000000}"/>
    <hyperlink ref="B173" r:id="rId169" xr:uid="{00000000-0004-0000-0400-0000A8000000}"/>
    <hyperlink ref="B174" r:id="rId170" xr:uid="{00000000-0004-0000-0400-0000A9000000}"/>
    <hyperlink ref="B175" r:id="rId171" xr:uid="{00000000-0004-0000-0400-0000AA000000}"/>
    <hyperlink ref="B176" r:id="rId172" xr:uid="{00000000-0004-0000-0400-0000AB000000}"/>
    <hyperlink ref="B177" r:id="rId173" xr:uid="{00000000-0004-0000-0400-0000AC000000}"/>
    <hyperlink ref="B178" r:id="rId174" xr:uid="{00000000-0004-0000-0400-0000AD000000}"/>
    <hyperlink ref="B179" r:id="rId175" xr:uid="{00000000-0004-0000-0400-0000AE000000}"/>
    <hyperlink ref="B180" r:id="rId176" xr:uid="{00000000-0004-0000-0400-0000AF000000}"/>
    <hyperlink ref="B181" r:id="rId177" xr:uid="{00000000-0004-0000-0400-0000B0000000}"/>
    <hyperlink ref="B182" r:id="rId178" xr:uid="{00000000-0004-0000-0400-0000B1000000}"/>
    <hyperlink ref="B183" r:id="rId179" xr:uid="{00000000-0004-0000-0400-0000B2000000}"/>
    <hyperlink ref="B184" r:id="rId180" xr:uid="{00000000-0004-0000-0400-0000B3000000}"/>
    <hyperlink ref="B185" r:id="rId181" xr:uid="{00000000-0004-0000-0400-0000B4000000}"/>
    <hyperlink ref="B186" r:id="rId182" xr:uid="{00000000-0004-0000-0400-0000B5000000}"/>
    <hyperlink ref="B187" r:id="rId183" xr:uid="{00000000-0004-0000-0400-0000B6000000}"/>
    <hyperlink ref="B188" r:id="rId184" xr:uid="{00000000-0004-0000-0400-0000B7000000}"/>
    <hyperlink ref="B189" r:id="rId185" xr:uid="{00000000-0004-0000-0400-0000B8000000}"/>
    <hyperlink ref="B190" r:id="rId186" xr:uid="{00000000-0004-0000-0400-0000B9000000}"/>
    <hyperlink ref="B191" r:id="rId187" xr:uid="{00000000-0004-0000-0400-0000BA000000}"/>
    <hyperlink ref="B192" r:id="rId188" xr:uid="{00000000-0004-0000-0400-0000BB000000}"/>
    <hyperlink ref="B193" r:id="rId189" xr:uid="{00000000-0004-0000-0400-0000BC000000}"/>
    <hyperlink ref="B194" r:id="rId190" xr:uid="{00000000-0004-0000-0400-0000BD000000}"/>
    <hyperlink ref="B195" r:id="rId191" xr:uid="{00000000-0004-0000-0400-0000BE000000}"/>
    <hyperlink ref="B196" r:id="rId192" xr:uid="{00000000-0004-0000-0400-0000BF000000}"/>
    <hyperlink ref="B197" r:id="rId193" xr:uid="{00000000-0004-0000-0400-0000C0000000}"/>
    <hyperlink ref="B198" r:id="rId194" xr:uid="{00000000-0004-0000-0400-0000C1000000}"/>
    <hyperlink ref="B199" r:id="rId195" xr:uid="{00000000-0004-0000-0400-0000C2000000}"/>
    <hyperlink ref="B200" r:id="rId196" xr:uid="{00000000-0004-0000-0400-0000C3000000}"/>
    <hyperlink ref="B201" r:id="rId197" xr:uid="{00000000-0004-0000-0400-0000C4000000}"/>
    <hyperlink ref="B202" r:id="rId198" xr:uid="{00000000-0004-0000-0400-0000C5000000}"/>
    <hyperlink ref="B203" r:id="rId199" xr:uid="{00000000-0004-0000-0400-0000C6000000}"/>
    <hyperlink ref="B204" r:id="rId200" xr:uid="{00000000-0004-0000-0400-0000C7000000}"/>
    <hyperlink ref="B205" r:id="rId201" xr:uid="{00000000-0004-0000-0400-0000C8000000}"/>
    <hyperlink ref="B206" r:id="rId202" xr:uid="{00000000-0004-0000-0400-0000C9000000}"/>
    <hyperlink ref="B207" r:id="rId203" xr:uid="{00000000-0004-0000-0400-0000CA000000}"/>
    <hyperlink ref="B208" r:id="rId204" xr:uid="{00000000-0004-0000-0400-0000CB000000}"/>
    <hyperlink ref="B209" r:id="rId205" xr:uid="{00000000-0004-0000-0400-0000CC000000}"/>
    <hyperlink ref="B210" r:id="rId206" xr:uid="{00000000-0004-0000-0400-0000CD000000}"/>
    <hyperlink ref="B211" r:id="rId207" xr:uid="{00000000-0004-0000-0400-0000CE000000}"/>
    <hyperlink ref="B212" r:id="rId208" xr:uid="{00000000-0004-0000-0400-0000CF000000}"/>
    <hyperlink ref="B213" r:id="rId209" xr:uid="{00000000-0004-0000-0400-0000D0000000}"/>
    <hyperlink ref="B214" r:id="rId210" xr:uid="{00000000-0004-0000-0400-0000D1000000}"/>
    <hyperlink ref="B215" r:id="rId211" xr:uid="{00000000-0004-0000-0400-0000D2000000}"/>
    <hyperlink ref="B216" r:id="rId212" xr:uid="{00000000-0004-0000-0400-0000D3000000}"/>
    <hyperlink ref="B217" r:id="rId213" xr:uid="{00000000-0004-0000-0400-0000D4000000}"/>
    <hyperlink ref="B218" r:id="rId214" xr:uid="{00000000-0004-0000-0400-0000D5000000}"/>
    <hyperlink ref="B219" r:id="rId215" xr:uid="{00000000-0004-0000-0400-0000D6000000}"/>
    <hyperlink ref="B220" r:id="rId216" xr:uid="{00000000-0004-0000-0400-0000D7000000}"/>
    <hyperlink ref="B221" r:id="rId217" xr:uid="{00000000-0004-0000-0400-0000D8000000}"/>
    <hyperlink ref="B222" r:id="rId218" xr:uid="{00000000-0004-0000-0400-0000D9000000}"/>
    <hyperlink ref="B223" r:id="rId219" xr:uid="{00000000-0004-0000-0400-0000DA000000}"/>
    <hyperlink ref="B224" r:id="rId220" xr:uid="{00000000-0004-0000-0400-0000DB000000}"/>
    <hyperlink ref="B225" r:id="rId221" xr:uid="{00000000-0004-0000-0400-0000DC000000}"/>
    <hyperlink ref="B226" r:id="rId222" xr:uid="{00000000-0004-0000-0400-0000DD000000}"/>
    <hyperlink ref="B227" r:id="rId223" xr:uid="{00000000-0004-0000-0400-0000DE000000}"/>
    <hyperlink ref="B228" r:id="rId224" xr:uid="{00000000-0004-0000-0400-0000DF000000}"/>
    <hyperlink ref="B229" r:id="rId225" xr:uid="{00000000-0004-0000-0400-0000E0000000}"/>
    <hyperlink ref="B230" r:id="rId226" xr:uid="{00000000-0004-0000-0400-0000E1000000}"/>
    <hyperlink ref="B231" r:id="rId227" xr:uid="{00000000-0004-0000-0400-0000E2000000}"/>
    <hyperlink ref="B232" r:id="rId228" xr:uid="{00000000-0004-0000-0400-0000E3000000}"/>
    <hyperlink ref="B233" r:id="rId229" xr:uid="{00000000-0004-0000-0400-0000E4000000}"/>
    <hyperlink ref="B234" r:id="rId230" xr:uid="{00000000-0004-0000-0400-0000E5000000}"/>
    <hyperlink ref="B235" r:id="rId231" xr:uid="{00000000-0004-0000-0400-0000E6000000}"/>
    <hyperlink ref="B236" r:id="rId232" xr:uid="{00000000-0004-0000-0400-0000E7000000}"/>
    <hyperlink ref="B237" r:id="rId233" xr:uid="{00000000-0004-0000-0400-0000E8000000}"/>
    <hyperlink ref="B238" r:id="rId234" xr:uid="{00000000-0004-0000-0400-0000E9000000}"/>
    <hyperlink ref="B239" r:id="rId235" xr:uid="{00000000-0004-0000-0400-0000EA000000}"/>
    <hyperlink ref="B240" r:id="rId236" xr:uid="{00000000-0004-0000-0400-0000EB000000}"/>
    <hyperlink ref="B241" r:id="rId237" xr:uid="{00000000-0004-0000-0400-0000EC000000}"/>
    <hyperlink ref="B242" r:id="rId238" xr:uid="{00000000-0004-0000-0400-0000ED000000}"/>
    <hyperlink ref="B243" r:id="rId239" xr:uid="{00000000-0004-0000-0400-0000EE000000}"/>
    <hyperlink ref="B244" r:id="rId240" xr:uid="{00000000-0004-0000-0400-0000EF000000}"/>
    <hyperlink ref="B245" r:id="rId241" xr:uid="{00000000-0004-0000-0400-0000F0000000}"/>
    <hyperlink ref="B246" r:id="rId242" xr:uid="{00000000-0004-0000-0400-0000F1000000}"/>
    <hyperlink ref="B247" r:id="rId243" xr:uid="{00000000-0004-0000-0400-0000F2000000}"/>
    <hyperlink ref="B248" r:id="rId244" xr:uid="{00000000-0004-0000-0400-0000F3000000}"/>
    <hyperlink ref="B249" r:id="rId245" xr:uid="{00000000-0004-0000-0400-0000F4000000}"/>
    <hyperlink ref="B250" r:id="rId246" xr:uid="{00000000-0004-0000-0400-0000F5000000}"/>
    <hyperlink ref="B251" r:id="rId247" xr:uid="{00000000-0004-0000-0400-0000F6000000}"/>
    <hyperlink ref="B252" r:id="rId248" xr:uid="{00000000-0004-0000-0400-0000F7000000}"/>
    <hyperlink ref="B253" r:id="rId249" xr:uid="{00000000-0004-0000-0400-0000F8000000}"/>
    <hyperlink ref="B254" r:id="rId250" xr:uid="{00000000-0004-0000-0400-0000F9000000}"/>
    <hyperlink ref="B255" r:id="rId251" xr:uid="{00000000-0004-0000-0400-0000FA000000}"/>
    <hyperlink ref="B256" r:id="rId252" xr:uid="{00000000-0004-0000-0400-0000FB000000}"/>
    <hyperlink ref="B257" r:id="rId253" xr:uid="{00000000-0004-0000-0400-0000FC000000}"/>
    <hyperlink ref="B258" r:id="rId254" xr:uid="{00000000-0004-0000-0400-0000FD000000}"/>
    <hyperlink ref="B259" r:id="rId255" xr:uid="{00000000-0004-0000-0400-0000FE000000}"/>
    <hyperlink ref="B260" r:id="rId256" xr:uid="{00000000-0004-0000-0400-0000FF000000}"/>
    <hyperlink ref="B261" r:id="rId257" xr:uid="{00000000-0004-0000-0400-000000010000}"/>
    <hyperlink ref="B262" r:id="rId258" xr:uid="{00000000-0004-0000-0400-000001010000}"/>
    <hyperlink ref="B263" r:id="rId259" xr:uid="{00000000-0004-0000-0400-000002010000}"/>
    <hyperlink ref="B264" r:id="rId260" xr:uid="{00000000-0004-0000-0400-000003010000}"/>
    <hyperlink ref="B265" r:id="rId261" xr:uid="{00000000-0004-0000-0400-000004010000}"/>
    <hyperlink ref="B266" r:id="rId262" xr:uid="{00000000-0004-0000-0400-000005010000}"/>
    <hyperlink ref="B267" r:id="rId263" xr:uid="{00000000-0004-0000-0400-000006010000}"/>
    <hyperlink ref="B268" r:id="rId264" xr:uid="{00000000-0004-0000-0400-000007010000}"/>
    <hyperlink ref="B269" r:id="rId265" xr:uid="{00000000-0004-0000-0400-000008010000}"/>
    <hyperlink ref="B270" r:id="rId266" xr:uid="{00000000-0004-0000-0400-000009010000}"/>
    <hyperlink ref="B271" r:id="rId267" xr:uid="{00000000-0004-0000-0400-00000A010000}"/>
    <hyperlink ref="B272" r:id="rId268" xr:uid="{00000000-0004-0000-0400-00000B010000}"/>
    <hyperlink ref="B273" r:id="rId269" xr:uid="{00000000-0004-0000-0400-00000C010000}"/>
    <hyperlink ref="B274" r:id="rId270" xr:uid="{00000000-0004-0000-0400-00000D010000}"/>
    <hyperlink ref="B275" r:id="rId271" xr:uid="{00000000-0004-0000-0400-00000E010000}"/>
    <hyperlink ref="B276" r:id="rId272" xr:uid="{00000000-0004-0000-0400-00000F010000}"/>
    <hyperlink ref="B277" r:id="rId273" xr:uid="{00000000-0004-0000-0400-000010010000}"/>
    <hyperlink ref="B278" r:id="rId274" xr:uid="{00000000-0004-0000-0400-000011010000}"/>
    <hyperlink ref="B279" r:id="rId275" xr:uid="{00000000-0004-0000-0400-000012010000}"/>
    <hyperlink ref="B280" r:id="rId276" xr:uid="{00000000-0004-0000-0400-000013010000}"/>
    <hyperlink ref="B281" r:id="rId277" xr:uid="{00000000-0004-0000-0400-000014010000}"/>
    <hyperlink ref="B282" r:id="rId278" xr:uid="{00000000-0004-0000-0400-000015010000}"/>
    <hyperlink ref="B283" r:id="rId279" xr:uid="{00000000-0004-0000-0400-000016010000}"/>
    <hyperlink ref="B284" r:id="rId280" xr:uid="{00000000-0004-0000-0400-000017010000}"/>
    <hyperlink ref="B285" r:id="rId281" xr:uid="{00000000-0004-0000-0400-000018010000}"/>
    <hyperlink ref="B286" r:id="rId282" xr:uid="{00000000-0004-0000-0400-000019010000}"/>
    <hyperlink ref="B287" r:id="rId283" xr:uid="{00000000-0004-0000-0400-00001A010000}"/>
    <hyperlink ref="B288" r:id="rId284" xr:uid="{00000000-0004-0000-0400-00001B010000}"/>
    <hyperlink ref="B289" r:id="rId285" xr:uid="{00000000-0004-0000-0400-00001C010000}"/>
    <hyperlink ref="B290" r:id="rId286" xr:uid="{00000000-0004-0000-0400-00001D010000}"/>
    <hyperlink ref="B291" r:id="rId287" xr:uid="{00000000-0004-0000-0400-00001E010000}"/>
    <hyperlink ref="B292" r:id="rId288" xr:uid="{00000000-0004-0000-0400-00001F010000}"/>
    <hyperlink ref="B293" r:id="rId289" xr:uid="{00000000-0004-0000-0400-000020010000}"/>
    <hyperlink ref="B294" r:id="rId290" xr:uid="{00000000-0004-0000-0400-000021010000}"/>
    <hyperlink ref="B295" r:id="rId291" xr:uid="{00000000-0004-0000-0400-000022010000}"/>
    <hyperlink ref="B296" r:id="rId292" xr:uid="{00000000-0004-0000-0400-000023010000}"/>
    <hyperlink ref="B297" r:id="rId293" xr:uid="{00000000-0004-0000-0400-000024010000}"/>
    <hyperlink ref="B298" r:id="rId294" xr:uid="{00000000-0004-0000-0400-000025010000}"/>
    <hyperlink ref="B299" r:id="rId295" xr:uid="{00000000-0004-0000-0400-000026010000}"/>
    <hyperlink ref="B300" r:id="rId296" xr:uid="{00000000-0004-0000-0400-000027010000}"/>
    <hyperlink ref="B301" r:id="rId297" xr:uid="{00000000-0004-0000-0400-000028010000}"/>
    <hyperlink ref="B302" r:id="rId298" xr:uid="{00000000-0004-0000-0400-000029010000}"/>
    <hyperlink ref="B303" r:id="rId299" xr:uid="{00000000-0004-0000-0400-00002A010000}"/>
    <hyperlink ref="B304" r:id="rId300" xr:uid="{00000000-0004-0000-0400-00002B010000}"/>
    <hyperlink ref="B305" r:id="rId301" xr:uid="{00000000-0004-0000-0400-00002C010000}"/>
    <hyperlink ref="B306" r:id="rId302" xr:uid="{00000000-0004-0000-0400-00002D010000}"/>
    <hyperlink ref="B307" r:id="rId303" xr:uid="{00000000-0004-0000-0400-00002E010000}"/>
    <hyperlink ref="B308" r:id="rId304" xr:uid="{00000000-0004-0000-0400-00002F010000}"/>
    <hyperlink ref="B309" r:id="rId305" xr:uid="{00000000-0004-0000-0400-000030010000}"/>
    <hyperlink ref="B310" r:id="rId306" xr:uid="{00000000-0004-0000-0400-000031010000}"/>
    <hyperlink ref="B311" r:id="rId307" xr:uid="{00000000-0004-0000-0400-000032010000}"/>
    <hyperlink ref="B312" r:id="rId308" xr:uid="{00000000-0004-0000-0400-000033010000}"/>
    <hyperlink ref="B313" r:id="rId309" xr:uid="{00000000-0004-0000-0400-000034010000}"/>
    <hyperlink ref="B314" r:id="rId310" xr:uid="{00000000-0004-0000-0400-000035010000}"/>
    <hyperlink ref="B315" r:id="rId311" xr:uid="{00000000-0004-0000-0400-000036010000}"/>
    <hyperlink ref="B316" r:id="rId312" xr:uid="{00000000-0004-0000-0400-000037010000}"/>
    <hyperlink ref="B317" r:id="rId313" xr:uid="{00000000-0004-0000-0400-000038010000}"/>
    <hyperlink ref="B318" r:id="rId314" xr:uid="{00000000-0004-0000-0400-000039010000}"/>
    <hyperlink ref="B319" r:id="rId315" xr:uid="{00000000-0004-0000-0400-00003A010000}"/>
    <hyperlink ref="B320" r:id="rId316" xr:uid="{00000000-0004-0000-0400-00003B010000}"/>
    <hyperlink ref="B321" r:id="rId317" xr:uid="{00000000-0004-0000-0400-00003C010000}"/>
    <hyperlink ref="B322" r:id="rId318" xr:uid="{00000000-0004-0000-0400-00003D010000}"/>
    <hyperlink ref="B323" r:id="rId319" xr:uid="{00000000-0004-0000-0400-00003E010000}"/>
    <hyperlink ref="B324" r:id="rId320" xr:uid="{00000000-0004-0000-0400-00003F010000}"/>
    <hyperlink ref="B325" r:id="rId321" xr:uid="{00000000-0004-0000-0400-000040010000}"/>
    <hyperlink ref="B326" r:id="rId322" xr:uid="{00000000-0004-0000-0400-000041010000}"/>
    <hyperlink ref="B327" r:id="rId323" xr:uid="{00000000-0004-0000-0400-000042010000}"/>
    <hyperlink ref="B328" r:id="rId324" xr:uid="{00000000-0004-0000-0400-000043010000}"/>
    <hyperlink ref="B329" r:id="rId325" xr:uid="{00000000-0004-0000-0400-000044010000}"/>
    <hyperlink ref="B330" r:id="rId326" xr:uid="{00000000-0004-0000-0400-000045010000}"/>
    <hyperlink ref="B331" r:id="rId327" xr:uid="{00000000-0004-0000-0400-000046010000}"/>
    <hyperlink ref="B332" r:id="rId328" xr:uid="{00000000-0004-0000-0400-000047010000}"/>
    <hyperlink ref="B333" r:id="rId329" xr:uid="{00000000-0004-0000-0400-000048010000}"/>
    <hyperlink ref="B334" r:id="rId330" xr:uid="{00000000-0004-0000-0400-000049010000}"/>
    <hyperlink ref="B335" r:id="rId331" xr:uid="{00000000-0004-0000-0400-00004A010000}"/>
    <hyperlink ref="B336" r:id="rId332" xr:uid="{00000000-0004-0000-0400-00004B010000}"/>
    <hyperlink ref="B337" r:id="rId333" xr:uid="{00000000-0004-0000-0400-00004C010000}"/>
    <hyperlink ref="B338" r:id="rId334" xr:uid="{00000000-0004-0000-0400-00004D010000}"/>
    <hyperlink ref="B339" r:id="rId335" xr:uid="{00000000-0004-0000-0400-00004E010000}"/>
    <hyperlink ref="B340" r:id="rId336" xr:uid="{00000000-0004-0000-0400-00004F010000}"/>
    <hyperlink ref="B341" r:id="rId337" xr:uid="{00000000-0004-0000-0400-000050010000}"/>
    <hyperlink ref="B342" r:id="rId338" xr:uid="{00000000-0004-0000-0400-000051010000}"/>
    <hyperlink ref="B343" r:id="rId339" xr:uid="{00000000-0004-0000-0400-000052010000}"/>
    <hyperlink ref="B344" r:id="rId340" xr:uid="{00000000-0004-0000-0400-000053010000}"/>
    <hyperlink ref="B345" r:id="rId341" xr:uid="{00000000-0004-0000-0400-000054010000}"/>
    <hyperlink ref="B346" r:id="rId342" xr:uid="{00000000-0004-0000-0400-000055010000}"/>
    <hyperlink ref="B347" r:id="rId343" xr:uid="{00000000-0004-0000-0400-000056010000}"/>
    <hyperlink ref="B348" r:id="rId344" xr:uid="{00000000-0004-0000-0400-000057010000}"/>
    <hyperlink ref="B349" r:id="rId345" xr:uid="{00000000-0004-0000-0400-000058010000}"/>
    <hyperlink ref="B350" r:id="rId346" xr:uid="{00000000-0004-0000-0400-000059010000}"/>
    <hyperlink ref="B351" r:id="rId347" xr:uid="{00000000-0004-0000-0400-00005A010000}"/>
    <hyperlink ref="B352" r:id="rId348" xr:uid="{00000000-0004-0000-0400-00005B010000}"/>
    <hyperlink ref="B353" r:id="rId349" xr:uid="{00000000-0004-0000-0400-00005C010000}"/>
    <hyperlink ref="B354" r:id="rId350" xr:uid="{00000000-0004-0000-0400-00005D010000}"/>
    <hyperlink ref="B355" r:id="rId351" xr:uid="{00000000-0004-0000-0400-00005E010000}"/>
    <hyperlink ref="B356" r:id="rId352" xr:uid="{00000000-0004-0000-0400-00005F010000}"/>
    <hyperlink ref="B357" r:id="rId353" xr:uid="{00000000-0004-0000-0400-000060010000}"/>
    <hyperlink ref="B358" r:id="rId354" xr:uid="{00000000-0004-0000-0400-000061010000}"/>
    <hyperlink ref="B359" r:id="rId355" xr:uid="{00000000-0004-0000-0400-000062010000}"/>
    <hyperlink ref="B360" r:id="rId356" xr:uid="{00000000-0004-0000-0400-000063010000}"/>
    <hyperlink ref="B361" r:id="rId357" xr:uid="{00000000-0004-0000-0400-000064010000}"/>
    <hyperlink ref="B362" r:id="rId358" xr:uid="{00000000-0004-0000-0400-000065010000}"/>
    <hyperlink ref="B363" r:id="rId359" xr:uid="{00000000-0004-0000-0400-000066010000}"/>
    <hyperlink ref="B364" r:id="rId360" xr:uid="{00000000-0004-0000-0400-000067010000}"/>
    <hyperlink ref="B365" r:id="rId361" xr:uid="{00000000-0004-0000-0400-000068010000}"/>
    <hyperlink ref="B366" r:id="rId362" xr:uid="{00000000-0004-0000-0400-000069010000}"/>
    <hyperlink ref="B367" r:id="rId363" xr:uid="{00000000-0004-0000-0400-00006A010000}"/>
    <hyperlink ref="B368" r:id="rId364" xr:uid="{00000000-0004-0000-0400-00006B010000}"/>
    <hyperlink ref="B369" r:id="rId365" xr:uid="{00000000-0004-0000-0400-00006C010000}"/>
    <hyperlink ref="B370" r:id="rId366" xr:uid="{00000000-0004-0000-0400-00006D010000}"/>
    <hyperlink ref="B371" r:id="rId367" xr:uid="{00000000-0004-0000-0400-00006E010000}"/>
    <hyperlink ref="B372" r:id="rId368" xr:uid="{00000000-0004-0000-0400-00006F010000}"/>
    <hyperlink ref="B373" r:id="rId369" xr:uid="{00000000-0004-0000-0400-000070010000}"/>
    <hyperlink ref="B374" r:id="rId370" xr:uid="{00000000-0004-0000-0400-000071010000}"/>
    <hyperlink ref="B375" r:id="rId371" xr:uid="{00000000-0004-0000-0400-000072010000}"/>
    <hyperlink ref="B376" r:id="rId372" xr:uid="{00000000-0004-0000-0400-000073010000}"/>
    <hyperlink ref="B377" r:id="rId373" xr:uid="{00000000-0004-0000-0400-000074010000}"/>
    <hyperlink ref="B378" r:id="rId374" xr:uid="{00000000-0004-0000-0400-000075010000}"/>
    <hyperlink ref="B379" r:id="rId375" xr:uid="{00000000-0004-0000-0400-000076010000}"/>
    <hyperlink ref="B380" r:id="rId376" xr:uid="{00000000-0004-0000-0400-000077010000}"/>
    <hyperlink ref="B381" r:id="rId377" xr:uid="{00000000-0004-0000-0400-000078010000}"/>
    <hyperlink ref="B382" r:id="rId378" xr:uid="{00000000-0004-0000-0400-000079010000}"/>
    <hyperlink ref="B383" r:id="rId379" xr:uid="{00000000-0004-0000-0400-00007A010000}"/>
    <hyperlink ref="B384" r:id="rId380" xr:uid="{00000000-0004-0000-0400-00007B010000}"/>
    <hyperlink ref="B385" r:id="rId381" xr:uid="{00000000-0004-0000-0400-00007C010000}"/>
    <hyperlink ref="B386" r:id="rId382" xr:uid="{00000000-0004-0000-0400-00007D010000}"/>
    <hyperlink ref="B387" r:id="rId383" xr:uid="{00000000-0004-0000-0400-00007E010000}"/>
    <hyperlink ref="B388" r:id="rId384" xr:uid="{00000000-0004-0000-0400-00007F010000}"/>
    <hyperlink ref="B389" r:id="rId385" xr:uid="{00000000-0004-0000-0400-000080010000}"/>
    <hyperlink ref="B390" r:id="rId386" xr:uid="{00000000-0004-0000-0400-000081010000}"/>
    <hyperlink ref="B391" r:id="rId387" xr:uid="{00000000-0004-0000-0400-000082010000}"/>
    <hyperlink ref="B392" r:id="rId388" xr:uid="{00000000-0004-0000-0400-000083010000}"/>
    <hyperlink ref="B393" r:id="rId389" xr:uid="{00000000-0004-0000-0400-000084010000}"/>
    <hyperlink ref="B394" r:id="rId390" xr:uid="{00000000-0004-0000-0400-000085010000}"/>
    <hyperlink ref="B395" r:id="rId391" xr:uid="{00000000-0004-0000-0400-000086010000}"/>
    <hyperlink ref="B396" r:id="rId392" xr:uid="{00000000-0004-0000-0400-000087010000}"/>
    <hyperlink ref="B397" r:id="rId393" xr:uid="{00000000-0004-0000-0400-000088010000}"/>
    <hyperlink ref="B398" r:id="rId394" xr:uid="{00000000-0004-0000-0400-000089010000}"/>
    <hyperlink ref="B399" r:id="rId395" xr:uid="{00000000-0004-0000-0400-00008A010000}"/>
    <hyperlink ref="B400" r:id="rId396" xr:uid="{00000000-0004-0000-0400-00008B010000}"/>
    <hyperlink ref="B401" r:id="rId397" xr:uid="{00000000-0004-0000-0400-00008C010000}"/>
    <hyperlink ref="B402" r:id="rId398" xr:uid="{00000000-0004-0000-0400-00008D010000}"/>
    <hyperlink ref="B403" r:id="rId399" xr:uid="{00000000-0004-0000-0400-00008E010000}"/>
    <hyperlink ref="B404" r:id="rId400" xr:uid="{00000000-0004-0000-0400-00008F010000}"/>
    <hyperlink ref="B405" r:id="rId401" xr:uid="{00000000-0004-0000-0400-000090010000}"/>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400-000002000000}">
          <x14:formula1>
            <xm:f>Matriz!$A$28:$A$33</xm:f>
          </x14:formula1>
          <xm:sqref>G5:G405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Leia-me</vt:lpstr>
      <vt:lpstr>Matriz</vt:lpstr>
      <vt:lpstr>Processos</vt:lpstr>
      <vt:lpstr>Resumo</vt:lpstr>
      <vt:lpstr>Tarefas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Bruno Kawasaki</cp:lastModifiedBy>
  <dcterms:created xsi:type="dcterms:W3CDTF">2026-10-21T21:47:56Z</dcterms:created>
  <dcterms:modified xsi:type="dcterms:W3CDTF">2026-10-27T20:09:03Z</dcterms:modified>
</cp:coreProperties>
</file>